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hrutiPunjabi\Downloads\"/>
    </mc:Choice>
  </mc:AlternateContent>
  <xr:revisionPtr revIDLastSave="0" documentId="13_ncr:1_{30A280DD-DEB0-40BC-B50D-95416DBF6946}" xr6:coauthVersionLast="47" xr6:coauthVersionMax="47" xr10:uidLastSave="{00000000-0000-0000-0000-000000000000}"/>
  <bookViews>
    <workbookView xWindow="-108" yWindow="-108" windowWidth="23256" windowHeight="12456" firstSheet="5" activeTab="11" xr2:uid="{00000000-000D-0000-FFFF-FFFF00000000}"/>
  </bookViews>
  <sheets>
    <sheet name="1. Raw Data - Bloomberg" sheetId="1" r:id="rId1"/>
    <sheet name="2. Integrated Finance" sheetId="2" r:id="rId2"/>
    <sheet name="3. Historical &amp; Forecast Ratio " sheetId="3" r:id="rId3"/>
    <sheet name="4. Market Data &amp; WACC" sheetId="4" r:id="rId4"/>
    <sheet name="5. Re-org Fin Stmts" sheetId="5" r:id="rId5"/>
    <sheet name="6. ROIC &amp; FCF" sheetId="6" r:id="rId6"/>
    <sheet name="7. Valuation" sheetId="7" r:id="rId7"/>
    <sheet name="7. Valuation (2)" sheetId="12" state="hidden" r:id="rId8"/>
    <sheet name="Scenario Analysis" sheetId="10" r:id="rId9"/>
    <sheet name="Stock Price" sheetId="14" r:id="rId10"/>
    <sheet name="Sensitivity Analysis" sheetId="13" r:id="rId11"/>
    <sheet name="DDM" sheetId="8" r:id="rId12"/>
  </sheets>
  <externalReferences>
    <externalReference r:id="rId1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4" i="14" l="1"/>
  <c r="K43" i="14"/>
  <c r="K42" i="14"/>
  <c r="D30" i="13"/>
  <c r="E30" i="13"/>
  <c r="F30" i="13"/>
  <c r="D31" i="13"/>
  <c r="E31" i="13"/>
  <c r="F31" i="13"/>
  <c r="D32" i="13"/>
  <c r="E32" i="13"/>
  <c r="F32" i="13"/>
  <c r="D33" i="13"/>
  <c r="E33" i="13"/>
  <c r="F33" i="13"/>
  <c r="D34" i="13"/>
  <c r="E34" i="13"/>
  <c r="F34" i="13"/>
  <c r="D35" i="13"/>
  <c r="E35" i="13"/>
  <c r="F35" i="13"/>
  <c r="C32" i="13"/>
  <c r="C33" i="13"/>
  <c r="C34" i="13"/>
  <c r="C35" i="13"/>
  <c r="C31" i="13"/>
  <c r="C30" i="13"/>
  <c r="B35" i="13"/>
  <c r="B31" i="13"/>
  <c r="B32" i="13"/>
  <c r="B33" i="13"/>
  <c r="B34" i="13"/>
  <c r="B30" i="13"/>
  <c r="D29" i="13"/>
  <c r="E29" i="13"/>
  <c r="F29" i="13"/>
  <c r="C29" i="13"/>
  <c r="C8" i="13"/>
  <c r="E5" i="10"/>
  <c r="S11" i="7"/>
  <c r="S10" i="7"/>
  <c r="S25" i="7" s="1"/>
  <c r="F5" i="10"/>
  <c r="D24" i="12"/>
  <c r="E24" i="12"/>
  <c r="F24" i="12"/>
  <c r="G24" i="12"/>
  <c r="H24" i="12"/>
  <c r="I24" i="12"/>
  <c r="J24" i="12"/>
  <c r="J28" i="12" s="1"/>
  <c r="K24" i="12"/>
  <c r="K28" i="12" s="1"/>
  <c r="L24" i="12"/>
  <c r="L28" i="12" s="1"/>
  <c r="M24" i="12"/>
  <c r="M28" i="12" s="1"/>
  <c r="N24" i="12"/>
  <c r="N28" i="12" s="1"/>
  <c r="O24" i="12"/>
  <c r="P24" i="12" s="1"/>
  <c r="Q24" i="12" s="1"/>
  <c r="R24" i="12" s="1"/>
  <c r="S24" i="12" s="1"/>
  <c r="S25" i="12"/>
  <c r="S26" i="12"/>
  <c r="I28" i="12" s="1"/>
  <c r="C27" i="12"/>
  <c r="D27" i="12"/>
  <c r="E27" i="12"/>
  <c r="E28" i="12" s="1"/>
  <c r="F27" i="12"/>
  <c r="F28" i="12" s="1"/>
  <c r="G27" i="12"/>
  <c r="G28" i="12" s="1"/>
  <c r="H27" i="12"/>
  <c r="H28" i="12" s="1"/>
  <c r="I27" i="12"/>
  <c r="J27" i="12"/>
  <c r="K27" i="12"/>
  <c r="L27" i="12"/>
  <c r="M27" i="12"/>
  <c r="N27" i="12"/>
  <c r="O27" i="12"/>
  <c r="P27" i="12"/>
  <c r="Q27" i="12"/>
  <c r="R27" i="12"/>
  <c r="S27" i="12"/>
  <c r="D28" i="12"/>
  <c r="B34" i="12"/>
  <c r="D34" i="12"/>
  <c r="D6" i="12"/>
  <c r="D7" i="12" s="1"/>
  <c r="E6" i="12"/>
  <c r="E7" i="12" s="1"/>
  <c r="F6" i="12"/>
  <c r="C7" i="12"/>
  <c r="D9" i="12"/>
  <c r="E9" i="12"/>
  <c r="F9" i="12"/>
  <c r="G9" i="12"/>
  <c r="H9" i="12"/>
  <c r="I9" i="12"/>
  <c r="J9" i="12"/>
  <c r="K9" i="12"/>
  <c r="L9" i="12"/>
  <c r="M9" i="12" s="1"/>
  <c r="N9" i="12" s="1"/>
  <c r="O9" i="12" s="1"/>
  <c r="P9" i="12" s="1"/>
  <c r="Q9" i="12" s="1"/>
  <c r="R9" i="12" s="1"/>
  <c r="S9" i="12" s="1"/>
  <c r="C12" i="12"/>
  <c r="D12" i="12"/>
  <c r="D13" i="12" s="1"/>
  <c r="E12" i="12"/>
  <c r="E13" i="12" s="1"/>
  <c r="F12" i="12"/>
  <c r="F13" i="12" s="1"/>
  <c r="G12" i="12"/>
  <c r="H12" i="12"/>
  <c r="I12" i="12"/>
  <c r="J12" i="12"/>
  <c r="K12" i="12"/>
  <c r="L12" i="12"/>
  <c r="M12" i="12"/>
  <c r="N12" i="12"/>
  <c r="N13" i="12" s="1"/>
  <c r="O12" i="12"/>
  <c r="O13" i="12" s="1"/>
  <c r="P12" i="12"/>
  <c r="P13" i="12" s="1"/>
  <c r="Q12" i="12"/>
  <c r="Q13" i="12" s="1"/>
  <c r="R12" i="12"/>
  <c r="R13" i="12" s="1"/>
  <c r="S12" i="12"/>
  <c r="D17" i="12"/>
  <c r="D19" i="12"/>
  <c r="D32" i="12" s="1"/>
  <c r="D5" i="10"/>
  <c r="C5" i="10"/>
  <c r="B34" i="7"/>
  <c r="C57" i="2"/>
  <c r="C58" i="2"/>
  <c r="D57" i="2"/>
  <c r="D58" i="2"/>
  <c r="R29" i="12" l="1"/>
  <c r="R30" i="12" s="1"/>
  <c r="P28" i="12"/>
  <c r="O28" i="12"/>
  <c r="G13" i="12"/>
  <c r="R14" i="12"/>
  <c r="R15" i="12" s="1"/>
  <c r="H13" i="12"/>
  <c r="I13" i="12"/>
  <c r="R28" i="12"/>
  <c r="M13" i="12"/>
  <c r="G6" i="12"/>
  <c r="F7" i="12"/>
  <c r="Q28" i="12"/>
  <c r="L13" i="12"/>
  <c r="K13" i="12"/>
  <c r="J13" i="12"/>
  <c r="B14" i="4"/>
  <c r="S26" i="7" s="1"/>
  <c r="F16" i="8"/>
  <c r="B7" i="4"/>
  <c r="D61" i="2"/>
  <c r="E61" i="2"/>
  <c r="F61" i="2"/>
  <c r="G61" i="2"/>
  <c r="H61" i="2"/>
  <c r="I61" i="2"/>
  <c r="J61" i="2"/>
  <c r="K61" i="2"/>
  <c r="L61" i="2"/>
  <c r="D62" i="2"/>
  <c r="E62" i="2"/>
  <c r="F62" i="2"/>
  <c r="G62" i="2"/>
  <c r="H62" i="2"/>
  <c r="I62" i="2"/>
  <c r="J62" i="2"/>
  <c r="K62" i="2"/>
  <c r="L62" i="2"/>
  <c r="C62" i="2"/>
  <c r="C65" i="2"/>
  <c r="C61" i="2"/>
  <c r="C108" i="1"/>
  <c r="C105" i="1"/>
  <c r="W10" i="8"/>
  <c r="N10" i="8"/>
  <c r="O10" i="8"/>
  <c r="P10" i="8"/>
  <c r="Q10" i="8"/>
  <c r="R10" i="8"/>
  <c r="S10" i="8"/>
  <c r="T10" i="8"/>
  <c r="U10" i="8"/>
  <c r="V10" i="8"/>
  <c r="M10" i="8"/>
  <c r="C29" i="8"/>
  <c r="C30" i="8" s="1"/>
  <c r="G7" i="8"/>
  <c r="H7" i="8"/>
  <c r="I7" i="8"/>
  <c r="J7" i="8"/>
  <c r="K7" i="8"/>
  <c r="K8" i="8" s="1"/>
  <c r="L7" i="8"/>
  <c r="L8" i="8" s="1"/>
  <c r="M7" i="8"/>
  <c r="N7" i="8"/>
  <c r="E7" i="8"/>
  <c r="F7" i="8"/>
  <c r="D7" i="8"/>
  <c r="C7" i="8"/>
  <c r="L84" i="2"/>
  <c r="K84" i="2"/>
  <c r="J84" i="2"/>
  <c r="I84" i="2"/>
  <c r="H84" i="2"/>
  <c r="G84" i="2"/>
  <c r="F84" i="2"/>
  <c r="E84" i="2"/>
  <c r="D84" i="2"/>
  <c r="C84" i="2"/>
  <c r="C19" i="8" l="1"/>
  <c r="W12" i="8" s="1"/>
  <c r="H6" i="12"/>
  <c r="G7" i="12"/>
  <c r="D31" i="12"/>
  <c r="D33" i="12" s="1"/>
  <c r="D16" i="12"/>
  <c r="D18" i="12" s="1"/>
  <c r="D20" i="12" s="1"/>
  <c r="E34" i="3"/>
  <c r="F34" i="3"/>
  <c r="J34" i="3"/>
  <c r="G34" i="3"/>
  <c r="H34" i="3"/>
  <c r="I34" i="3"/>
  <c r="K34" i="3"/>
  <c r="L34" i="3"/>
  <c r="D34" i="3"/>
  <c r="M11" i="8"/>
  <c r="N8" i="8"/>
  <c r="J8" i="8"/>
  <c r="H8" i="8"/>
  <c r="D8" i="8"/>
  <c r="F8" i="8"/>
  <c r="N11" i="8"/>
  <c r="M8" i="8"/>
  <c r="E8" i="8"/>
  <c r="I8" i="8"/>
  <c r="G8" i="8"/>
  <c r="O7" i="8"/>
  <c r="O11" i="8" s="1"/>
  <c r="M12" i="8" l="1"/>
  <c r="V12" i="8"/>
  <c r="U12" i="8"/>
  <c r="P12" i="8"/>
  <c r="O12" i="8"/>
  <c r="N12" i="8"/>
  <c r="O13" i="8" s="1"/>
  <c r="T12" i="8"/>
  <c r="S12" i="8"/>
  <c r="Q12" i="8"/>
  <c r="R12" i="8"/>
  <c r="I6" i="12"/>
  <c r="H7" i="12"/>
  <c r="N13" i="8"/>
  <c r="M13" i="8"/>
  <c r="P7" i="8"/>
  <c r="P11" i="8" s="1"/>
  <c r="O6" i="8"/>
  <c r="P13" i="8" l="1"/>
  <c r="J6" i="12"/>
  <c r="I7" i="12"/>
  <c r="Q7" i="8"/>
  <c r="Q11" i="8" s="1"/>
  <c r="Q13" i="8" s="1"/>
  <c r="P6" i="8"/>
  <c r="K6" i="12" l="1"/>
  <c r="J7" i="12"/>
  <c r="Q6" i="8"/>
  <c r="R7" i="8"/>
  <c r="R11" i="8" s="1"/>
  <c r="R13" i="8" s="1"/>
  <c r="L6" i="12" l="1"/>
  <c r="K7" i="12"/>
  <c r="R6" i="8"/>
  <c r="S7" i="8"/>
  <c r="S11" i="8" s="1"/>
  <c r="S13" i="8" s="1"/>
  <c r="M6" i="12" l="1"/>
  <c r="L7" i="12"/>
  <c r="T7" i="8"/>
  <c r="T11" i="8" s="1"/>
  <c r="T13" i="8" s="1"/>
  <c r="S6" i="8"/>
  <c r="N6" i="12" l="1"/>
  <c r="M7" i="12"/>
  <c r="T6" i="8"/>
  <c r="U7" i="8"/>
  <c r="U11" i="8" s="1"/>
  <c r="U13" i="8" s="1"/>
  <c r="O6" i="12" l="1"/>
  <c r="N7" i="12"/>
  <c r="U6" i="8"/>
  <c r="V7" i="8"/>
  <c r="V11" i="8" s="1"/>
  <c r="V13" i="8" s="1"/>
  <c r="P6" i="12" l="1"/>
  <c r="O7" i="12"/>
  <c r="W7" i="8"/>
  <c r="W11" i="8" s="1"/>
  <c r="V6" i="8"/>
  <c r="P7" i="12" l="1"/>
  <c r="Q6" i="12"/>
  <c r="C17" i="8"/>
  <c r="C20" i="8" s="1"/>
  <c r="W13" i="8"/>
  <c r="C16" i="8" s="1"/>
  <c r="W6" i="8"/>
  <c r="Q7" i="12" l="1"/>
  <c r="R6" i="12"/>
  <c r="C21" i="8"/>
  <c r="C22" i="8"/>
  <c r="S6" i="12" l="1"/>
  <c r="T6" i="12" s="1"/>
  <c r="U6" i="12" s="1"/>
  <c r="V6" i="12" s="1"/>
  <c r="W6" i="12" s="1"/>
  <c r="X6" i="12" s="1"/>
  <c r="Y6" i="12" s="1"/>
  <c r="Z6" i="12" s="1"/>
  <c r="AA6" i="12" s="1"/>
  <c r="AB6" i="12" s="1"/>
  <c r="AC6" i="12" s="1"/>
  <c r="AD6" i="12" s="1"/>
  <c r="AE6" i="12" s="1"/>
  <c r="AF6" i="12" s="1"/>
  <c r="AG6" i="12" s="1"/>
  <c r="AH6" i="12" s="1"/>
  <c r="AI6" i="12" s="1"/>
  <c r="AJ6" i="12" s="1"/>
  <c r="AK6" i="12" s="1"/>
  <c r="AL6" i="12" s="1"/>
  <c r="AM6" i="12" s="1"/>
  <c r="AN6" i="12" s="1"/>
  <c r="AO6" i="12" s="1"/>
  <c r="AP6" i="12" s="1"/>
  <c r="AQ6" i="12" s="1"/>
  <c r="AR6" i="12" s="1"/>
  <c r="AS6" i="12" s="1"/>
  <c r="AT6" i="12" s="1"/>
  <c r="AU6" i="12" s="1"/>
  <c r="AV6" i="12" s="1"/>
  <c r="AW6" i="12" s="1"/>
  <c r="AX6" i="12" s="1"/>
  <c r="AY6" i="12" s="1"/>
  <c r="AZ6" i="12" s="1"/>
  <c r="BA6" i="12" s="1"/>
  <c r="BB6" i="12" s="1"/>
  <c r="BC6" i="12" s="1"/>
  <c r="BD6" i="12" s="1"/>
  <c r="BE6" i="12" s="1"/>
  <c r="BF6" i="12" s="1"/>
  <c r="BG6" i="12" s="1"/>
  <c r="BH6" i="12" s="1"/>
  <c r="BI6" i="12" s="1"/>
  <c r="BJ6" i="12" s="1"/>
  <c r="BK6" i="12" s="1"/>
  <c r="BL6" i="12" s="1"/>
  <c r="BM6" i="12" s="1"/>
  <c r="R7" i="12"/>
  <c r="C23" i="8"/>
  <c r="F17" i="8" s="1"/>
  <c r="L43" i="2" l="1"/>
  <c r="K43" i="2"/>
  <c r="J43" i="2"/>
  <c r="I43" i="2"/>
  <c r="H43" i="2"/>
  <c r="G43" i="2"/>
  <c r="F43" i="2"/>
  <c r="E43" i="2"/>
  <c r="D43" i="2"/>
  <c r="C43" i="2"/>
  <c r="D29" i="2"/>
  <c r="E29" i="2"/>
  <c r="F29" i="2"/>
  <c r="G29" i="2"/>
  <c r="H29" i="2"/>
  <c r="I29" i="2"/>
  <c r="J29" i="2"/>
  <c r="K29" i="2"/>
  <c r="L29" i="2"/>
  <c r="C29" i="2"/>
  <c r="D26" i="2"/>
  <c r="E26" i="2"/>
  <c r="F26" i="2"/>
  <c r="G26" i="2"/>
  <c r="H26" i="2"/>
  <c r="I26" i="2"/>
  <c r="J26" i="2"/>
  <c r="K26" i="2"/>
  <c r="L26" i="2"/>
  <c r="C26" i="2"/>
  <c r="L17" i="2"/>
  <c r="K17" i="2"/>
  <c r="J17" i="2"/>
  <c r="I17" i="2"/>
  <c r="H17" i="2"/>
  <c r="G17" i="2"/>
  <c r="F17" i="2"/>
  <c r="E17" i="2"/>
  <c r="D17" i="2"/>
  <c r="C17" i="2"/>
  <c r="L20" i="2"/>
  <c r="K20" i="2"/>
  <c r="J20" i="2"/>
  <c r="I20" i="2"/>
  <c r="H20" i="2"/>
  <c r="G20" i="2"/>
  <c r="F20" i="2"/>
  <c r="E20" i="2"/>
  <c r="D20" i="2"/>
  <c r="C20" i="2"/>
  <c r="L12" i="2"/>
  <c r="K12" i="2"/>
  <c r="J12" i="2"/>
  <c r="I12" i="2"/>
  <c r="H12" i="2"/>
  <c r="G12" i="2"/>
  <c r="F12" i="2"/>
  <c r="E12" i="2"/>
  <c r="D12" i="2"/>
  <c r="C12" i="2"/>
  <c r="L11" i="2"/>
  <c r="K11" i="2"/>
  <c r="J11" i="2"/>
  <c r="I11" i="2"/>
  <c r="H11" i="2"/>
  <c r="G11" i="2"/>
  <c r="F11" i="2"/>
  <c r="E11" i="2"/>
  <c r="D11" i="2"/>
  <c r="C11" i="2"/>
  <c r="G18" i="3" l="1"/>
  <c r="E18" i="3"/>
  <c r="F18" i="3"/>
  <c r="I18" i="3"/>
  <c r="V43" i="2"/>
  <c r="Z43" i="2"/>
  <c r="M43" i="2"/>
  <c r="U43" i="2"/>
  <c r="R43" i="2"/>
  <c r="Q43" i="2"/>
  <c r="P43" i="2"/>
  <c r="Y43" i="2"/>
  <c r="W43" i="2"/>
  <c r="T43" i="2"/>
  <c r="S43" i="2"/>
  <c r="AB43" i="2"/>
  <c r="AA43" i="2"/>
  <c r="O43" i="2"/>
  <c r="N43" i="2"/>
  <c r="X43" i="2"/>
  <c r="K18" i="3"/>
  <c r="L18" i="3"/>
  <c r="D18" i="3"/>
  <c r="H18" i="3"/>
  <c r="R29" i="2"/>
  <c r="S29" i="2"/>
  <c r="Q29" i="2"/>
  <c r="Z29" i="2"/>
  <c r="Y29" i="2"/>
  <c r="V29" i="2"/>
  <c r="AB29" i="2"/>
  <c r="P29" i="2"/>
  <c r="AA29" i="2"/>
  <c r="O29" i="2"/>
  <c r="N29" i="2"/>
  <c r="X29" i="2"/>
  <c r="W29" i="2"/>
  <c r="U29" i="2"/>
  <c r="T29" i="2"/>
  <c r="M29" i="2"/>
  <c r="J18" i="3"/>
  <c r="E11" i="3"/>
  <c r="L11" i="3"/>
  <c r="F11" i="3"/>
  <c r="D11" i="3"/>
  <c r="G11" i="3"/>
  <c r="H11" i="3"/>
  <c r="I11" i="3"/>
  <c r="J11" i="3"/>
  <c r="K11" i="3"/>
  <c r="W18" i="3" l="1"/>
  <c r="U18" i="3"/>
  <c r="V18" i="3"/>
  <c r="X18" i="3"/>
  <c r="Z18" i="3"/>
  <c r="AA18" i="3"/>
  <c r="AB18" i="3"/>
  <c r="R18" i="3"/>
  <c r="M18" i="3"/>
  <c r="M20" i="2" s="1"/>
  <c r="Y18" i="3"/>
  <c r="N18" i="3"/>
  <c r="O18" i="3"/>
  <c r="Q18" i="3"/>
  <c r="S18" i="3"/>
  <c r="T18" i="3"/>
  <c r="P18" i="3"/>
  <c r="AB11" i="3"/>
  <c r="P11" i="3"/>
  <c r="N11" i="3"/>
  <c r="M11" i="3"/>
  <c r="M11" i="2" s="1"/>
  <c r="W11" i="3"/>
  <c r="AA11" i="3"/>
  <c r="O11" i="3"/>
  <c r="Z11" i="3"/>
  <c r="Y11" i="3"/>
  <c r="X11" i="3"/>
  <c r="V11" i="3"/>
  <c r="U11" i="3"/>
  <c r="T11" i="3"/>
  <c r="S11" i="3"/>
  <c r="R11" i="3"/>
  <c r="Q11" i="3"/>
  <c r="N11" i="2" l="1"/>
  <c r="O11" i="2" s="1"/>
  <c r="P11" i="2" s="1"/>
  <c r="Q11" i="2" s="1"/>
  <c r="R11" i="2" s="1"/>
  <c r="S11" i="2" s="1"/>
  <c r="T11" i="2" s="1"/>
  <c r="U11" i="2" s="1"/>
  <c r="V11" i="2" s="1"/>
  <c r="W11" i="2" s="1"/>
  <c r="X11" i="2" s="1"/>
  <c r="Y11" i="2" s="1"/>
  <c r="Z11" i="2" s="1"/>
  <c r="AA11" i="2" s="1"/>
  <c r="AB11" i="2" s="1"/>
  <c r="N20" i="2"/>
  <c r="O20" i="2" s="1"/>
  <c r="P20" i="2" s="1"/>
  <c r="Q20" i="2" s="1"/>
  <c r="R20" i="2" s="1"/>
  <c r="S20" i="2" s="1"/>
  <c r="T20" i="2" s="1"/>
  <c r="U20" i="2" s="1"/>
  <c r="V20" i="2" s="1"/>
  <c r="W20" i="2" s="1"/>
  <c r="X20" i="2" s="1"/>
  <c r="Y20" i="2" s="1"/>
  <c r="Z20" i="2" s="1"/>
  <c r="AA20" i="2" s="1"/>
  <c r="AB20" i="2" s="1"/>
  <c r="D34" i="7" l="1"/>
  <c r="D24" i="7"/>
  <c r="E24" i="7" s="1"/>
  <c r="F24" i="7" s="1"/>
  <c r="G24" i="7" s="1"/>
  <c r="H24" i="7" s="1"/>
  <c r="I24" i="7" s="1"/>
  <c r="J24" i="7" s="1"/>
  <c r="K24" i="7" s="1"/>
  <c r="L24" i="7" s="1"/>
  <c r="M24" i="7" s="1"/>
  <c r="N24" i="7" s="1"/>
  <c r="O24" i="7" s="1"/>
  <c r="P24" i="7" s="1"/>
  <c r="Q24" i="7" s="1"/>
  <c r="R24" i="7" s="1"/>
  <c r="S24" i="7" s="1"/>
  <c r="D19" i="7"/>
  <c r="D32" i="7" s="1"/>
  <c r="D9" i="7"/>
  <c r="E9" i="7" s="1"/>
  <c r="F9" i="7" s="1"/>
  <c r="G9" i="7" s="1"/>
  <c r="H9" i="7" s="1"/>
  <c r="I9" i="7" s="1"/>
  <c r="J9" i="7" s="1"/>
  <c r="K9" i="7" s="1"/>
  <c r="L9" i="7" s="1"/>
  <c r="M9" i="7" s="1"/>
  <c r="N9" i="7" s="1"/>
  <c r="O9" i="7" s="1"/>
  <c r="P9" i="7" s="1"/>
  <c r="Q9" i="7" s="1"/>
  <c r="R9" i="7" s="1"/>
  <c r="S9" i="7" s="1"/>
  <c r="C6" i="6"/>
  <c r="K32" i="5"/>
  <c r="D26" i="5"/>
  <c r="E26" i="5"/>
  <c r="F26" i="5"/>
  <c r="G26" i="5"/>
  <c r="H26" i="5"/>
  <c r="I26" i="5"/>
  <c r="J26" i="5"/>
  <c r="K26" i="5"/>
  <c r="L26" i="5"/>
  <c r="C26" i="5"/>
  <c r="C16" i="5"/>
  <c r="C7" i="5"/>
  <c r="B10" i="4"/>
  <c r="C27" i="3"/>
  <c r="D89" i="2"/>
  <c r="E89" i="2"/>
  <c r="F89" i="2"/>
  <c r="G89" i="2"/>
  <c r="H89" i="2"/>
  <c r="I89" i="2"/>
  <c r="J89" i="2"/>
  <c r="K89" i="2"/>
  <c r="L89" i="2"/>
  <c r="D90" i="2"/>
  <c r="E90" i="2"/>
  <c r="F90" i="2"/>
  <c r="G90" i="2"/>
  <c r="H90" i="2"/>
  <c r="I90" i="2"/>
  <c r="J90" i="2"/>
  <c r="K90" i="2"/>
  <c r="L90" i="2"/>
  <c r="D92" i="2"/>
  <c r="E92" i="2"/>
  <c r="F92" i="2"/>
  <c r="G92" i="2"/>
  <c r="H92" i="2"/>
  <c r="I92" i="2"/>
  <c r="J92" i="2"/>
  <c r="K92" i="2"/>
  <c r="L92" i="2"/>
  <c r="C92" i="2"/>
  <c r="C89" i="2"/>
  <c r="C90" i="2"/>
  <c r="D85" i="2"/>
  <c r="E85" i="2"/>
  <c r="F85" i="2"/>
  <c r="G85" i="2"/>
  <c r="H85" i="2"/>
  <c r="I85" i="2"/>
  <c r="J85" i="2"/>
  <c r="K85" i="2"/>
  <c r="L85" i="2"/>
  <c r="C85" i="2"/>
  <c r="D32" i="5"/>
  <c r="E30" i="5" s="1"/>
  <c r="E32" i="5"/>
  <c r="F32" i="5"/>
  <c r="G32" i="5"/>
  <c r="H32" i="5"/>
  <c r="I32" i="5"/>
  <c r="J32" i="5"/>
  <c r="L32" i="5"/>
  <c r="D69" i="2"/>
  <c r="E69" i="2"/>
  <c r="F69" i="2"/>
  <c r="G69" i="2"/>
  <c r="H69" i="2"/>
  <c r="I69" i="2"/>
  <c r="J69" i="2"/>
  <c r="K69" i="2"/>
  <c r="L69" i="2"/>
  <c r="C69" i="2"/>
  <c r="E58" i="2"/>
  <c r="F58" i="2"/>
  <c r="G58" i="2"/>
  <c r="H58" i="2"/>
  <c r="I58" i="2"/>
  <c r="J58" i="2"/>
  <c r="K58" i="2"/>
  <c r="L58" i="2"/>
  <c r="D65" i="2"/>
  <c r="E65" i="2"/>
  <c r="F65" i="2"/>
  <c r="G65" i="2"/>
  <c r="H65" i="2"/>
  <c r="I65" i="2"/>
  <c r="J65" i="2"/>
  <c r="K65" i="2"/>
  <c r="L65" i="2"/>
  <c r="E57" i="2"/>
  <c r="F57" i="2"/>
  <c r="G57" i="2"/>
  <c r="H57" i="2"/>
  <c r="I57" i="2"/>
  <c r="J57" i="2"/>
  <c r="K57" i="2"/>
  <c r="L57" i="2"/>
  <c r="C54" i="2"/>
  <c r="C7" i="2"/>
  <c r="C3" i="4"/>
  <c r="D3" i="4" s="1"/>
  <c r="E3" i="4" s="1"/>
  <c r="F3" i="4" s="1"/>
  <c r="G3" i="4" s="1"/>
  <c r="H3" i="4" s="1"/>
  <c r="I3" i="4" s="1"/>
  <c r="J3" i="4" s="1"/>
  <c r="K3" i="4" s="1"/>
  <c r="K10" i="4" s="1"/>
  <c r="C7" i="3"/>
  <c r="D39" i="2"/>
  <c r="E39" i="2"/>
  <c r="F39" i="2"/>
  <c r="G39" i="2"/>
  <c r="H39" i="2"/>
  <c r="I39" i="2"/>
  <c r="J39" i="2"/>
  <c r="K39" i="2"/>
  <c r="L39" i="2"/>
  <c r="C39" i="2"/>
  <c r="D35" i="2"/>
  <c r="E35" i="2"/>
  <c r="F35" i="2"/>
  <c r="G35" i="2"/>
  <c r="H35" i="2"/>
  <c r="I35" i="2"/>
  <c r="J35" i="2"/>
  <c r="K35" i="2"/>
  <c r="L35" i="2"/>
  <c r="C35" i="2"/>
  <c r="C27" i="2"/>
  <c r="D27" i="2"/>
  <c r="E27" i="2"/>
  <c r="F27" i="2"/>
  <c r="G27" i="2"/>
  <c r="H27" i="2"/>
  <c r="I27" i="2"/>
  <c r="J27" i="2"/>
  <c r="K27" i="2"/>
  <c r="L27" i="2"/>
  <c r="AB26" i="2"/>
  <c r="D21" i="2"/>
  <c r="E21" i="2"/>
  <c r="E19" i="3" s="1"/>
  <c r="F21" i="2"/>
  <c r="F19" i="3" s="1"/>
  <c r="G21" i="2"/>
  <c r="H21" i="2"/>
  <c r="I21" i="2"/>
  <c r="J21" i="2"/>
  <c r="J19" i="3" s="1"/>
  <c r="K21" i="2"/>
  <c r="L21" i="2"/>
  <c r="C21" i="2"/>
  <c r="D9" i="2"/>
  <c r="E9" i="2"/>
  <c r="F9" i="2"/>
  <c r="G9" i="2"/>
  <c r="H9" i="2"/>
  <c r="I9" i="2"/>
  <c r="J9" i="2"/>
  <c r="K9" i="2"/>
  <c r="L9" i="2"/>
  <c r="C9" i="2"/>
  <c r="D10" i="2"/>
  <c r="E10" i="2"/>
  <c r="F10" i="2"/>
  <c r="G10" i="2"/>
  <c r="H10" i="2"/>
  <c r="I10" i="2"/>
  <c r="J10" i="2"/>
  <c r="J10" i="3" s="1"/>
  <c r="K10" i="2"/>
  <c r="L10" i="2"/>
  <c r="C10" i="2"/>
  <c r="D19" i="2"/>
  <c r="E19" i="2"/>
  <c r="F19" i="2"/>
  <c r="G19" i="2"/>
  <c r="H19" i="2"/>
  <c r="I19" i="2"/>
  <c r="J19" i="2"/>
  <c r="K19" i="2"/>
  <c r="L19" i="2"/>
  <c r="L22" i="2" s="1"/>
  <c r="C19" i="2"/>
  <c r="C22" i="2" s="1"/>
  <c r="C13" i="2"/>
  <c r="D13" i="2"/>
  <c r="E13" i="2"/>
  <c r="F13" i="2"/>
  <c r="G13" i="2"/>
  <c r="H13" i="2"/>
  <c r="I13" i="2"/>
  <c r="J13" i="2"/>
  <c r="K13" i="2"/>
  <c r="L13" i="2"/>
  <c r="H10" i="3" l="1"/>
  <c r="H19" i="3"/>
  <c r="F36" i="3"/>
  <c r="M85" i="2"/>
  <c r="H10" i="4"/>
  <c r="G10" i="4"/>
  <c r="F10" i="4"/>
  <c r="E10" i="4"/>
  <c r="C10" i="4"/>
  <c r="J10" i="4"/>
  <c r="D10" i="4"/>
  <c r="I10" i="4"/>
  <c r="H23" i="3"/>
  <c r="C32" i="3"/>
  <c r="K22" i="2"/>
  <c r="N85" i="2"/>
  <c r="D22" i="2"/>
  <c r="G19" i="3"/>
  <c r="D19" i="3"/>
  <c r="I19" i="3"/>
  <c r="J22" i="2"/>
  <c r="H22" i="2"/>
  <c r="F22" i="2"/>
  <c r="L19" i="3"/>
  <c r="I22" i="2"/>
  <c r="G22" i="2"/>
  <c r="E22" i="2"/>
  <c r="K19" i="3"/>
  <c r="D13" i="3"/>
  <c r="D14" i="3" s="1"/>
  <c r="I10" i="3"/>
  <c r="G23" i="3"/>
  <c r="L23" i="3"/>
  <c r="F17" i="3"/>
  <c r="C63" i="2"/>
  <c r="C24" i="5" s="1"/>
  <c r="D22" i="5" s="1"/>
  <c r="G36" i="3"/>
  <c r="G17" i="3"/>
  <c r="K36" i="3"/>
  <c r="K17" i="3"/>
  <c r="G10" i="3"/>
  <c r="C23" i="3"/>
  <c r="F23" i="3"/>
  <c r="E23" i="3"/>
  <c r="J23" i="3"/>
  <c r="E17" i="3"/>
  <c r="K23" i="3"/>
  <c r="K63" i="2"/>
  <c r="K24" i="5" s="1"/>
  <c r="L22" i="5" s="1"/>
  <c r="L13" i="3"/>
  <c r="L14" i="3" s="1"/>
  <c r="L59" i="2"/>
  <c r="L20" i="5" s="1"/>
  <c r="M18" i="5" s="1"/>
  <c r="J63" i="2"/>
  <c r="J24" i="5" s="1"/>
  <c r="K22" i="5" s="1"/>
  <c r="E36" i="3"/>
  <c r="I23" i="3"/>
  <c r="C13" i="3"/>
  <c r="C14" i="3" s="1"/>
  <c r="AB35" i="2"/>
  <c r="L63" i="2"/>
  <c r="L24" i="5" s="1"/>
  <c r="M22" i="5" s="1"/>
  <c r="K59" i="2"/>
  <c r="K20" i="5" s="1"/>
  <c r="L18" i="5" s="1"/>
  <c r="I63" i="2"/>
  <c r="I24" i="5" s="1"/>
  <c r="J22" i="5" s="1"/>
  <c r="D23" i="3"/>
  <c r="C59" i="2"/>
  <c r="C20" i="5" s="1"/>
  <c r="D18" i="5" s="1"/>
  <c r="J13" i="3"/>
  <c r="J14" i="3" s="1"/>
  <c r="J59" i="2"/>
  <c r="J20" i="5" s="1"/>
  <c r="K18" i="5" s="1"/>
  <c r="H63" i="2"/>
  <c r="H24" i="5" s="1"/>
  <c r="I22" i="5" s="1"/>
  <c r="M90" i="2"/>
  <c r="N90" i="2" s="1"/>
  <c r="O90" i="2" s="1"/>
  <c r="P90" i="2" s="1"/>
  <c r="Q90" i="2" s="1"/>
  <c r="R90" i="2" s="1"/>
  <c r="S90" i="2" s="1"/>
  <c r="T90" i="2" s="1"/>
  <c r="U90" i="2" s="1"/>
  <c r="V90" i="2" s="1"/>
  <c r="W90" i="2" s="1"/>
  <c r="X90" i="2" s="1"/>
  <c r="Y90" i="2" s="1"/>
  <c r="Z90" i="2" s="1"/>
  <c r="AA90" i="2" s="1"/>
  <c r="AB90" i="2" s="1"/>
  <c r="I13" i="3"/>
  <c r="I14" i="3" s="1"/>
  <c r="H17" i="3"/>
  <c r="H36" i="3"/>
  <c r="D12" i="3"/>
  <c r="C86" i="2"/>
  <c r="C32" i="5"/>
  <c r="D30" i="5" s="1"/>
  <c r="D31" i="5" s="1"/>
  <c r="D14" i="6" s="1"/>
  <c r="D17" i="7"/>
  <c r="C15" i="2"/>
  <c r="C24" i="2" s="1"/>
  <c r="G63" i="2"/>
  <c r="G24" i="5" s="1"/>
  <c r="H22" i="5" s="1"/>
  <c r="I59" i="2"/>
  <c r="I20" i="5" s="1"/>
  <c r="J18" i="5" s="1"/>
  <c r="K13" i="3"/>
  <c r="K14" i="3" s="1"/>
  <c r="J17" i="3"/>
  <c r="F10" i="3"/>
  <c r="M92" i="2"/>
  <c r="N92" i="2" s="1"/>
  <c r="O92" i="2" s="1"/>
  <c r="P92" i="2" s="1"/>
  <c r="Q92" i="2" s="1"/>
  <c r="R92" i="2" s="1"/>
  <c r="S92" i="2" s="1"/>
  <c r="T92" i="2" s="1"/>
  <c r="U92" i="2" s="1"/>
  <c r="V92" i="2" s="1"/>
  <c r="W92" i="2" s="1"/>
  <c r="X92" i="2" s="1"/>
  <c r="Y92" i="2" s="1"/>
  <c r="Z92" i="2" s="1"/>
  <c r="AA92" i="2" s="1"/>
  <c r="AB92" i="2" s="1"/>
  <c r="I17" i="3"/>
  <c r="E10" i="3"/>
  <c r="H59" i="2"/>
  <c r="H20" i="5" s="1"/>
  <c r="I18" i="5" s="1"/>
  <c r="G13" i="3"/>
  <c r="G14" i="3" s="1"/>
  <c r="E63" i="2"/>
  <c r="E24" i="5" s="1"/>
  <c r="F22" i="5" s="1"/>
  <c r="F63" i="2"/>
  <c r="F24" i="5" s="1"/>
  <c r="G22" i="5" s="1"/>
  <c r="G59" i="2"/>
  <c r="G20" i="5" s="1"/>
  <c r="H18" i="5" s="1"/>
  <c r="F59" i="2"/>
  <c r="F20" i="5" s="1"/>
  <c r="G18" i="5" s="1"/>
  <c r="D63" i="2"/>
  <c r="D24" i="5" s="1"/>
  <c r="E13" i="3"/>
  <c r="E14" i="3" s="1"/>
  <c r="E59" i="2"/>
  <c r="E20" i="5" s="1"/>
  <c r="F18" i="5" s="1"/>
  <c r="J36" i="3"/>
  <c r="H13" i="3"/>
  <c r="H14" i="3" s="1"/>
  <c r="F13" i="3"/>
  <c r="F14" i="3" s="1"/>
  <c r="K10" i="3"/>
  <c r="D59" i="2"/>
  <c r="D20" i="5" s="1"/>
  <c r="E18" i="5" s="1"/>
  <c r="I36" i="3"/>
  <c r="C7" i="6"/>
  <c r="D6" i="6"/>
  <c r="M30" i="5"/>
  <c r="L30" i="5"/>
  <c r="L31" i="5" s="1"/>
  <c r="L14" i="6" s="1"/>
  <c r="K30" i="5"/>
  <c r="K31" i="5" s="1"/>
  <c r="K14" i="6" s="1"/>
  <c r="J30" i="5"/>
  <c r="J31" i="5" s="1"/>
  <c r="J14" i="6" s="1"/>
  <c r="I30" i="5"/>
  <c r="I31" i="5" s="1"/>
  <c r="I14" i="6" s="1"/>
  <c r="H30" i="5"/>
  <c r="H31" i="5" s="1"/>
  <c r="H14" i="6" s="1"/>
  <c r="G30" i="5"/>
  <c r="G31" i="5" s="1"/>
  <c r="G14" i="6" s="1"/>
  <c r="F30" i="5"/>
  <c r="F31" i="5" s="1"/>
  <c r="F14" i="6" s="1"/>
  <c r="E31" i="5"/>
  <c r="E14" i="6" s="1"/>
  <c r="C17" i="5"/>
  <c r="D16" i="5"/>
  <c r="C8" i="5"/>
  <c r="D7" i="5"/>
  <c r="AB27" i="2"/>
  <c r="AB28" i="2" s="1"/>
  <c r="AB31" i="2" s="1"/>
  <c r="C31" i="3"/>
  <c r="L31" i="3"/>
  <c r="K31" i="3"/>
  <c r="J31" i="3"/>
  <c r="I31" i="3"/>
  <c r="H31" i="3"/>
  <c r="G31" i="3"/>
  <c r="F31" i="3"/>
  <c r="E31" i="3"/>
  <c r="D31" i="3"/>
  <c r="L32" i="3"/>
  <c r="K32" i="3"/>
  <c r="J32" i="3"/>
  <c r="I32" i="3"/>
  <c r="H32" i="3"/>
  <c r="G32" i="3"/>
  <c r="F32" i="3"/>
  <c r="E32" i="3"/>
  <c r="D32" i="3"/>
  <c r="L86" i="2"/>
  <c r="K86" i="2"/>
  <c r="J86" i="2"/>
  <c r="I86" i="2"/>
  <c r="H86" i="2"/>
  <c r="G86" i="2"/>
  <c r="F86" i="2"/>
  <c r="E86" i="2"/>
  <c r="D86" i="2"/>
  <c r="L36" i="3"/>
  <c r="D36" i="3"/>
  <c r="C28" i="3"/>
  <c r="D27" i="3"/>
  <c r="C55" i="2"/>
  <c r="D54" i="2"/>
  <c r="L17" i="3"/>
  <c r="AA26" i="2"/>
  <c r="Z26" i="2"/>
  <c r="Y26" i="2"/>
  <c r="X26" i="2"/>
  <c r="W26" i="2"/>
  <c r="V26" i="2"/>
  <c r="U26" i="2"/>
  <c r="T26" i="2"/>
  <c r="S26" i="2"/>
  <c r="R26" i="2"/>
  <c r="AA27" i="2"/>
  <c r="Z27" i="2"/>
  <c r="Y27" i="2"/>
  <c r="X27" i="2"/>
  <c r="W27" i="2"/>
  <c r="V27" i="2"/>
  <c r="U27" i="2"/>
  <c r="T27" i="2"/>
  <c r="S27" i="2"/>
  <c r="R27" i="2"/>
  <c r="AA35" i="2"/>
  <c r="Z35" i="2"/>
  <c r="Y35" i="2"/>
  <c r="X35" i="2"/>
  <c r="W35" i="2"/>
  <c r="V35" i="2"/>
  <c r="U35" i="2"/>
  <c r="T35" i="2"/>
  <c r="S35" i="2"/>
  <c r="R35" i="2"/>
  <c r="C8" i="2"/>
  <c r="D7" i="2"/>
  <c r="L12" i="3"/>
  <c r="D17" i="3"/>
  <c r="L10" i="3"/>
  <c r="D10" i="3"/>
  <c r="L9" i="3"/>
  <c r="K9" i="3"/>
  <c r="J9" i="3"/>
  <c r="I9" i="3"/>
  <c r="H9" i="3"/>
  <c r="G9" i="3"/>
  <c r="F9" i="3"/>
  <c r="E9" i="3"/>
  <c r="D9" i="3"/>
  <c r="K12" i="3"/>
  <c r="J12" i="3"/>
  <c r="I12" i="3"/>
  <c r="H12" i="3"/>
  <c r="G12" i="3"/>
  <c r="F12" i="3"/>
  <c r="E12" i="3"/>
  <c r="N26" i="2"/>
  <c r="O26" i="2"/>
  <c r="P26" i="2"/>
  <c r="Q26" i="2"/>
  <c r="M26" i="2"/>
  <c r="L28" i="2"/>
  <c r="L31" i="2" s="1"/>
  <c r="K28" i="2"/>
  <c r="K31" i="2" s="1"/>
  <c r="J28" i="2"/>
  <c r="J31" i="2" s="1"/>
  <c r="I28" i="2"/>
  <c r="I31" i="2" s="1"/>
  <c r="H28" i="2"/>
  <c r="H31" i="2" s="1"/>
  <c r="G28" i="2"/>
  <c r="G31" i="2" s="1"/>
  <c r="F28" i="2"/>
  <c r="F31" i="2" s="1"/>
  <c r="E28" i="2"/>
  <c r="E31" i="2" s="1"/>
  <c r="D28" i="2"/>
  <c r="D31" i="2" s="1"/>
  <c r="C28" i="2"/>
  <c r="C31" i="2" s="1"/>
  <c r="N27" i="2"/>
  <c r="O27" i="2"/>
  <c r="P27" i="2"/>
  <c r="Q27" i="2"/>
  <c r="M27" i="2"/>
  <c r="N35" i="2"/>
  <c r="O35" i="2"/>
  <c r="P35" i="2"/>
  <c r="Q35" i="2"/>
  <c r="M35" i="2"/>
  <c r="C8" i="3"/>
  <c r="D7" i="3"/>
  <c r="D15" i="2"/>
  <c r="E15" i="2"/>
  <c r="F15" i="2"/>
  <c r="G15" i="2"/>
  <c r="H15" i="2"/>
  <c r="I15" i="2"/>
  <c r="J15" i="2"/>
  <c r="K15" i="2"/>
  <c r="K24" i="2" s="1"/>
  <c r="L15" i="2"/>
  <c r="L24" i="2" s="1"/>
  <c r="O85" i="2" l="1"/>
  <c r="P85" i="2" s="1"/>
  <c r="Q85" i="2" s="1"/>
  <c r="D24" i="2"/>
  <c r="D9" i="5" s="1"/>
  <c r="N19" i="3"/>
  <c r="V32" i="3"/>
  <c r="T32" i="3"/>
  <c r="W32" i="3"/>
  <c r="R32" i="3"/>
  <c r="X32" i="3"/>
  <c r="AB32" i="3"/>
  <c r="U32" i="3"/>
  <c r="Y32" i="3"/>
  <c r="P32" i="3"/>
  <c r="M32" i="3"/>
  <c r="N32" i="3"/>
  <c r="Z32" i="3"/>
  <c r="O32" i="3"/>
  <c r="AA32" i="3"/>
  <c r="Q32" i="3"/>
  <c r="S32" i="3"/>
  <c r="N31" i="3"/>
  <c r="Z31" i="3"/>
  <c r="M31" i="3"/>
  <c r="S31" i="3"/>
  <c r="T31" i="3"/>
  <c r="U31" i="3"/>
  <c r="Y31" i="3"/>
  <c r="O31" i="3"/>
  <c r="AA31" i="3"/>
  <c r="R31" i="3"/>
  <c r="W31" i="3"/>
  <c r="P31" i="3"/>
  <c r="AB31" i="3"/>
  <c r="Q31" i="3"/>
  <c r="V31" i="3"/>
  <c r="X31" i="3"/>
  <c r="U28" i="2"/>
  <c r="U31" i="2" s="1"/>
  <c r="X19" i="3"/>
  <c r="V19" i="3"/>
  <c r="U19" i="3"/>
  <c r="R19" i="3"/>
  <c r="Q19" i="3"/>
  <c r="P19" i="3"/>
  <c r="AA19" i="3"/>
  <c r="M19" i="3"/>
  <c r="M21" i="2" s="1"/>
  <c r="Z19" i="3"/>
  <c r="Y19" i="3"/>
  <c r="O19" i="3"/>
  <c r="W19" i="3"/>
  <c r="S19" i="3"/>
  <c r="T19" i="3"/>
  <c r="AB19" i="3"/>
  <c r="F24" i="2"/>
  <c r="F33" i="2" s="1"/>
  <c r="E24" i="2"/>
  <c r="E33" i="2" s="1"/>
  <c r="E37" i="2" s="1"/>
  <c r="E22" i="3" s="1"/>
  <c r="E47" i="2" s="1"/>
  <c r="C33" i="2"/>
  <c r="C37" i="2" s="1"/>
  <c r="H24" i="2"/>
  <c r="H9" i="5" s="1"/>
  <c r="G24" i="2"/>
  <c r="G33" i="2" s="1"/>
  <c r="D33" i="2"/>
  <c r="K33" i="2"/>
  <c r="L33" i="2"/>
  <c r="I24" i="2"/>
  <c r="I33" i="2" s="1"/>
  <c r="J24" i="2"/>
  <c r="J33" i="2" s="1"/>
  <c r="V28" i="2"/>
  <c r="V31" i="2" s="1"/>
  <c r="C30" i="3"/>
  <c r="W28" i="2"/>
  <c r="W31" i="2" s="1"/>
  <c r="X28" i="2"/>
  <c r="X31" i="2" s="1"/>
  <c r="F19" i="5"/>
  <c r="F9" i="6" s="1"/>
  <c r="T28" i="2"/>
  <c r="T31" i="2" s="1"/>
  <c r="X23" i="3"/>
  <c r="Z23" i="3"/>
  <c r="Y28" i="2"/>
  <c r="Y31" i="2" s="1"/>
  <c r="D30" i="3"/>
  <c r="L23" i="5"/>
  <c r="L28" i="5" s="1"/>
  <c r="L10" i="6" s="1"/>
  <c r="S28" i="2"/>
  <c r="S31" i="2" s="1"/>
  <c r="G30" i="3"/>
  <c r="K23" i="5"/>
  <c r="K28" i="5" s="1"/>
  <c r="K10" i="6" s="1"/>
  <c r="W23" i="3"/>
  <c r="K19" i="5"/>
  <c r="K9" i="6" s="1"/>
  <c r="T23" i="3"/>
  <c r="H19" i="5"/>
  <c r="H9" i="6" s="1"/>
  <c r="G23" i="5"/>
  <c r="G28" i="5" s="1"/>
  <c r="G10" i="6" s="1"/>
  <c r="AA28" i="2"/>
  <c r="AA31" i="2" s="1"/>
  <c r="I30" i="3"/>
  <c r="AB23" i="3"/>
  <c r="E16" i="3"/>
  <c r="L30" i="3"/>
  <c r="K29" i="3"/>
  <c r="K67" i="2"/>
  <c r="K19" i="6" s="1"/>
  <c r="O23" i="3"/>
  <c r="S23" i="3"/>
  <c r="U23" i="3"/>
  <c r="L19" i="5"/>
  <c r="L9" i="6" s="1"/>
  <c r="AB9" i="3"/>
  <c r="L29" i="3"/>
  <c r="I23" i="5"/>
  <c r="I28" i="5" s="1"/>
  <c r="I10" i="6" s="1"/>
  <c r="L67" i="2"/>
  <c r="L19" i="6" s="1"/>
  <c r="H30" i="3"/>
  <c r="C29" i="3"/>
  <c r="J19" i="5"/>
  <c r="J9" i="6" s="1"/>
  <c r="C67" i="2"/>
  <c r="V23" i="3"/>
  <c r="H23" i="5"/>
  <c r="H28" i="5" s="1"/>
  <c r="H10" i="6" s="1"/>
  <c r="AB13" i="3"/>
  <c r="AB14" i="3" s="1"/>
  <c r="E19" i="5"/>
  <c r="E9" i="6" s="1"/>
  <c r="F29" i="3"/>
  <c r="Y23" i="3"/>
  <c r="J30" i="3"/>
  <c r="J29" i="3"/>
  <c r="J67" i="2"/>
  <c r="J19" i="6" s="1"/>
  <c r="R28" i="2"/>
  <c r="R31" i="2" s="1"/>
  <c r="M13" i="3"/>
  <c r="M14" i="3" s="1"/>
  <c r="E30" i="3"/>
  <c r="AA13" i="3"/>
  <c r="AA14" i="3" s="1"/>
  <c r="R23" i="3"/>
  <c r="S13" i="3"/>
  <c r="S14" i="3" s="1"/>
  <c r="AA23" i="3"/>
  <c r="M23" i="3"/>
  <c r="R13" i="3"/>
  <c r="R14" i="3" s="1"/>
  <c r="K30" i="3"/>
  <c r="Q23" i="3"/>
  <c r="Z13" i="3"/>
  <c r="Z14" i="3" s="1"/>
  <c r="AB17" i="3"/>
  <c r="P13" i="3"/>
  <c r="P14" i="3" s="1"/>
  <c r="J23" i="5"/>
  <c r="J28" i="5" s="1"/>
  <c r="J10" i="6" s="1"/>
  <c r="F23" i="5"/>
  <c r="F28" i="5" s="1"/>
  <c r="F10" i="6" s="1"/>
  <c r="V13" i="3"/>
  <c r="V14" i="3" s="1"/>
  <c r="Q13" i="3"/>
  <c r="Q14" i="3" s="1"/>
  <c r="D16" i="3"/>
  <c r="O13" i="3"/>
  <c r="O14" i="3" s="1"/>
  <c r="E29" i="3"/>
  <c r="N23" i="3"/>
  <c r="Z28" i="2"/>
  <c r="Z31" i="2" s="1"/>
  <c r="E67" i="2"/>
  <c r="E19" i="6" s="1"/>
  <c r="P23" i="3"/>
  <c r="I19" i="5"/>
  <c r="I9" i="6" s="1"/>
  <c r="L9" i="5"/>
  <c r="M28" i="2"/>
  <c r="M31" i="2" s="1"/>
  <c r="Y13" i="3"/>
  <c r="Y14" i="3" s="1"/>
  <c r="G67" i="2"/>
  <c r="G19" i="6" s="1"/>
  <c r="F67" i="2"/>
  <c r="F19" i="6" s="1"/>
  <c r="N13" i="3"/>
  <c r="N14" i="3" s="1"/>
  <c r="G29" i="3"/>
  <c r="K9" i="5"/>
  <c r="Q28" i="2"/>
  <c r="Q31" i="2" s="1"/>
  <c r="AB12" i="3"/>
  <c r="X13" i="3"/>
  <c r="X14" i="3" s="1"/>
  <c r="H29" i="3"/>
  <c r="P28" i="2"/>
  <c r="P31" i="2" s="1"/>
  <c r="W13" i="3"/>
  <c r="W14" i="3" s="1"/>
  <c r="H67" i="2"/>
  <c r="H19" i="6" s="1"/>
  <c r="F30" i="3"/>
  <c r="G19" i="5"/>
  <c r="G9" i="6" s="1"/>
  <c r="I29" i="3"/>
  <c r="U13" i="3"/>
  <c r="U14" i="3" s="1"/>
  <c r="I67" i="2"/>
  <c r="I19" i="6" s="1"/>
  <c r="O28" i="2"/>
  <c r="O31" i="2" s="1"/>
  <c r="N28" i="2"/>
  <c r="N31" i="2" s="1"/>
  <c r="AB10" i="3"/>
  <c r="T13" i="3"/>
  <c r="T14" i="3" s="1"/>
  <c r="D29" i="3"/>
  <c r="D23" i="5"/>
  <c r="D28" i="5" s="1"/>
  <c r="D10" i="6" s="1"/>
  <c r="E22" i="5"/>
  <c r="E23" i="5" s="1"/>
  <c r="E28" i="5" s="1"/>
  <c r="E10" i="6" s="1"/>
  <c r="D19" i="5"/>
  <c r="D9" i="6" s="1"/>
  <c r="D67" i="2"/>
  <c r="D19" i="6" s="1"/>
  <c r="D7" i="6"/>
  <c r="E6" i="6"/>
  <c r="D17" i="5"/>
  <c r="E16" i="5"/>
  <c r="D8" i="5"/>
  <c r="E7" i="5"/>
  <c r="D28" i="3"/>
  <c r="E27" i="3"/>
  <c r="D55" i="2"/>
  <c r="E54" i="2"/>
  <c r="N9" i="3"/>
  <c r="O9" i="3"/>
  <c r="P9" i="3"/>
  <c r="Q9" i="3"/>
  <c r="R9" i="3"/>
  <c r="S9" i="3"/>
  <c r="T9" i="3"/>
  <c r="U9" i="3"/>
  <c r="V9" i="3"/>
  <c r="W9" i="3"/>
  <c r="X9" i="3"/>
  <c r="Y9" i="3"/>
  <c r="Z9" i="3"/>
  <c r="AA9" i="3"/>
  <c r="M9" i="3"/>
  <c r="N10" i="3"/>
  <c r="O10" i="3"/>
  <c r="P10" i="3"/>
  <c r="Q10" i="3"/>
  <c r="R10" i="3"/>
  <c r="S10" i="3"/>
  <c r="T10" i="3"/>
  <c r="U10" i="3"/>
  <c r="V10" i="3"/>
  <c r="W10" i="3"/>
  <c r="X10" i="3"/>
  <c r="Y10" i="3"/>
  <c r="Z10" i="3"/>
  <c r="AA10" i="3"/>
  <c r="M10" i="3"/>
  <c r="M10" i="2" s="1"/>
  <c r="AA17" i="3"/>
  <c r="Z17" i="3"/>
  <c r="Y17" i="3"/>
  <c r="X17" i="3"/>
  <c r="W17" i="3"/>
  <c r="V17" i="3"/>
  <c r="U17" i="3"/>
  <c r="T17" i="3"/>
  <c r="S17" i="3"/>
  <c r="R17" i="3"/>
  <c r="Q17" i="3"/>
  <c r="P17" i="3"/>
  <c r="O17" i="3"/>
  <c r="N17" i="3"/>
  <c r="M17" i="3"/>
  <c r="M19" i="2" s="1"/>
  <c r="D8" i="2"/>
  <c r="E7" i="2"/>
  <c r="N12" i="3"/>
  <c r="O12" i="3"/>
  <c r="P12" i="3"/>
  <c r="Q12" i="3"/>
  <c r="R12" i="3"/>
  <c r="S12" i="3"/>
  <c r="T12" i="3"/>
  <c r="U12" i="3"/>
  <c r="V12" i="3"/>
  <c r="W12" i="3"/>
  <c r="X12" i="3"/>
  <c r="Y12" i="3"/>
  <c r="Z12" i="3"/>
  <c r="AA12" i="3"/>
  <c r="M12" i="3"/>
  <c r="M12" i="2" s="1"/>
  <c r="F16" i="3"/>
  <c r="G16" i="3"/>
  <c r="H16" i="3"/>
  <c r="I16" i="3"/>
  <c r="J16" i="3"/>
  <c r="K16" i="3"/>
  <c r="L16" i="3"/>
  <c r="D8" i="3"/>
  <c r="E7" i="3"/>
  <c r="M9" i="2" l="1"/>
  <c r="M26" i="5" s="1"/>
  <c r="R85" i="2"/>
  <c r="S85" i="2" s="1"/>
  <c r="T85" i="2" s="1"/>
  <c r="H33" i="2"/>
  <c r="H37" i="2" s="1"/>
  <c r="H22" i="3" s="1"/>
  <c r="H47" i="2" s="1"/>
  <c r="H48" i="2" s="1"/>
  <c r="H50" i="2" s="1"/>
  <c r="N21" i="2"/>
  <c r="O21" i="2" s="1"/>
  <c r="P21" i="2" s="1"/>
  <c r="Q21" i="2" s="1"/>
  <c r="R21" i="2" s="1"/>
  <c r="S21" i="2" s="1"/>
  <c r="T21" i="2" s="1"/>
  <c r="U21" i="2" s="1"/>
  <c r="V21" i="2" s="1"/>
  <c r="W21" i="2" s="1"/>
  <c r="X21" i="2" s="1"/>
  <c r="Y21" i="2" s="1"/>
  <c r="Z21" i="2" s="1"/>
  <c r="AA21" i="2" s="1"/>
  <c r="AB21" i="2" s="1"/>
  <c r="M22" i="2"/>
  <c r="N30" i="3"/>
  <c r="Z30" i="3"/>
  <c r="Q30" i="3"/>
  <c r="X30" i="3"/>
  <c r="O30" i="3"/>
  <c r="AA30" i="3"/>
  <c r="V30" i="3"/>
  <c r="Y30" i="3"/>
  <c r="P30" i="3"/>
  <c r="AB30" i="3"/>
  <c r="M30" i="3"/>
  <c r="R30" i="3"/>
  <c r="S30" i="3"/>
  <c r="T30" i="3"/>
  <c r="U30" i="3"/>
  <c r="W30" i="3"/>
  <c r="F9" i="5"/>
  <c r="E9" i="5"/>
  <c r="X29" i="3"/>
  <c r="AA29" i="3"/>
  <c r="N29" i="3"/>
  <c r="M29" i="3"/>
  <c r="W29" i="3"/>
  <c r="S29" i="3"/>
  <c r="R29" i="3"/>
  <c r="AB29" i="3"/>
  <c r="O29" i="3"/>
  <c r="Z29" i="3"/>
  <c r="V29" i="3"/>
  <c r="T29" i="3"/>
  <c r="P29" i="3"/>
  <c r="Y29" i="3"/>
  <c r="U29" i="3"/>
  <c r="Q29" i="3"/>
  <c r="E20" i="3"/>
  <c r="G9" i="5"/>
  <c r="J9" i="5"/>
  <c r="I9" i="5"/>
  <c r="D20" i="3"/>
  <c r="D37" i="2"/>
  <c r="D22" i="3" s="1"/>
  <c r="D47" i="2" s="1"/>
  <c r="D12" i="5" s="1"/>
  <c r="D13" i="6" s="1"/>
  <c r="J37" i="2"/>
  <c r="J22" i="3" s="1"/>
  <c r="J47" i="2" s="1"/>
  <c r="J10" i="5" s="1"/>
  <c r="J20" i="3"/>
  <c r="F20" i="3"/>
  <c r="F37" i="2"/>
  <c r="I37" i="2"/>
  <c r="I22" i="3" s="1"/>
  <c r="I47" i="2" s="1"/>
  <c r="I48" i="2" s="1"/>
  <c r="I50" i="2" s="1"/>
  <c r="I20" i="3"/>
  <c r="L20" i="3"/>
  <c r="N12" i="2"/>
  <c r="O12" i="2" s="1"/>
  <c r="P12" i="2" s="1"/>
  <c r="Q12" i="2" s="1"/>
  <c r="R12" i="2" s="1"/>
  <c r="S12" i="2" s="1"/>
  <c r="T12" i="2" s="1"/>
  <c r="U12" i="2" s="1"/>
  <c r="V12" i="2" s="1"/>
  <c r="W12" i="2" s="1"/>
  <c r="X12" i="2" s="1"/>
  <c r="Y12" i="2" s="1"/>
  <c r="Z12" i="2" s="1"/>
  <c r="AA12" i="2" s="1"/>
  <c r="AB12" i="2" s="1"/>
  <c r="G37" i="2"/>
  <c r="G22" i="3" s="1"/>
  <c r="G47" i="2" s="1"/>
  <c r="G48" i="2" s="1"/>
  <c r="G50" i="2" s="1"/>
  <c r="G20" i="3"/>
  <c r="N19" i="2"/>
  <c r="H20" i="3"/>
  <c r="M89" i="2"/>
  <c r="N89" i="2" s="1"/>
  <c r="O89" i="2" s="1"/>
  <c r="P89" i="2" s="1"/>
  <c r="Q89" i="2" s="1"/>
  <c r="R89" i="2" s="1"/>
  <c r="S89" i="2" s="1"/>
  <c r="T89" i="2" s="1"/>
  <c r="U89" i="2" s="1"/>
  <c r="V89" i="2" s="1"/>
  <c r="W89" i="2" s="1"/>
  <c r="X89" i="2" s="1"/>
  <c r="Y89" i="2" s="1"/>
  <c r="Z89" i="2" s="1"/>
  <c r="AA89" i="2" s="1"/>
  <c r="AB89" i="2" s="1"/>
  <c r="C9" i="5"/>
  <c r="C20" i="3"/>
  <c r="E41" i="2"/>
  <c r="N10" i="2"/>
  <c r="M84" i="2"/>
  <c r="K37" i="2"/>
  <c r="K20" i="3"/>
  <c r="L37" i="2"/>
  <c r="E7" i="6"/>
  <c r="F6" i="6"/>
  <c r="E48" i="2"/>
  <c r="E50" i="2" s="1"/>
  <c r="E10" i="5"/>
  <c r="E12" i="5"/>
  <c r="E13" i="6" s="1"/>
  <c r="E17" i="5"/>
  <c r="F16" i="5"/>
  <c r="E8" i="5"/>
  <c r="F7" i="5"/>
  <c r="AB16" i="3"/>
  <c r="E28" i="3"/>
  <c r="F27" i="3"/>
  <c r="C22" i="3"/>
  <c r="C47" i="2" s="1"/>
  <c r="C41" i="2"/>
  <c r="E55" i="2"/>
  <c r="F54" i="2"/>
  <c r="AA16" i="3"/>
  <c r="Z16" i="3"/>
  <c r="Y16" i="3"/>
  <c r="X16" i="3"/>
  <c r="W16" i="3"/>
  <c r="V16" i="3"/>
  <c r="U16" i="3"/>
  <c r="T16" i="3"/>
  <c r="S16" i="3"/>
  <c r="R16" i="3"/>
  <c r="Q16" i="3"/>
  <c r="P16" i="3"/>
  <c r="O16" i="3"/>
  <c r="N16" i="3"/>
  <c r="M16" i="3"/>
  <c r="E8" i="2"/>
  <c r="F7" i="2"/>
  <c r="E8" i="3"/>
  <c r="F7" i="3"/>
  <c r="N9" i="2" l="1"/>
  <c r="U85" i="2"/>
  <c r="E11" i="5"/>
  <c r="E8" i="6" s="1"/>
  <c r="E11" i="6" s="1"/>
  <c r="E15" i="6" s="1"/>
  <c r="O19" i="2"/>
  <c r="N22" i="2"/>
  <c r="J11" i="5"/>
  <c r="J8" i="6" s="1"/>
  <c r="J18" i="6" s="1"/>
  <c r="E45" i="2"/>
  <c r="E77" i="2" s="1"/>
  <c r="E35" i="3" s="1"/>
  <c r="C45" i="2"/>
  <c r="C77" i="2" s="1"/>
  <c r="C35" i="3" s="1"/>
  <c r="J12" i="5"/>
  <c r="J13" i="6" s="1"/>
  <c r="J48" i="2"/>
  <c r="J50" i="2" s="1"/>
  <c r="D10" i="5"/>
  <c r="D11" i="5" s="1"/>
  <c r="D8" i="6" s="1"/>
  <c r="D18" i="6" s="1"/>
  <c r="D48" i="2"/>
  <c r="D50" i="2" s="1"/>
  <c r="D41" i="2"/>
  <c r="J41" i="2"/>
  <c r="G41" i="2"/>
  <c r="H41" i="2"/>
  <c r="I12" i="5"/>
  <c r="I13" i="6" s="1"/>
  <c r="I10" i="5"/>
  <c r="I11" i="5" s="1"/>
  <c r="I8" i="6" s="1"/>
  <c r="I18" i="6" s="1"/>
  <c r="M59" i="2"/>
  <c r="M20" i="5" s="1"/>
  <c r="I41" i="2"/>
  <c r="M63" i="2"/>
  <c r="M24" i="5" s="1"/>
  <c r="N22" i="5" s="1"/>
  <c r="M69" i="2"/>
  <c r="M13" i="2"/>
  <c r="M15" i="2" s="1"/>
  <c r="M24" i="2" s="1"/>
  <c r="M65" i="2"/>
  <c r="F22" i="3"/>
  <c r="F47" i="2" s="1"/>
  <c r="F12" i="5" s="1"/>
  <c r="F13" i="6" s="1"/>
  <c r="F41" i="2"/>
  <c r="H12" i="5"/>
  <c r="H13" i="6" s="1"/>
  <c r="H10" i="5"/>
  <c r="H11" i="5" s="1"/>
  <c r="H8" i="6" s="1"/>
  <c r="H18" i="6" s="1"/>
  <c r="G12" i="5"/>
  <c r="G13" i="6" s="1"/>
  <c r="G10" i="5"/>
  <c r="G11" i="5" s="1"/>
  <c r="G8" i="6" s="1"/>
  <c r="G18" i="6" s="1"/>
  <c r="K22" i="3"/>
  <c r="K41" i="2"/>
  <c r="M32" i="5"/>
  <c r="N84" i="2"/>
  <c r="M86" i="2"/>
  <c r="L22" i="3"/>
  <c r="L47" i="2" s="1"/>
  <c r="L41" i="2"/>
  <c r="O10" i="2"/>
  <c r="F7" i="6"/>
  <c r="G6" i="6"/>
  <c r="C48" i="2"/>
  <c r="C50" i="2" s="1"/>
  <c r="C12" i="5"/>
  <c r="C10" i="5"/>
  <c r="C11" i="5" s="1"/>
  <c r="F17" i="5"/>
  <c r="G16" i="5"/>
  <c r="F8" i="5"/>
  <c r="G7" i="5"/>
  <c r="F28" i="3"/>
  <c r="G27" i="3"/>
  <c r="F55" i="2"/>
  <c r="G54" i="2"/>
  <c r="F8" i="2"/>
  <c r="G7" i="2"/>
  <c r="F8" i="3"/>
  <c r="G7" i="3"/>
  <c r="G20" i="6" l="1"/>
  <c r="G23" i="6"/>
  <c r="G24" i="6" s="1"/>
  <c r="J20" i="6"/>
  <c r="J23" i="6"/>
  <c r="J24" i="6" s="1"/>
  <c r="H20" i="6"/>
  <c r="H23" i="6"/>
  <c r="H24" i="6" s="1"/>
  <c r="E27" i="6"/>
  <c r="D20" i="6"/>
  <c r="D23" i="6"/>
  <c r="D24" i="6" s="1"/>
  <c r="I20" i="6"/>
  <c r="I23" i="6"/>
  <c r="I24" i="6" s="1"/>
  <c r="V85" i="2"/>
  <c r="E18" i="6"/>
  <c r="P10" i="2"/>
  <c r="O9" i="2"/>
  <c r="O26" i="5" s="1"/>
  <c r="C81" i="2"/>
  <c r="D76" i="2" s="1"/>
  <c r="P19" i="2"/>
  <c r="O22" i="2"/>
  <c r="J11" i="6"/>
  <c r="J15" i="6" s="1"/>
  <c r="H45" i="2"/>
  <c r="H77" i="2" s="1"/>
  <c r="H35" i="3" s="1"/>
  <c r="G45" i="2"/>
  <c r="G77" i="2" s="1"/>
  <c r="G35" i="3" s="1"/>
  <c r="F45" i="2"/>
  <c r="F77" i="2" s="1"/>
  <c r="F35" i="3" s="1"/>
  <c r="J45" i="2"/>
  <c r="J77" i="2" s="1"/>
  <c r="J35" i="3" s="1"/>
  <c r="D45" i="2"/>
  <c r="D77" i="2" s="1"/>
  <c r="D35" i="3" s="1"/>
  <c r="K45" i="2"/>
  <c r="K77" i="2" s="1"/>
  <c r="K35" i="3" s="1"/>
  <c r="I45" i="2"/>
  <c r="I77" i="2" s="1"/>
  <c r="I35" i="3" s="1"/>
  <c r="L45" i="2"/>
  <c r="L77" i="2" s="1"/>
  <c r="L35" i="3" s="1"/>
  <c r="D11" i="6"/>
  <c r="D15" i="6" s="1"/>
  <c r="M67" i="2"/>
  <c r="M19" i="6" s="1"/>
  <c r="I11" i="6"/>
  <c r="I15" i="6" s="1"/>
  <c r="M23" i="5"/>
  <c r="M28" i="5" s="1"/>
  <c r="M10" i="6" s="1"/>
  <c r="F10" i="5"/>
  <c r="F11" i="5" s="1"/>
  <c r="F8" i="6" s="1"/>
  <c r="F11" i="6" s="1"/>
  <c r="F15" i="6" s="1"/>
  <c r="F48" i="2"/>
  <c r="F50" i="2" s="1"/>
  <c r="H11" i="6"/>
  <c r="H15" i="6" s="1"/>
  <c r="G11" i="6"/>
  <c r="G15" i="6" s="1"/>
  <c r="N26" i="5"/>
  <c r="N13" i="2"/>
  <c r="N15" i="2" s="1"/>
  <c r="N24" i="2" s="1"/>
  <c r="N69" i="2"/>
  <c r="N59" i="2"/>
  <c r="N32" i="5"/>
  <c r="O30" i="5" s="1"/>
  <c r="O84" i="2"/>
  <c r="N86" i="2"/>
  <c r="N30" i="5"/>
  <c r="M31" i="5"/>
  <c r="M14" i="6" s="1"/>
  <c r="N65" i="2"/>
  <c r="L48" i="2"/>
  <c r="L50" i="2" s="1"/>
  <c r="L10" i="5"/>
  <c r="L11" i="5" s="1"/>
  <c r="L8" i="6" s="1"/>
  <c r="L12" i="5"/>
  <c r="L13" i="6" s="1"/>
  <c r="N63" i="2"/>
  <c r="N24" i="5" s="1"/>
  <c r="O22" i="5" s="1"/>
  <c r="K47" i="2"/>
  <c r="R22" i="3"/>
  <c r="R47" i="2" s="1"/>
  <c r="U22" i="3"/>
  <c r="U47" i="2" s="1"/>
  <c r="S22" i="3"/>
  <c r="S47" i="2" s="1"/>
  <c r="T22" i="3"/>
  <c r="T47" i="2" s="1"/>
  <c r="W22" i="3"/>
  <c r="W47" i="2" s="1"/>
  <c r="P22" i="3"/>
  <c r="P47" i="2" s="1"/>
  <c r="X22" i="3"/>
  <c r="X47" i="2" s="1"/>
  <c r="N22" i="3"/>
  <c r="N47" i="2" s="1"/>
  <c r="Z22" i="3"/>
  <c r="Z47" i="2" s="1"/>
  <c r="Q22" i="3"/>
  <c r="Q47" i="2" s="1"/>
  <c r="Y22" i="3"/>
  <c r="Y47" i="2" s="1"/>
  <c r="M22" i="3"/>
  <c r="M47" i="2" s="1"/>
  <c r="AB22" i="3"/>
  <c r="AB47" i="2" s="1"/>
  <c r="O22" i="3"/>
  <c r="O47" i="2" s="1"/>
  <c r="AA22" i="3"/>
  <c r="AA47" i="2" s="1"/>
  <c r="V22" i="3"/>
  <c r="V47" i="2" s="1"/>
  <c r="G7" i="6"/>
  <c r="H6" i="6"/>
  <c r="N18" i="5"/>
  <c r="M19" i="5"/>
  <c r="M9" i="6" s="1"/>
  <c r="G17" i="5"/>
  <c r="H16" i="5"/>
  <c r="G8" i="5"/>
  <c r="H7" i="5"/>
  <c r="G28" i="3"/>
  <c r="H27" i="3"/>
  <c r="G55" i="2"/>
  <c r="H54" i="2"/>
  <c r="M33" i="2"/>
  <c r="M37" i="2" s="1"/>
  <c r="M20" i="3"/>
  <c r="G8" i="2"/>
  <c r="H7" i="2"/>
  <c r="G8" i="3"/>
  <c r="H7" i="3"/>
  <c r="D81" i="2" l="1"/>
  <c r="E76" i="2" s="1"/>
  <c r="N35" i="3"/>
  <c r="M35" i="3"/>
  <c r="X35" i="3"/>
  <c r="AB35" i="3"/>
  <c r="Q35" i="3"/>
  <c r="T35" i="3"/>
  <c r="E20" i="6"/>
  <c r="E23" i="6"/>
  <c r="E24" i="6" s="1"/>
  <c r="V35" i="3"/>
  <c r="W35" i="3"/>
  <c r="S35" i="3"/>
  <c r="O35" i="3"/>
  <c r="W85" i="2"/>
  <c r="P35" i="3"/>
  <c r="Z35" i="3"/>
  <c r="R35" i="3"/>
  <c r="U35" i="3"/>
  <c r="Y35" i="3"/>
  <c r="AA35" i="3"/>
  <c r="Q10" i="2"/>
  <c r="P9" i="2"/>
  <c r="P26" i="5" s="1"/>
  <c r="C91" i="2"/>
  <c r="Q19" i="2"/>
  <c r="P22" i="2"/>
  <c r="F18" i="6"/>
  <c r="M39" i="2"/>
  <c r="M41" i="2" s="1"/>
  <c r="N20" i="3"/>
  <c r="N33" i="2"/>
  <c r="N37" i="2" s="1"/>
  <c r="Q10" i="5"/>
  <c r="Q12" i="5"/>
  <c r="Q13" i="6" s="1"/>
  <c r="O32" i="5"/>
  <c r="P30" i="5" s="1"/>
  <c r="O86" i="2"/>
  <c r="P84" i="2"/>
  <c r="N10" i="5"/>
  <c r="N12" i="5"/>
  <c r="N13" i="6" s="1"/>
  <c r="O59" i="2"/>
  <c r="O20" i="5" s="1"/>
  <c r="X10" i="5"/>
  <c r="X12" i="5"/>
  <c r="X13" i="6" s="1"/>
  <c r="L18" i="6"/>
  <c r="L11" i="6"/>
  <c r="O63" i="2"/>
  <c r="O24" i="5" s="1"/>
  <c r="P22" i="5" s="1"/>
  <c r="P10" i="5"/>
  <c r="P12" i="5"/>
  <c r="P13" i="6" s="1"/>
  <c r="N20" i="5"/>
  <c r="O18" i="5" s="1"/>
  <c r="N67" i="2"/>
  <c r="N19" i="6" s="1"/>
  <c r="Y12" i="5"/>
  <c r="Y13" i="6" s="1"/>
  <c r="Y10" i="5"/>
  <c r="Z10" i="5"/>
  <c r="Z12" i="5"/>
  <c r="Z13" i="6" s="1"/>
  <c r="O65" i="2"/>
  <c r="W10" i="5"/>
  <c r="W12" i="5"/>
  <c r="W13" i="6" s="1"/>
  <c r="O69" i="2"/>
  <c r="V10" i="5"/>
  <c r="V12" i="5"/>
  <c r="V13" i="6" s="1"/>
  <c r="T12" i="5"/>
  <c r="T13" i="6" s="1"/>
  <c r="T10" i="5"/>
  <c r="O13" i="2"/>
  <c r="O15" i="2" s="1"/>
  <c r="O24" i="2" s="1"/>
  <c r="AA12" i="5"/>
  <c r="AA13" i="6" s="1"/>
  <c r="AA10" i="5"/>
  <c r="S10" i="5"/>
  <c r="S12" i="5"/>
  <c r="S13" i="6" s="1"/>
  <c r="O12" i="5"/>
  <c r="O13" i="6" s="1"/>
  <c r="O10" i="5"/>
  <c r="U12" i="5"/>
  <c r="U13" i="6" s="1"/>
  <c r="U10" i="5"/>
  <c r="N31" i="5"/>
  <c r="N14" i="6" s="1"/>
  <c r="AB12" i="5"/>
  <c r="AB13" i="6" s="1"/>
  <c r="AB10" i="5"/>
  <c r="R12" i="5"/>
  <c r="R13" i="6" s="1"/>
  <c r="R10" i="5"/>
  <c r="N23" i="5"/>
  <c r="N28" i="5" s="1"/>
  <c r="N10" i="6" s="1"/>
  <c r="M10" i="5"/>
  <c r="M12" i="5"/>
  <c r="M13" i="6" s="1"/>
  <c r="K12" i="5"/>
  <c r="K13" i="6" s="1"/>
  <c r="K48" i="2"/>
  <c r="K50" i="2" s="1"/>
  <c r="K10" i="5"/>
  <c r="K11" i="5" s="1"/>
  <c r="K8" i="6" s="1"/>
  <c r="H7" i="6"/>
  <c r="I6" i="6"/>
  <c r="H17" i="5"/>
  <c r="I16" i="5"/>
  <c r="H8" i="5"/>
  <c r="I7" i="5"/>
  <c r="H28" i="3"/>
  <c r="I27" i="3"/>
  <c r="H55" i="2"/>
  <c r="I54" i="2"/>
  <c r="H8" i="2"/>
  <c r="I7" i="2"/>
  <c r="H8" i="3"/>
  <c r="I7" i="3"/>
  <c r="P65" i="2" l="1"/>
  <c r="P69" i="2"/>
  <c r="P63" i="2"/>
  <c r="P24" i="5" s="1"/>
  <c r="Q22" i="5" s="1"/>
  <c r="X85" i="2"/>
  <c r="Y85" i="2"/>
  <c r="Z85" i="2" s="1"/>
  <c r="F20" i="6"/>
  <c r="F23" i="6"/>
  <c r="F24" i="6" s="1"/>
  <c r="L20" i="6"/>
  <c r="L23" i="6"/>
  <c r="L24" i="6" s="1"/>
  <c r="P13" i="2"/>
  <c r="P15" i="2" s="1"/>
  <c r="P24" i="2" s="1"/>
  <c r="P59" i="2"/>
  <c r="P20" i="5" s="1"/>
  <c r="Q18" i="5" s="1"/>
  <c r="R10" i="2"/>
  <c r="Q9" i="2"/>
  <c r="Q26" i="5" s="1"/>
  <c r="C93" i="2"/>
  <c r="C95" i="2" s="1"/>
  <c r="C70" i="2" s="1"/>
  <c r="C72" i="2" s="1"/>
  <c r="E81" i="2"/>
  <c r="E91" i="2" s="1"/>
  <c r="M77" i="2"/>
  <c r="M78" i="2" s="1"/>
  <c r="M45" i="2"/>
  <c r="O33" i="2"/>
  <c r="O37" i="2" s="1"/>
  <c r="O39" i="2" s="1"/>
  <c r="O48" i="2" s="1"/>
  <c r="O50" i="2" s="1"/>
  <c r="R19" i="2"/>
  <c r="Q22" i="2"/>
  <c r="D91" i="2"/>
  <c r="M9" i="5"/>
  <c r="M11" i="5" s="1"/>
  <c r="M8" i="6" s="1"/>
  <c r="M18" i="6" s="1"/>
  <c r="M20" i="6" s="1"/>
  <c r="M48" i="2"/>
  <c r="M50" i="2" s="1"/>
  <c r="O67" i="2"/>
  <c r="O19" i="6" s="1"/>
  <c r="O20" i="3"/>
  <c r="N19" i="5"/>
  <c r="N9" i="6" s="1"/>
  <c r="O31" i="5"/>
  <c r="O14" i="6" s="1"/>
  <c r="C12" i="7"/>
  <c r="L15" i="6"/>
  <c r="C27" i="7" s="1"/>
  <c r="P32" i="5"/>
  <c r="Q30" i="5" s="1"/>
  <c r="Q84" i="2"/>
  <c r="P86" i="2"/>
  <c r="K18" i="6"/>
  <c r="K11" i="6"/>
  <c r="K15" i="6" s="1"/>
  <c r="O23" i="5"/>
  <c r="O28" i="5" s="1"/>
  <c r="O10" i="6" s="1"/>
  <c r="N39" i="2"/>
  <c r="N41" i="2" s="1"/>
  <c r="I7" i="6"/>
  <c r="J6" i="6"/>
  <c r="P18" i="5"/>
  <c r="O19" i="5"/>
  <c r="O9" i="6" s="1"/>
  <c r="I17" i="5"/>
  <c r="J16" i="5"/>
  <c r="I8" i="5"/>
  <c r="J7" i="5"/>
  <c r="I28" i="3"/>
  <c r="J27" i="3"/>
  <c r="I55" i="2"/>
  <c r="J54" i="2"/>
  <c r="I8" i="2"/>
  <c r="J7" i="2"/>
  <c r="I8" i="3"/>
  <c r="J7" i="3"/>
  <c r="Q59" i="2" l="1"/>
  <c r="Q20" i="5" s="1"/>
  <c r="Q63" i="2"/>
  <c r="Q24" i="5" s="1"/>
  <c r="R22" i="5" s="1"/>
  <c r="P23" i="5"/>
  <c r="P28" i="5" s="1"/>
  <c r="P10" i="6" s="1"/>
  <c r="Q65" i="2"/>
  <c r="K20" i="6"/>
  <c r="K23" i="6"/>
  <c r="K24" i="6" s="1"/>
  <c r="Q69" i="2"/>
  <c r="AA85" i="2"/>
  <c r="AB85" i="2" s="1"/>
  <c r="P67" i="2"/>
  <c r="P19" i="6" s="1"/>
  <c r="Q13" i="2"/>
  <c r="Q15" i="2" s="1"/>
  <c r="Q24" i="2" s="1"/>
  <c r="Q20" i="3" s="1"/>
  <c r="R9" i="2"/>
  <c r="S10" i="2"/>
  <c r="F76" i="2"/>
  <c r="F81" i="2" s="1"/>
  <c r="F91" i="2" s="1"/>
  <c r="N77" i="2"/>
  <c r="N78" i="2" s="1"/>
  <c r="N45" i="2"/>
  <c r="P33" i="2"/>
  <c r="P37" i="2" s="1"/>
  <c r="P39" i="2" s="1"/>
  <c r="P41" i="2" s="1"/>
  <c r="P20" i="3"/>
  <c r="S19" i="2"/>
  <c r="R22" i="2"/>
  <c r="D93" i="2"/>
  <c r="D95" i="2" s="1"/>
  <c r="D70" i="2" s="1"/>
  <c r="D72" i="2" s="1"/>
  <c r="E93" i="2"/>
  <c r="E95" i="2" s="1"/>
  <c r="E70" i="2" s="1"/>
  <c r="E72" i="2" s="1"/>
  <c r="O9" i="5"/>
  <c r="O11" i="5" s="1"/>
  <c r="O8" i="6" s="1"/>
  <c r="O18" i="6" s="1"/>
  <c r="O20" i="6" s="1"/>
  <c r="O41" i="2"/>
  <c r="M11" i="6"/>
  <c r="D12" i="7" s="1"/>
  <c r="D13" i="7" s="1"/>
  <c r="P19" i="5"/>
  <c r="P9" i="6" s="1"/>
  <c r="N48" i="2"/>
  <c r="N50" i="2" s="1"/>
  <c r="N9" i="5"/>
  <c r="N11" i="5" s="1"/>
  <c r="N8" i="6" s="1"/>
  <c r="Q32" i="5"/>
  <c r="R30" i="5" s="1"/>
  <c r="R84" i="2"/>
  <c r="Q86" i="2"/>
  <c r="P31" i="5"/>
  <c r="P14" i="6" s="1"/>
  <c r="J7" i="6"/>
  <c r="K6" i="6"/>
  <c r="J17" i="5"/>
  <c r="K16" i="5"/>
  <c r="J8" i="5"/>
  <c r="K7" i="5"/>
  <c r="J28" i="3"/>
  <c r="K27" i="3"/>
  <c r="J55" i="2"/>
  <c r="K54" i="2"/>
  <c r="J8" i="2"/>
  <c r="K7" i="2"/>
  <c r="J8" i="3"/>
  <c r="K7" i="3"/>
  <c r="Q23" i="5" l="1"/>
  <c r="Q28" i="5" s="1"/>
  <c r="Q10" i="6" s="1"/>
  <c r="Q67" i="2"/>
  <c r="Q19" i="6" s="1"/>
  <c r="S9" i="2"/>
  <c r="T10" i="2"/>
  <c r="R26" i="5"/>
  <c r="R59" i="2"/>
  <c r="R63" i="2"/>
  <c r="R24" i="5" s="1"/>
  <c r="S22" i="5" s="1"/>
  <c r="R69" i="2"/>
  <c r="R13" i="2"/>
  <c r="R15" i="2" s="1"/>
  <c r="R24" i="2" s="1"/>
  <c r="R65" i="2"/>
  <c r="P48" i="2"/>
  <c r="P50" i="2" s="1"/>
  <c r="G76" i="2"/>
  <c r="Q33" i="2"/>
  <c r="Q37" i="2" s="1"/>
  <c r="Q39" i="2" s="1"/>
  <c r="Q48" i="2" s="1"/>
  <c r="Q50" i="2" s="1"/>
  <c r="P9" i="5"/>
  <c r="P11" i="5" s="1"/>
  <c r="P8" i="6" s="1"/>
  <c r="P18" i="6" s="1"/>
  <c r="P20" i="6" s="1"/>
  <c r="T19" i="2"/>
  <c r="S22" i="2"/>
  <c r="O77" i="2"/>
  <c r="O78" i="2" s="1"/>
  <c r="O45" i="2"/>
  <c r="P77" i="2"/>
  <c r="P78" i="2" s="1"/>
  <c r="P45" i="2"/>
  <c r="F93" i="2"/>
  <c r="F95" i="2" s="1"/>
  <c r="F70" i="2" s="1"/>
  <c r="F72" i="2" s="1"/>
  <c r="O11" i="6"/>
  <c r="F12" i="7" s="1"/>
  <c r="F13" i="7" s="1"/>
  <c r="M15" i="6"/>
  <c r="D27" i="7" s="1"/>
  <c r="D28" i="7" s="1"/>
  <c r="Q31" i="5"/>
  <c r="Q14" i="6" s="1"/>
  <c r="N18" i="6"/>
  <c r="N20" i="6" s="1"/>
  <c r="N11" i="6"/>
  <c r="R32" i="5"/>
  <c r="S30" i="5" s="1"/>
  <c r="S84" i="2"/>
  <c r="R86" i="2"/>
  <c r="K7" i="6"/>
  <c r="L6" i="6"/>
  <c r="R18" i="5"/>
  <c r="Q19" i="5"/>
  <c r="Q9" i="6" s="1"/>
  <c r="K17" i="5"/>
  <c r="L16" i="5"/>
  <c r="K8" i="5"/>
  <c r="L7" i="5"/>
  <c r="K28" i="3"/>
  <c r="L27" i="3"/>
  <c r="K55" i="2"/>
  <c r="L54" i="2"/>
  <c r="K8" i="2"/>
  <c r="L7" i="2"/>
  <c r="K8" i="3"/>
  <c r="L7" i="3"/>
  <c r="R20" i="3" l="1"/>
  <c r="R33" i="2"/>
  <c r="R37" i="2" s="1"/>
  <c r="S63" i="2"/>
  <c r="S24" i="5" s="1"/>
  <c r="S59" i="2"/>
  <c r="S26" i="5"/>
  <c r="S13" i="2"/>
  <c r="S15" i="2" s="1"/>
  <c r="S69" i="2"/>
  <c r="S65" i="2"/>
  <c r="R67" i="2"/>
  <c r="R19" i="6" s="1"/>
  <c r="R20" i="5"/>
  <c r="S18" i="5" s="1"/>
  <c r="S24" i="2"/>
  <c r="S20" i="3" s="1"/>
  <c r="R23" i="5"/>
  <c r="R28" i="5" s="1"/>
  <c r="R10" i="6" s="1"/>
  <c r="T9" i="2"/>
  <c r="U10" i="2"/>
  <c r="G81" i="2"/>
  <c r="Q9" i="5"/>
  <c r="Q11" i="5" s="1"/>
  <c r="Q8" i="6" s="1"/>
  <c r="Q11" i="6" s="1"/>
  <c r="P11" i="6"/>
  <c r="P15" i="6" s="1"/>
  <c r="G27" i="7" s="1"/>
  <c r="G28" i="7" s="1"/>
  <c r="Q41" i="2"/>
  <c r="Q77" i="2" s="1"/>
  <c r="Q78" i="2" s="1"/>
  <c r="U19" i="2"/>
  <c r="T22" i="2"/>
  <c r="O15" i="6"/>
  <c r="F27" i="7" s="1"/>
  <c r="F28" i="7" s="1"/>
  <c r="S32" i="5"/>
  <c r="T30" i="5" s="1"/>
  <c r="T84" i="2"/>
  <c r="S86" i="2"/>
  <c r="N15" i="6"/>
  <c r="E27" i="7" s="1"/>
  <c r="E28" i="7" s="1"/>
  <c r="E12" i="7"/>
  <c r="E13" i="7" s="1"/>
  <c r="R31" i="5"/>
  <c r="R14" i="6" s="1"/>
  <c r="C7" i="7"/>
  <c r="D6" i="7"/>
  <c r="L7" i="6"/>
  <c r="M6" i="6"/>
  <c r="L17" i="5"/>
  <c r="M16" i="5"/>
  <c r="L8" i="5"/>
  <c r="M7" i="5"/>
  <c r="L28" i="3"/>
  <c r="M27" i="3"/>
  <c r="L55" i="2"/>
  <c r="M54" i="2"/>
  <c r="L8" i="2"/>
  <c r="M7" i="2"/>
  <c r="L8" i="3"/>
  <c r="M7" i="3"/>
  <c r="S33" i="2" l="1"/>
  <c r="S37" i="2" s="1"/>
  <c r="S39" i="2" s="1"/>
  <c r="S9" i="5" s="1"/>
  <c r="S11" i="5" s="1"/>
  <c r="S8" i="6" s="1"/>
  <c r="T22" i="5"/>
  <c r="S23" i="5"/>
  <c r="S28" i="5" s="1"/>
  <c r="S10" i="6" s="1"/>
  <c r="T69" i="2"/>
  <c r="T65" i="2"/>
  <c r="T63" i="2"/>
  <c r="T24" i="5" s="1"/>
  <c r="T59" i="2"/>
  <c r="T26" i="5"/>
  <c r="T13" i="2"/>
  <c r="T15" i="2" s="1"/>
  <c r="T24" i="2" s="1"/>
  <c r="R39" i="2"/>
  <c r="R41" i="2" s="1"/>
  <c r="S67" i="2"/>
  <c r="S19" i="6" s="1"/>
  <c r="S20" i="5"/>
  <c r="U9" i="2"/>
  <c r="V10" i="2"/>
  <c r="R19" i="5"/>
  <c r="R9" i="6" s="1"/>
  <c r="Q18" i="6"/>
  <c r="Q20" i="6" s="1"/>
  <c r="G12" i="7"/>
  <c r="G13" i="7" s="1"/>
  <c r="Q45" i="2"/>
  <c r="H76" i="2"/>
  <c r="G91" i="2"/>
  <c r="V19" i="2"/>
  <c r="U22" i="2"/>
  <c r="S31" i="5"/>
  <c r="S14" i="6" s="1"/>
  <c r="T32" i="5"/>
  <c r="U30" i="5" s="1"/>
  <c r="U84" i="2"/>
  <c r="T86" i="2"/>
  <c r="H12" i="7"/>
  <c r="H13" i="7" s="1"/>
  <c r="Q15" i="6"/>
  <c r="H27" i="7" s="1"/>
  <c r="H28" i="7" s="1"/>
  <c r="D7" i="7"/>
  <c r="E6" i="7"/>
  <c r="M7" i="6"/>
  <c r="N6" i="6"/>
  <c r="M17" i="5"/>
  <c r="N16" i="5"/>
  <c r="M8" i="5"/>
  <c r="N7" i="5"/>
  <c r="M28" i="3"/>
  <c r="N27" i="3"/>
  <c r="M55" i="2"/>
  <c r="N54" i="2"/>
  <c r="M8" i="2"/>
  <c r="N7" i="2"/>
  <c r="M8" i="3"/>
  <c r="N7" i="3"/>
  <c r="S48" i="2" l="1"/>
  <c r="S50" i="2" s="1"/>
  <c r="T33" i="2"/>
  <c r="T37" i="2" s="1"/>
  <c r="T39" i="2" s="1"/>
  <c r="T9" i="5" s="1"/>
  <c r="T11" i="5" s="1"/>
  <c r="T8" i="6" s="1"/>
  <c r="T18" i="6" s="1"/>
  <c r="T20" i="3"/>
  <c r="S19" i="5"/>
  <c r="S9" i="6" s="1"/>
  <c r="S11" i="6" s="1"/>
  <c r="T18" i="5"/>
  <c r="S41" i="2"/>
  <c r="S77" i="2" s="1"/>
  <c r="S78" i="2" s="1"/>
  <c r="R77" i="2"/>
  <c r="R78" i="2" s="1"/>
  <c r="R45" i="2"/>
  <c r="R9" i="5"/>
  <c r="R11" i="5" s="1"/>
  <c r="R8" i="6" s="1"/>
  <c r="R48" i="2"/>
  <c r="R50" i="2" s="1"/>
  <c r="S18" i="6"/>
  <c r="S20" i="6" s="1"/>
  <c r="T67" i="2"/>
  <c r="T19" i="6" s="1"/>
  <c r="T20" i="5"/>
  <c r="U22" i="5"/>
  <c r="T23" i="5"/>
  <c r="T28" i="5" s="1"/>
  <c r="T10" i="6" s="1"/>
  <c r="V9" i="2"/>
  <c r="W10" i="2"/>
  <c r="U69" i="2"/>
  <c r="U26" i="5"/>
  <c r="U65" i="2"/>
  <c r="U59" i="2"/>
  <c r="U13" i="2"/>
  <c r="U15" i="2" s="1"/>
  <c r="U24" i="2" s="1"/>
  <c r="U63" i="2"/>
  <c r="U24" i="5" s="1"/>
  <c r="G93" i="2"/>
  <c r="G95" i="2" s="1"/>
  <c r="G70" i="2" s="1"/>
  <c r="G72" i="2" s="1"/>
  <c r="H81" i="2"/>
  <c r="W19" i="2"/>
  <c r="V22" i="2"/>
  <c r="U32" i="5"/>
  <c r="V30" i="5" s="1"/>
  <c r="V84" i="2"/>
  <c r="U86" i="2"/>
  <c r="T31" i="5"/>
  <c r="T14" i="6" s="1"/>
  <c r="E7" i="7"/>
  <c r="F6" i="7"/>
  <c r="N7" i="6"/>
  <c r="O6" i="6"/>
  <c r="N17" i="5"/>
  <c r="O16" i="5"/>
  <c r="N8" i="5"/>
  <c r="O7" i="5"/>
  <c r="N28" i="3"/>
  <c r="O27" i="3"/>
  <c r="N55" i="2"/>
  <c r="O54" i="2"/>
  <c r="N8" i="2"/>
  <c r="O7" i="2"/>
  <c r="N8" i="3"/>
  <c r="O7" i="3"/>
  <c r="T48" i="2" l="1"/>
  <c r="T50" i="2" s="1"/>
  <c r="S45" i="2"/>
  <c r="T41" i="2"/>
  <c r="T45" i="2" s="1"/>
  <c r="U20" i="3"/>
  <c r="U33" i="2"/>
  <c r="U37" i="2" s="1"/>
  <c r="U39" i="2" s="1"/>
  <c r="U9" i="5" s="1"/>
  <c r="U11" i="5" s="1"/>
  <c r="U8" i="6" s="1"/>
  <c r="U18" i="6" s="1"/>
  <c r="S15" i="6"/>
  <c r="J27" i="7" s="1"/>
  <c r="J28" i="7" s="1"/>
  <c r="J12" i="7"/>
  <c r="J13" i="7" s="1"/>
  <c r="V22" i="5"/>
  <c r="U23" i="5"/>
  <c r="U28" i="5" s="1"/>
  <c r="U10" i="6" s="1"/>
  <c r="U20" i="5"/>
  <c r="U67" i="2"/>
  <c r="U19" i="6" s="1"/>
  <c r="R18" i="6"/>
  <c r="R20" i="6" s="1"/>
  <c r="R11" i="6"/>
  <c r="W9" i="2"/>
  <c r="X10" i="2"/>
  <c r="V63" i="2"/>
  <c r="V24" i="5" s="1"/>
  <c r="V13" i="2"/>
  <c r="V15" i="2" s="1"/>
  <c r="V24" i="2" s="1"/>
  <c r="V33" i="2" s="1"/>
  <c r="V37" i="2" s="1"/>
  <c r="V39" i="2" s="1"/>
  <c r="V9" i="5" s="1"/>
  <c r="V11" i="5" s="1"/>
  <c r="V8" i="6" s="1"/>
  <c r="V18" i="6" s="1"/>
  <c r="V26" i="5"/>
  <c r="V59" i="2"/>
  <c r="V69" i="2"/>
  <c r="V65" i="2"/>
  <c r="U18" i="5"/>
  <c r="T19" i="5"/>
  <c r="T9" i="6" s="1"/>
  <c r="T11" i="6" s="1"/>
  <c r="K12" i="7" s="1"/>
  <c r="K13" i="7" s="1"/>
  <c r="T20" i="6"/>
  <c r="H91" i="2"/>
  <c r="I76" i="2"/>
  <c r="X19" i="2"/>
  <c r="W22" i="2"/>
  <c r="U31" i="5"/>
  <c r="U14" i="6" s="1"/>
  <c r="V32" i="5"/>
  <c r="W30" i="5" s="1"/>
  <c r="W84" i="2"/>
  <c r="V86" i="2"/>
  <c r="F7" i="7"/>
  <c r="G6" i="7"/>
  <c r="O7" i="6"/>
  <c r="P6" i="6"/>
  <c r="O17" i="5"/>
  <c r="P16" i="5"/>
  <c r="O8" i="5"/>
  <c r="P7" i="5"/>
  <c r="O28" i="3"/>
  <c r="P27" i="3"/>
  <c r="O55" i="2"/>
  <c r="P54" i="2"/>
  <c r="O8" i="2"/>
  <c r="P7" i="2"/>
  <c r="O8" i="3"/>
  <c r="P7" i="3"/>
  <c r="T77" i="2" l="1"/>
  <c r="T78" i="2" s="1"/>
  <c r="U48" i="2"/>
  <c r="U50" i="2" s="1"/>
  <c r="U41" i="2"/>
  <c r="U77" i="2" s="1"/>
  <c r="U78" i="2" s="1"/>
  <c r="U20" i="6"/>
  <c r="I12" i="7"/>
  <c r="I13" i="7" s="1"/>
  <c r="R15" i="6"/>
  <c r="I27" i="7" s="1"/>
  <c r="I28" i="7" s="1"/>
  <c r="T15" i="6"/>
  <c r="K27" i="7" s="1"/>
  <c r="K28" i="7" s="1"/>
  <c r="V48" i="2"/>
  <c r="V50" i="2" s="1"/>
  <c r="U19" i="5"/>
  <c r="U9" i="6" s="1"/>
  <c r="U11" i="6" s="1"/>
  <c r="V18" i="5"/>
  <c r="V67" i="2"/>
  <c r="V19" i="6" s="1"/>
  <c r="V20" i="6" s="1"/>
  <c r="V20" i="5"/>
  <c r="V20" i="3"/>
  <c r="W22" i="5"/>
  <c r="V23" i="5"/>
  <c r="V28" i="5" s="1"/>
  <c r="V10" i="6" s="1"/>
  <c r="V41" i="2"/>
  <c r="V77" i="2" s="1"/>
  <c r="V78" i="2" s="1"/>
  <c r="X9" i="2"/>
  <c r="Y10" i="2"/>
  <c r="W26" i="5"/>
  <c r="W63" i="2"/>
  <c r="W24" i="5" s="1"/>
  <c r="W13" i="2"/>
  <c r="W15" i="2" s="1"/>
  <c r="W24" i="2" s="1"/>
  <c r="W20" i="3" s="1"/>
  <c r="W69" i="2"/>
  <c r="W65" i="2"/>
  <c r="W59" i="2"/>
  <c r="I81" i="2"/>
  <c r="H93" i="2"/>
  <c r="H95" i="2" s="1"/>
  <c r="H70" i="2" s="1"/>
  <c r="H72" i="2" s="1"/>
  <c r="Y19" i="2"/>
  <c r="X22" i="2"/>
  <c r="V31" i="5"/>
  <c r="V14" i="6" s="1"/>
  <c r="W32" i="5"/>
  <c r="X30" i="5" s="1"/>
  <c r="W86" i="2"/>
  <c r="X84" i="2"/>
  <c r="G7" i="7"/>
  <c r="H6" i="7"/>
  <c r="P7" i="6"/>
  <c r="Q6" i="6"/>
  <c r="P17" i="5"/>
  <c r="Q16" i="5"/>
  <c r="P8" i="5"/>
  <c r="Q7" i="5"/>
  <c r="P28" i="3"/>
  <c r="Q27" i="3"/>
  <c r="P55" i="2"/>
  <c r="Q54" i="2"/>
  <c r="P8" i="2"/>
  <c r="Q7" i="2"/>
  <c r="P8" i="3"/>
  <c r="Q7" i="3"/>
  <c r="U45" i="2" l="1"/>
  <c r="V45" i="2"/>
  <c r="U15" i="6"/>
  <c r="L27" i="7" s="1"/>
  <c r="L28" i="7" s="1"/>
  <c r="L12" i="7"/>
  <c r="L13" i="7" s="1"/>
  <c r="W33" i="2"/>
  <c r="W37" i="2" s="1"/>
  <c r="W39" i="2" s="1"/>
  <c r="W9" i="5" s="1"/>
  <c r="W11" i="5" s="1"/>
  <c r="W8" i="6" s="1"/>
  <c r="W18" i="6" s="1"/>
  <c r="W23" i="5"/>
  <c r="W28" i="5" s="1"/>
  <c r="W10" i="6" s="1"/>
  <c r="X22" i="5"/>
  <c r="Y9" i="2"/>
  <c r="Z10" i="2"/>
  <c r="W67" i="2"/>
  <c r="W19" i="6" s="1"/>
  <c r="W20" i="5"/>
  <c r="W18" i="5"/>
  <c r="V19" i="5"/>
  <c r="V9" i="6" s="1"/>
  <c r="V11" i="6" s="1"/>
  <c r="M12" i="7" s="1"/>
  <c r="M13" i="7" s="1"/>
  <c r="X26" i="5"/>
  <c r="X59" i="2"/>
  <c r="X13" i="2"/>
  <c r="X15" i="2" s="1"/>
  <c r="X69" i="2"/>
  <c r="X63" i="2"/>
  <c r="X24" i="5" s="1"/>
  <c r="X65" i="2"/>
  <c r="X24" i="2"/>
  <c r="X33" i="2" s="1"/>
  <c r="X37" i="2" s="1"/>
  <c r="X39" i="2" s="1"/>
  <c r="X9" i="5" s="1"/>
  <c r="X11" i="5" s="1"/>
  <c r="X8" i="6" s="1"/>
  <c r="X18" i="6" s="1"/>
  <c r="J76" i="2"/>
  <c r="I91" i="2"/>
  <c r="X20" i="3"/>
  <c r="Z19" i="2"/>
  <c r="Y22" i="2"/>
  <c r="W31" i="5"/>
  <c r="W14" i="6" s="1"/>
  <c r="X32" i="5"/>
  <c r="Y30" i="5" s="1"/>
  <c r="Y84" i="2"/>
  <c r="X86" i="2"/>
  <c r="H7" i="7"/>
  <c r="I6" i="7"/>
  <c r="Q7" i="6"/>
  <c r="R6" i="6"/>
  <c r="Q17" i="5"/>
  <c r="R16" i="5"/>
  <c r="Q8" i="5"/>
  <c r="R7" i="5"/>
  <c r="Q28" i="3"/>
  <c r="R27" i="3"/>
  <c r="Q55" i="2"/>
  <c r="R54" i="2"/>
  <c r="Q8" i="2"/>
  <c r="R7" i="2"/>
  <c r="Q8" i="3"/>
  <c r="R7" i="3"/>
  <c r="W48" i="2" l="1"/>
  <c r="W50" i="2" s="1"/>
  <c r="W41" i="2"/>
  <c r="W77" i="2" s="1"/>
  <c r="W78" i="2" s="1"/>
  <c r="W20" i="6"/>
  <c r="W19" i="5"/>
  <c r="W9" i="6" s="1"/>
  <c r="W11" i="6" s="1"/>
  <c r="X18" i="5"/>
  <c r="Z9" i="2"/>
  <c r="AA10" i="2"/>
  <c r="Y69" i="2"/>
  <c r="Y65" i="2"/>
  <c r="Y63" i="2"/>
  <c r="Y24" i="5" s="1"/>
  <c r="Y26" i="5"/>
  <c r="Y13" i="2"/>
  <c r="Y15" i="2" s="1"/>
  <c r="Y24" i="2" s="1"/>
  <c r="Y59" i="2"/>
  <c r="X48" i="2"/>
  <c r="X50" i="2" s="1"/>
  <c r="X20" i="5"/>
  <c r="X67" i="2"/>
  <c r="X19" i="6" s="1"/>
  <c r="X20" i="6" s="1"/>
  <c r="V15" i="6"/>
  <c r="M27" i="7" s="1"/>
  <c r="M28" i="7" s="1"/>
  <c r="Y22" i="5"/>
  <c r="X23" i="5"/>
  <c r="X28" i="5" s="1"/>
  <c r="X10" i="6" s="1"/>
  <c r="X41" i="2"/>
  <c r="X77" i="2" s="1"/>
  <c r="X78" i="2" s="1"/>
  <c r="I93" i="2"/>
  <c r="I95" i="2" s="1"/>
  <c r="I70" i="2" s="1"/>
  <c r="I72" i="2" s="1"/>
  <c r="J81" i="2"/>
  <c r="AA19" i="2"/>
  <c r="Z22" i="2"/>
  <c r="Y32" i="5"/>
  <c r="Z30" i="5" s="1"/>
  <c r="Z84" i="2"/>
  <c r="Y86" i="2"/>
  <c r="N12" i="7"/>
  <c r="N13" i="7" s="1"/>
  <c r="W15" i="6"/>
  <c r="N27" i="7" s="1"/>
  <c r="N28" i="7" s="1"/>
  <c r="X31" i="5"/>
  <c r="X14" i="6" s="1"/>
  <c r="I7" i="7"/>
  <c r="J6" i="7"/>
  <c r="R7" i="6"/>
  <c r="S6" i="6"/>
  <c r="R17" i="5"/>
  <c r="S16" i="5"/>
  <c r="R8" i="5"/>
  <c r="S7" i="5"/>
  <c r="R28" i="3"/>
  <c r="S27" i="3"/>
  <c r="R55" i="2"/>
  <c r="S54" i="2"/>
  <c r="R8" i="2"/>
  <c r="S7" i="2"/>
  <c r="S7" i="3"/>
  <c r="R8" i="3"/>
  <c r="W45" i="2" l="1"/>
  <c r="Y33" i="2"/>
  <c r="Y37" i="2" s="1"/>
  <c r="Y39" i="2" s="1"/>
  <c r="Y9" i="5" s="1"/>
  <c r="Y11" i="5" s="1"/>
  <c r="Y8" i="6" s="1"/>
  <c r="Y18" i="6" s="1"/>
  <c r="Y20" i="3"/>
  <c r="Y20" i="5"/>
  <c r="Y67" i="2"/>
  <c r="Y19" i="6" s="1"/>
  <c r="Z26" i="5"/>
  <c r="Z13" i="2"/>
  <c r="Z15" i="2" s="1"/>
  <c r="Z24" i="2" s="1"/>
  <c r="Z69" i="2"/>
  <c r="Z59" i="2"/>
  <c r="Z65" i="2"/>
  <c r="Z63" i="2"/>
  <c r="Z24" i="5" s="1"/>
  <c r="X45" i="2"/>
  <c r="X19" i="5"/>
  <c r="X9" i="6" s="1"/>
  <c r="X11" i="6" s="1"/>
  <c r="O12" i="7" s="1"/>
  <c r="O13" i="7" s="1"/>
  <c r="Y18" i="5"/>
  <c r="Y23" i="5"/>
  <c r="Y28" i="5" s="1"/>
  <c r="Y10" i="6" s="1"/>
  <c r="Z22" i="5"/>
  <c r="AA9" i="2"/>
  <c r="AB10" i="2"/>
  <c r="AB9" i="2" s="1"/>
  <c r="K76" i="2"/>
  <c r="J91" i="2"/>
  <c r="AB19" i="2"/>
  <c r="AB22" i="2" s="1"/>
  <c r="AA22" i="2"/>
  <c r="Y31" i="5"/>
  <c r="Y14" i="6" s="1"/>
  <c r="Z32" i="5"/>
  <c r="AA30" i="5" s="1"/>
  <c r="AA84" i="2"/>
  <c r="Z86" i="2"/>
  <c r="J7" i="7"/>
  <c r="K6" i="7"/>
  <c r="S7" i="6"/>
  <c r="T6" i="6"/>
  <c r="S17" i="5"/>
  <c r="T16" i="5"/>
  <c r="S8" i="5"/>
  <c r="T7" i="5"/>
  <c r="S28" i="3"/>
  <c r="T27" i="3"/>
  <c r="S55" i="2"/>
  <c r="T54" i="2"/>
  <c r="S8" i="2"/>
  <c r="T7" i="2"/>
  <c r="T7" i="3"/>
  <c r="S8" i="3"/>
  <c r="Y41" i="2" l="1"/>
  <c r="Y45" i="2" s="1"/>
  <c r="Y20" i="6"/>
  <c r="X15" i="6"/>
  <c r="O27" i="7" s="1"/>
  <c r="O28" i="7" s="1"/>
  <c r="Y48" i="2"/>
  <c r="Y50" i="2" s="1"/>
  <c r="Z33" i="2"/>
  <c r="Z37" i="2" s="1"/>
  <c r="Z20" i="3"/>
  <c r="AA22" i="5"/>
  <c r="Z23" i="5"/>
  <c r="Z28" i="5" s="1"/>
  <c r="Z10" i="6" s="1"/>
  <c r="Z20" i="5"/>
  <c r="Z67" i="2"/>
  <c r="Z19" i="6" s="1"/>
  <c r="Z18" i="5"/>
  <c r="Y19" i="5"/>
  <c r="Y9" i="6" s="1"/>
  <c r="Y11" i="6" s="1"/>
  <c r="P12" i="7" s="1"/>
  <c r="P13" i="7" s="1"/>
  <c r="AB26" i="5"/>
  <c r="AB59" i="2"/>
  <c r="AB69" i="2"/>
  <c r="AB63" i="2"/>
  <c r="AB24" i="5" s="1"/>
  <c r="AB13" i="2"/>
  <c r="AB15" i="2" s="1"/>
  <c r="AB24" i="2" s="1"/>
  <c r="AB33" i="2" s="1"/>
  <c r="AB37" i="2" s="1"/>
  <c r="AB39" i="2" s="1"/>
  <c r="AB41" i="2" s="1"/>
  <c r="AB65" i="2"/>
  <c r="AA26" i="5"/>
  <c r="AA69" i="2"/>
  <c r="AA59" i="2"/>
  <c r="AA65" i="2"/>
  <c r="AA13" i="2"/>
  <c r="AA15" i="2" s="1"/>
  <c r="AA24" i="2" s="1"/>
  <c r="AA63" i="2"/>
  <c r="AA24" i="5" s="1"/>
  <c r="J93" i="2"/>
  <c r="J95" i="2" s="1"/>
  <c r="J70" i="2" s="1"/>
  <c r="J72" i="2" s="1"/>
  <c r="K81" i="2"/>
  <c r="AA32" i="5"/>
  <c r="AB30" i="5" s="1"/>
  <c r="AB84" i="2"/>
  <c r="AA86" i="2"/>
  <c r="Z31" i="5"/>
  <c r="Z14" i="6" s="1"/>
  <c r="K7" i="7"/>
  <c r="L6" i="7"/>
  <c r="T7" i="6"/>
  <c r="U6" i="6"/>
  <c r="T17" i="5"/>
  <c r="U16" i="5"/>
  <c r="T8" i="5"/>
  <c r="U7" i="5"/>
  <c r="T28" i="3"/>
  <c r="U27" i="3"/>
  <c r="T55" i="2"/>
  <c r="U54" i="2"/>
  <c r="T8" i="2"/>
  <c r="U7" i="2"/>
  <c r="U7" i="3"/>
  <c r="T8" i="3"/>
  <c r="Y77" i="2" l="1"/>
  <c r="Y78" i="2" s="1"/>
  <c r="Y15" i="6"/>
  <c r="P27" i="7" s="1"/>
  <c r="P28" i="7" s="1"/>
  <c r="AA33" i="2"/>
  <c r="AA37" i="2" s="1"/>
  <c r="AA39" i="2" s="1"/>
  <c r="AA9" i="5" s="1"/>
  <c r="AA11" i="5" s="1"/>
  <c r="AA8" i="6" s="1"/>
  <c r="AA18" i="6" s="1"/>
  <c r="AA20" i="3"/>
  <c r="Z39" i="2"/>
  <c r="Z41" i="2" s="1"/>
  <c r="AB67" i="2"/>
  <c r="AB19" i="6" s="1"/>
  <c r="AB20" i="5"/>
  <c r="AB22" i="5"/>
  <c r="AB23" i="5" s="1"/>
  <c r="AB28" i="5" s="1"/>
  <c r="AB10" i="6" s="1"/>
  <c r="AA23" i="5"/>
  <c r="AA28" i="5" s="1"/>
  <c r="AA10" i="6" s="1"/>
  <c r="AA67" i="2"/>
  <c r="AA19" i="6" s="1"/>
  <c r="AA20" i="5"/>
  <c r="AB20" i="3"/>
  <c r="Z19" i="5"/>
  <c r="Z9" i="6" s="1"/>
  <c r="AA18" i="5"/>
  <c r="L76" i="2"/>
  <c r="K91" i="2"/>
  <c r="AB77" i="2"/>
  <c r="AB78" i="2" s="1"/>
  <c r="AB45" i="2"/>
  <c r="AB9" i="5"/>
  <c r="AB11" i="5" s="1"/>
  <c r="AB8" i="6" s="1"/>
  <c r="AB18" i="6" s="1"/>
  <c r="AB48" i="2"/>
  <c r="AB50" i="2" s="1"/>
  <c r="AB86" i="2"/>
  <c r="AB32" i="5"/>
  <c r="AB31" i="5" s="1"/>
  <c r="AB14" i="6" s="1"/>
  <c r="AA31" i="5"/>
  <c r="AA14" i="6" s="1"/>
  <c r="L7" i="7"/>
  <c r="M6" i="7"/>
  <c r="U7" i="6"/>
  <c r="V6" i="6"/>
  <c r="U17" i="5"/>
  <c r="V16" i="5"/>
  <c r="U8" i="5"/>
  <c r="V7" i="5"/>
  <c r="U28" i="3"/>
  <c r="V27" i="3"/>
  <c r="U55" i="2"/>
  <c r="V54" i="2"/>
  <c r="U8" i="2"/>
  <c r="V7" i="2"/>
  <c r="V7" i="3"/>
  <c r="U8" i="3"/>
  <c r="AB20" i="6" l="1"/>
  <c r="AA41" i="2"/>
  <c r="AA77" i="2" s="1"/>
  <c r="AA78" i="2" s="1"/>
  <c r="AA20" i="6"/>
  <c r="AB18" i="5"/>
  <c r="AB19" i="5" s="1"/>
  <c r="AB9" i="6" s="1"/>
  <c r="AB11" i="6" s="1"/>
  <c r="AB15" i="6" s="1"/>
  <c r="S27" i="7" s="1"/>
  <c r="R29" i="7" s="1"/>
  <c r="R30" i="7" s="1"/>
  <c r="AA19" i="5"/>
  <c r="AA9" i="6" s="1"/>
  <c r="AA11" i="6" s="1"/>
  <c r="AA15" i="6" s="1"/>
  <c r="R27" i="7" s="1"/>
  <c r="R28" i="7" s="1"/>
  <c r="Z77" i="2"/>
  <c r="Z78" i="2" s="1"/>
  <c r="Z45" i="2"/>
  <c r="Z9" i="5"/>
  <c r="Z11" i="5" s="1"/>
  <c r="Z8" i="6" s="1"/>
  <c r="Z48" i="2"/>
  <c r="Z50" i="2" s="1"/>
  <c r="AA48" i="2"/>
  <c r="AA50" i="2" s="1"/>
  <c r="K93" i="2"/>
  <c r="K95" i="2" s="1"/>
  <c r="K70" i="2" s="1"/>
  <c r="K72" i="2" s="1"/>
  <c r="L81" i="2"/>
  <c r="M7" i="7"/>
  <c r="N6" i="7"/>
  <c r="V7" i="6"/>
  <c r="W6" i="6"/>
  <c r="V17" i="5"/>
  <c r="W16" i="5"/>
  <c r="V8" i="5"/>
  <c r="W7" i="5"/>
  <c r="V28" i="3"/>
  <c r="W27" i="3"/>
  <c r="V55" i="2"/>
  <c r="W54" i="2"/>
  <c r="V8" i="2"/>
  <c r="W7" i="2"/>
  <c r="W7" i="3"/>
  <c r="V8" i="3"/>
  <c r="AA45" i="2" l="1"/>
  <c r="S12" i="7"/>
  <c r="R14" i="7" s="1"/>
  <c r="R15" i="7" s="1"/>
  <c r="R12" i="7"/>
  <c r="R13" i="7" s="1"/>
  <c r="Z11" i="6"/>
  <c r="Z18" i="6"/>
  <c r="Z20" i="6" s="1"/>
  <c r="M76" i="2"/>
  <c r="L91" i="2"/>
  <c r="N7" i="7"/>
  <c r="O6" i="7"/>
  <c r="W7" i="6"/>
  <c r="X6" i="6"/>
  <c r="W17" i="5"/>
  <c r="X16" i="5"/>
  <c r="W8" i="5"/>
  <c r="X7" i="5"/>
  <c r="W28" i="3"/>
  <c r="X27" i="3"/>
  <c r="W55" i="2"/>
  <c r="X54" i="2"/>
  <c r="W8" i="2"/>
  <c r="X7" i="2"/>
  <c r="X7" i="3"/>
  <c r="W8" i="3"/>
  <c r="Q12" i="7" l="1"/>
  <c r="Q13" i="7" s="1"/>
  <c r="D16" i="7" s="1"/>
  <c r="D18" i="7" s="1"/>
  <c r="D20" i="7" s="1"/>
  <c r="F6" i="13" s="1"/>
  <c r="Z15" i="6"/>
  <c r="Q27" i="7" s="1"/>
  <c r="Q28" i="7" s="1"/>
  <c r="D31" i="7" s="1"/>
  <c r="D33" i="7" s="1"/>
  <c r="L93" i="2"/>
  <c r="L95" i="2" s="1"/>
  <c r="L70" i="2" s="1"/>
  <c r="L72" i="2" s="1"/>
  <c r="M81" i="2"/>
  <c r="O7" i="7"/>
  <c r="P6" i="7"/>
  <c r="X7" i="6"/>
  <c r="Y6" i="6"/>
  <c r="X17" i="5"/>
  <c r="Y16" i="5"/>
  <c r="X8" i="5"/>
  <c r="Y7" i="5"/>
  <c r="X28" i="3"/>
  <c r="Y27" i="3"/>
  <c r="X55" i="2"/>
  <c r="Y54" i="2"/>
  <c r="X8" i="2"/>
  <c r="Y7" i="2"/>
  <c r="Y7" i="3"/>
  <c r="X8" i="3"/>
  <c r="N76" i="2" l="1"/>
  <c r="N81" i="2" s="1"/>
  <c r="M91" i="2"/>
  <c r="P7" i="7"/>
  <c r="Q6" i="7"/>
  <c r="Y7" i="6"/>
  <c r="Z6" i="6"/>
  <c r="Y17" i="5"/>
  <c r="Z16" i="5"/>
  <c r="Y8" i="5"/>
  <c r="Z7" i="5"/>
  <c r="Y28" i="3"/>
  <c r="Z27" i="3"/>
  <c r="Y55" i="2"/>
  <c r="Z54" i="2"/>
  <c r="Y8" i="2"/>
  <c r="Z7" i="2"/>
  <c r="Z7" i="3"/>
  <c r="Y8" i="3"/>
  <c r="O76" i="2" l="1"/>
  <c r="O81" i="2" s="1"/>
  <c r="N91" i="2"/>
  <c r="Q7" i="7"/>
  <c r="R6" i="7"/>
  <c r="Z7" i="6"/>
  <c r="AA6" i="6"/>
  <c r="Z17" i="5"/>
  <c r="AA16" i="5"/>
  <c r="Z8" i="5"/>
  <c r="AA7" i="5"/>
  <c r="Z28" i="3"/>
  <c r="AA27" i="3"/>
  <c r="Z55" i="2"/>
  <c r="AA54" i="2"/>
  <c r="Z8" i="2"/>
  <c r="AA7" i="2"/>
  <c r="AA7" i="3"/>
  <c r="Z8" i="3"/>
  <c r="P76" i="2" l="1"/>
  <c r="P81" i="2" s="1"/>
  <c r="O91" i="2"/>
  <c r="O93" i="2" s="1"/>
  <c r="O95" i="2" s="1"/>
  <c r="O70" i="2" s="1"/>
  <c r="O72" i="2" s="1"/>
  <c r="R7" i="7"/>
  <c r="S6" i="7"/>
  <c r="T6" i="7" s="1"/>
  <c r="U6" i="7" s="1"/>
  <c r="V6" i="7" s="1"/>
  <c r="W6" i="7" s="1"/>
  <c r="X6" i="7" s="1"/>
  <c r="Y6" i="7" s="1"/>
  <c r="Z6" i="7" s="1"/>
  <c r="AA6" i="7" s="1"/>
  <c r="AB6" i="7" s="1"/>
  <c r="AC6" i="7" s="1"/>
  <c r="AD6" i="7" s="1"/>
  <c r="AE6" i="7" s="1"/>
  <c r="AF6" i="7" s="1"/>
  <c r="AG6" i="7" s="1"/>
  <c r="AH6" i="7" s="1"/>
  <c r="AI6" i="7" s="1"/>
  <c r="AJ6" i="7" s="1"/>
  <c r="AK6" i="7" s="1"/>
  <c r="AL6" i="7" s="1"/>
  <c r="AM6" i="7" s="1"/>
  <c r="AN6" i="7" s="1"/>
  <c r="AO6" i="7" s="1"/>
  <c r="AP6" i="7" s="1"/>
  <c r="AQ6" i="7" s="1"/>
  <c r="AR6" i="7" s="1"/>
  <c r="AS6" i="7" s="1"/>
  <c r="AT6" i="7" s="1"/>
  <c r="AU6" i="7" s="1"/>
  <c r="AV6" i="7" s="1"/>
  <c r="AW6" i="7" s="1"/>
  <c r="AX6" i="7" s="1"/>
  <c r="AY6" i="7" s="1"/>
  <c r="AZ6" i="7" s="1"/>
  <c r="BA6" i="7" s="1"/>
  <c r="BB6" i="7" s="1"/>
  <c r="BC6" i="7" s="1"/>
  <c r="BD6" i="7" s="1"/>
  <c r="BE6" i="7" s="1"/>
  <c r="BF6" i="7" s="1"/>
  <c r="BG6" i="7" s="1"/>
  <c r="BH6" i="7" s="1"/>
  <c r="BI6" i="7" s="1"/>
  <c r="BJ6" i="7" s="1"/>
  <c r="BK6" i="7" s="1"/>
  <c r="BL6" i="7" s="1"/>
  <c r="BM6" i="7" s="1"/>
  <c r="AA7" i="6"/>
  <c r="AB6" i="6"/>
  <c r="AC6" i="6" s="1"/>
  <c r="AD6" i="6" s="1"/>
  <c r="AE6" i="6" s="1"/>
  <c r="AF6" i="6" s="1"/>
  <c r="AG6" i="6" s="1"/>
  <c r="AH6" i="6" s="1"/>
  <c r="AI6" i="6" s="1"/>
  <c r="AJ6" i="6" s="1"/>
  <c r="AK6" i="6" s="1"/>
  <c r="AL6" i="6" s="1"/>
  <c r="AM6" i="6" s="1"/>
  <c r="AN6" i="6" s="1"/>
  <c r="AO6" i="6" s="1"/>
  <c r="AP6" i="6" s="1"/>
  <c r="AQ6" i="6" s="1"/>
  <c r="AR6" i="6" s="1"/>
  <c r="AS6" i="6" s="1"/>
  <c r="AT6" i="6" s="1"/>
  <c r="AU6" i="6" s="1"/>
  <c r="AV6" i="6" s="1"/>
  <c r="AW6" i="6" s="1"/>
  <c r="AX6" i="6" s="1"/>
  <c r="AY6" i="6" s="1"/>
  <c r="AZ6" i="6" s="1"/>
  <c r="BA6" i="6" s="1"/>
  <c r="BB6" i="6" s="1"/>
  <c r="BC6" i="6" s="1"/>
  <c r="BD6" i="6" s="1"/>
  <c r="BE6" i="6" s="1"/>
  <c r="BF6" i="6" s="1"/>
  <c r="BG6" i="6" s="1"/>
  <c r="BH6" i="6" s="1"/>
  <c r="BI6" i="6" s="1"/>
  <c r="BJ6" i="6" s="1"/>
  <c r="BK6" i="6" s="1"/>
  <c r="BL6" i="6" s="1"/>
  <c r="BM6" i="6" s="1"/>
  <c r="BN6" i="6" s="1"/>
  <c r="BO6" i="6" s="1"/>
  <c r="BP6" i="6" s="1"/>
  <c r="BQ6" i="6" s="1"/>
  <c r="BR6" i="6" s="1"/>
  <c r="BS6" i="6" s="1"/>
  <c r="BT6" i="6" s="1"/>
  <c r="BU6" i="6" s="1"/>
  <c r="BV6" i="6" s="1"/>
  <c r="AA17" i="5"/>
  <c r="AB16" i="5"/>
  <c r="AC16" i="5" s="1"/>
  <c r="AD16" i="5" s="1"/>
  <c r="AE16" i="5" s="1"/>
  <c r="AF16" i="5" s="1"/>
  <c r="AG16" i="5" s="1"/>
  <c r="AH16" i="5" s="1"/>
  <c r="AI16" i="5" s="1"/>
  <c r="AJ16" i="5" s="1"/>
  <c r="AK16" i="5" s="1"/>
  <c r="AL16" i="5" s="1"/>
  <c r="AM16" i="5" s="1"/>
  <c r="AN16" i="5" s="1"/>
  <c r="AO16" i="5" s="1"/>
  <c r="AP16" i="5" s="1"/>
  <c r="AQ16" i="5" s="1"/>
  <c r="AR16" i="5" s="1"/>
  <c r="AS16" i="5" s="1"/>
  <c r="AT16" i="5" s="1"/>
  <c r="AU16" i="5" s="1"/>
  <c r="AV16" i="5" s="1"/>
  <c r="AW16" i="5" s="1"/>
  <c r="AX16" i="5" s="1"/>
  <c r="AY16" i="5" s="1"/>
  <c r="AZ16" i="5" s="1"/>
  <c r="BA16" i="5" s="1"/>
  <c r="BB16" i="5" s="1"/>
  <c r="BC16" i="5" s="1"/>
  <c r="BD16" i="5" s="1"/>
  <c r="BE16" i="5" s="1"/>
  <c r="BF16" i="5" s="1"/>
  <c r="BG16" i="5" s="1"/>
  <c r="BH16" i="5" s="1"/>
  <c r="BI16" i="5" s="1"/>
  <c r="BJ16" i="5" s="1"/>
  <c r="BK16" i="5" s="1"/>
  <c r="BL16" i="5" s="1"/>
  <c r="BM16" i="5" s="1"/>
  <c r="BN16" i="5" s="1"/>
  <c r="BO16" i="5" s="1"/>
  <c r="BP16" i="5" s="1"/>
  <c r="BQ16" i="5" s="1"/>
  <c r="BR16" i="5" s="1"/>
  <c r="BS16" i="5" s="1"/>
  <c r="BT16" i="5" s="1"/>
  <c r="BU16" i="5" s="1"/>
  <c r="BV16" i="5" s="1"/>
  <c r="AA8" i="5"/>
  <c r="AB7" i="5"/>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BB7" i="5" s="1"/>
  <c r="BC7" i="5" s="1"/>
  <c r="BD7" i="5" s="1"/>
  <c r="BE7" i="5" s="1"/>
  <c r="BF7" i="5" s="1"/>
  <c r="BG7" i="5" s="1"/>
  <c r="BH7" i="5" s="1"/>
  <c r="BI7" i="5" s="1"/>
  <c r="BJ7" i="5" s="1"/>
  <c r="BK7" i="5" s="1"/>
  <c r="BL7" i="5" s="1"/>
  <c r="BM7" i="5" s="1"/>
  <c r="BN7" i="5" s="1"/>
  <c r="BO7" i="5" s="1"/>
  <c r="BP7" i="5" s="1"/>
  <c r="BQ7" i="5" s="1"/>
  <c r="BR7" i="5" s="1"/>
  <c r="BS7" i="5" s="1"/>
  <c r="BT7" i="5" s="1"/>
  <c r="BU7" i="5" s="1"/>
  <c r="BV7" i="5" s="1"/>
  <c r="AA28" i="3"/>
  <c r="AB27" i="3"/>
  <c r="AC27" i="3" s="1"/>
  <c r="AD27" i="3" s="1"/>
  <c r="AE27" i="3" s="1"/>
  <c r="AF27" i="3" s="1"/>
  <c r="AG27" i="3" s="1"/>
  <c r="AH27" i="3" s="1"/>
  <c r="AI27" i="3" s="1"/>
  <c r="AJ27" i="3" s="1"/>
  <c r="AK27" i="3" s="1"/>
  <c r="AL27" i="3" s="1"/>
  <c r="AM27" i="3" s="1"/>
  <c r="AN27" i="3" s="1"/>
  <c r="AO27" i="3" s="1"/>
  <c r="AP27" i="3" s="1"/>
  <c r="AQ27" i="3" s="1"/>
  <c r="AR27" i="3" s="1"/>
  <c r="AS27" i="3" s="1"/>
  <c r="AT27" i="3" s="1"/>
  <c r="AU27" i="3" s="1"/>
  <c r="AV27" i="3" s="1"/>
  <c r="AW27" i="3" s="1"/>
  <c r="AX27" i="3" s="1"/>
  <c r="AY27" i="3" s="1"/>
  <c r="AZ27" i="3" s="1"/>
  <c r="BA27" i="3" s="1"/>
  <c r="BB27" i="3" s="1"/>
  <c r="BC27" i="3" s="1"/>
  <c r="BD27" i="3" s="1"/>
  <c r="BE27" i="3" s="1"/>
  <c r="BF27" i="3" s="1"/>
  <c r="BG27" i="3" s="1"/>
  <c r="BH27" i="3" s="1"/>
  <c r="BI27" i="3" s="1"/>
  <c r="BJ27" i="3" s="1"/>
  <c r="BK27" i="3" s="1"/>
  <c r="BL27" i="3" s="1"/>
  <c r="BM27" i="3" s="1"/>
  <c r="BN27" i="3" s="1"/>
  <c r="BO27" i="3" s="1"/>
  <c r="BP27" i="3" s="1"/>
  <c r="BQ27" i="3" s="1"/>
  <c r="BR27" i="3" s="1"/>
  <c r="BS27" i="3" s="1"/>
  <c r="BT27" i="3" s="1"/>
  <c r="BU27" i="3" s="1"/>
  <c r="BV27" i="3" s="1"/>
  <c r="AA55" i="2"/>
  <c r="AB54" i="2"/>
  <c r="AC54" i="2" s="1"/>
  <c r="AD54" i="2" s="1"/>
  <c r="AE54" i="2" s="1"/>
  <c r="AF54" i="2" s="1"/>
  <c r="AG54" i="2" s="1"/>
  <c r="AH54" i="2" s="1"/>
  <c r="AI54" i="2" s="1"/>
  <c r="AJ54" i="2" s="1"/>
  <c r="AK54" i="2" s="1"/>
  <c r="AL54" i="2" s="1"/>
  <c r="AM54" i="2" s="1"/>
  <c r="AN54" i="2" s="1"/>
  <c r="AO54" i="2" s="1"/>
  <c r="AP54" i="2" s="1"/>
  <c r="AQ54" i="2" s="1"/>
  <c r="AR54" i="2" s="1"/>
  <c r="AS54" i="2" s="1"/>
  <c r="AT54" i="2" s="1"/>
  <c r="AU54" i="2" s="1"/>
  <c r="AV54" i="2" s="1"/>
  <c r="AW54" i="2" s="1"/>
  <c r="AX54" i="2" s="1"/>
  <c r="AY54" i="2" s="1"/>
  <c r="AZ54" i="2" s="1"/>
  <c r="BA54" i="2" s="1"/>
  <c r="BB54" i="2" s="1"/>
  <c r="BC54" i="2" s="1"/>
  <c r="BD54" i="2" s="1"/>
  <c r="BE54" i="2" s="1"/>
  <c r="BF54" i="2" s="1"/>
  <c r="BG54" i="2" s="1"/>
  <c r="BH54" i="2" s="1"/>
  <c r="BI54" i="2" s="1"/>
  <c r="BJ54" i="2" s="1"/>
  <c r="BK54" i="2" s="1"/>
  <c r="BL54" i="2" s="1"/>
  <c r="BM54" i="2" s="1"/>
  <c r="BN54" i="2" s="1"/>
  <c r="BO54" i="2" s="1"/>
  <c r="BP54" i="2" s="1"/>
  <c r="BQ54" i="2" s="1"/>
  <c r="BR54" i="2" s="1"/>
  <c r="BS54" i="2" s="1"/>
  <c r="BT54" i="2" s="1"/>
  <c r="BU54" i="2" s="1"/>
  <c r="BV54" i="2" s="1"/>
  <c r="AA8" i="2"/>
  <c r="AB7" i="2"/>
  <c r="AC7" i="2" s="1"/>
  <c r="AD7" i="2" s="1"/>
  <c r="AE7" i="2" s="1"/>
  <c r="AF7" i="2" s="1"/>
  <c r="AG7" i="2" s="1"/>
  <c r="AH7" i="2" s="1"/>
  <c r="AI7" i="2" s="1"/>
  <c r="AJ7" i="2" s="1"/>
  <c r="AK7" i="2" s="1"/>
  <c r="AL7" i="2" s="1"/>
  <c r="AM7" i="2" s="1"/>
  <c r="AN7" i="2" s="1"/>
  <c r="AO7" i="2" s="1"/>
  <c r="AP7" i="2" s="1"/>
  <c r="AQ7" i="2" s="1"/>
  <c r="AR7" i="2" s="1"/>
  <c r="AS7" i="2" s="1"/>
  <c r="AT7" i="2" s="1"/>
  <c r="AU7" i="2" s="1"/>
  <c r="AV7" i="2" s="1"/>
  <c r="AW7" i="2" s="1"/>
  <c r="AX7" i="2" s="1"/>
  <c r="AY7" i="2" s="1"/>
  <c r="AZ7" i="2" s="1"/>
  <c r="BA7" i="2" s="1"/>
  <c r="BB7" i="2" s="1"/>
  <c r="BC7" i="2" s="1"/>
  <c r="BD7" i="2" s="1"/>
  <c r="BE7" i="2" s="1"/>
  <c r="BF7" i="2" s="1"/>
  <c r="BG7" i="2" s="1"/>
  <c r="BH7" i="2" s="1"/>
  <c r="BI7" i="2" s="1"/>
  <c r="BJ7" i="2" s="1"/>
  <c r="BK7" i="2" s="1"/>
  <c r="BL7" i="2" s="1"/>
  <c r="BM7" i="2" s="1"/>
  <c r="BN7" i="2" s="1"/>
  <c r="BO7" i="2" s="1"/>
  <c r="BP7" i="2" s="1"/>
  <c r="BQ7" i="2" s="1"/>
  <c r="BR7" i="2" s="1"/>
  <c r="BS7" i="2" s="1"/>
  <c r="BT7" i="2" s="1"/>
  <c r="BU7" i="2" s="1"/>
  <c r="BV7" i="2" s="1"/>
  <c r="AB7" i="3"/>
  <c r="AC7" i="3" s="1"/>
  <c r="AD7" i="3" s="1"/>
  <c r="AE7" i="3" s="1"/>
  <c r="AF7" i="3" s="1"/>
  <c r="AG7" i="3" s="1"/>
  <c r="AH7" i="3" s="1"/>
  <c r="AI7" i="3" s="1"/>
  <c r="AJ7" i="3" s="1"/>
  <c r="AK7" i="3" s="1"/>
  <c r="AL7" i="3" s="1"/>
  <c r="AM7" i="3" s="1"/>
  <c r="AN7" i="3" s="1"/>
  <c r="AO7" i="3" s="1"/>
  <c r="AP7" i="3" s="1"/>
  <c r="AQ7" i="3" s="1"/>
  <c r="AR7" i="3" s="1"/>
  <c r="AS7" i="3" s="1"/>
  <c r="AT7" i="3" s="1"/>
  <c r="AU7" i="3" s="1"/>
  <c r="AV7" i="3" s="1"/>
  <c r="AW7" i="3" s="1"/>
  <c r="AX7" i="3" s="1"/>
  <c r="AY7" i="3" s="1"/>
  <c r="AZ7" i="3" s="1"/>
  <c r="BA7" i="3" s="1"/>
  <c r="BB7" i="3" s="1"/>
  <c r="BC7" i="3" s="1"/>
  <c r="BD7" i="3" s="1"/>
  <c r="BE7" i="3" s="1"/>
  <c r="BF7" i="3" s="1"/>
  <c r="BG7" i="3" s="1"/>
  <c r="BH7" i="3" s="1"/>
  <c r="BI7" i="3" s="1"/>
  <c r="BJ7" i="3" s="1"/>
  <c r="BK7" i="3" s="1"/>
  <c r="BL7" i="3" s="1"/>
  <c r="BM7" i="3" s="1"/>
  <c r="BN7" i="3" s="1"/>
  <c r="BO7" i="3" s="1"/>
  <c r="BP7" i="3" s="1"/>
  <c r="BQ7" i="3" s="1"/>
  <c r="BR7" i="3" s="1"/>
  <c r="BS7" i="3" s="1"/>
  <c r="BT7" i="3" s="1"/>
  <c r="BU7" i="3" s="1"/>
  <c r="BV7" i="3" s="1"/>
  <c r="AA8" i="3"/>
  <c r="M93" i="2"/>
  <c r="M95" i="2" s="1"/>
  <c r="M70" i="2" s="1"/>
  <c r="M72" i="2" s="1"/>
  <c r="N93" i="2"/>
  <c r="N95" i="2" s="1"/>
  <c r="N70" i="2" s="1"/>
  <c r="N72" i="2" s="1"/>
  <c r="Q76" i="2" l="1"/>
  <c r="Q81" i="2" s="1"/>
  <c r="P91" i="2"/>
  <c r="P93" i="2" s="1"/>
  <c r="P95" i="2" s="1"/>
  <c r="P70" i="2" s="1"/>
  <c r="P72" i="2" s="1"/>
  <c r="Q91" i="2" l="1"/>
  <c r="Q93" i="2" s="1"/>
  <c r="Q95" i="2" s="1"/>
  <c r="Q70" i="2" s="1"/>
  <c r="Q72" i="2" s="1"/>
  <c r="R76" i="2"/>
  <c r="R81" i="2" s="1"/>
  <c r="S76" i="2" l="1"/>
  <c r="S81" i="2" s="1"/>
  <c r="R91" i="2"/>
  <c r="R93" i="2" s="1"/>
  <c r="R95" i="2" s="1"/>
  <c r="R70" i="2" s="1"/>
  <c r="R72" i="2" s="1"/>
  <c r="S91" i="2" l="1"/>
  <c r="S93" i="2" s="1"/>
  <c r="S95" i="2" s="1"/>
  <c r="S70" i="2" s="1"/>
  <c r="S72" i="2" s="1"/>
  <c r="T76" i="2"/>
  <c r="T81" i="2" s="1"/>
  <c r="U76" i="2" l="1"/>
  <c r="U81" i="2" s="1"/>
  <c r="T91" i="2"/>
  <c r="T93" i="2" s="1"/>
  <c r="T95" i="2" s="1"/>
  <c r="T70" i="2" s="1"/>
  <c r="T72" i="2" s="1"/>
  <c r="V76" i="2" l="1"/>
  <c r="V81" i="2" s="1"/>
  <c r="U91" i="2"/>
  <c r="U93" i="2" s="1"/>
  <c r="U95" i="2" s="1"/>
  <c r="U70" i="2" s="1"/>
  <c r="U72" i="2" s="1"/>
  <c r="W76" i="2" l="1"/>
  <c r="W81" i="2" s="1"/>
  <c r="V91" i="2"/>
  <c r="V93" i="2" s="1"/>
  <c r="V95" i="2" s="1"/>
  <c r="V70" i="2" s="1"/>
  <c r="V72" i="2" s="1"/>
  <c r="X76" i="2" l="1"/>
  <c r="X81" i="2" s="1"/>
  <c r="W91" i="2"/>
  <c r="W93" i="2" s="1"/>
  <c r="W95" i="2" s="1"/>
  <c r="W70" i="2" s="1"/>
  <c r="W72" i="2" s="1"/>
  <c r="X91" i="2" l="1"/>
  <c r="X93" i="2" s="1"/>
  <c r="X95" i="2" s="1"/>
  <c r="X70" i="2" s="1"/>
  <c r="X72" i="2" s="1"/>
  <c r="Y76" i="2"/>
  <c r="Y81" i="2" s="1"/>
  <c r="Z76" i="2" l="1"/>
  <c r="Z81" i="2" s="1"/>
  <c r="Y91" i="2"/>
  <c r="Y93" i="2" s="1"/>
  <c r="Y95" i="2" s="1"/>
  <c r="Y70" i="2" s="1"/>
  <c r="Y72" i="2" s="1"/>
  <c r="AA76" i="2" l="1"/>
  <c r="AA81" i="2" s="1"/>
  <c r="Z91" i="2"/>
  <c r="Z93" i="2" s="1"/>
  <c r="Z95" i="2" s="1"/>
  <c r="Z70" i="2" s="1"/>
  <c r="Z72" i="2" s="1"/>
  <c r="AA91" i="2" l="1"/>
  <c r="AA93" i="2" s="1"/>
  <c r="AA95" i="2" s="1"/>
  <c r="AA70" i="2" s="1"/>
  <c r="AA72" i="2" s="1"/>
  <c r="AB76" i="2"/>
  <c r="AB81" i="2" l="1"/>
  <c r="AB91" i="2" s="1"/>
  <c r="AB93" i="2" s="1"/>
  <c r="AB95" i="2" s="1"/>
  <c r="AB70" i="2" s="1"/>
  <c r="AB7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M36" authorId="0" shapeId="0" xr:uid="{CE6B14FD-664B-4F05-A1AE-F970843F4FD4}">
      <text>
        <r>
          <rPr>
            <b/>
            <sz val="9"/>
            <color indexed="81"/>
            <rFont val="Tahoma"/>
            <family val="2"/>
          </rPr>
          <t>Rationale:</t>
        </r>
        <r>
          <rPr>
            <sz val="9"/>
            <color indexed="81"/>
            <rFont val="Tahoma"/>
            <family val="2"/>
          </rPr>
          <t xml:space="preserve">
Continued share repurchase reducing book equity slightly.</t>
        </r>
      </text>
    </comment>
    <comment ref="N36" authorId="0" shapeId="0" xr:uid="{9F6F9D3D-5A9C-43EF-A248-9C630C8208B1}">
      <text>
        <r>
          <rPr>
            <b/>
            <sz val="9"/>
            <color indexed="81"/>
            <rFont val="Tahoma"/>
            <family val="2"/>
          </rPr>
          <t>Rationale:</t>
        </r>
        <r>
          <rPr>
            <sz val="9"/>
            <color indexed="81"/>
            <rFont val="Tahoma"/>
            <family val="2"/>
          </rPr>
          <t xml:space="preserve">
Continued share repurchase reducing book equity slightly.</t>
        </r>
      </text>
    </comment>
    <comment ref="O36" authorId="0" shapeId="0" xr:uid="{BAC22A4A-7B6C-4212-B014-1EBBF004082B}">
      <text>
        <r>
          <rPr>
            <b/>
            <sz val="9"/>
            <color indexed="81"/>
            <rFont val="Tahoma"/>
            <family val="2"/>
          </rPr>
          <t>Rationale:</t>
        </r>
        <r>
          <rPr>
            <sz val="9"/>
            <color indexed="81"/>
            <rFont val="Tahoma"/>
            <family val="2"/>
          </rPr>
          <t xml:space="preserve">
Equity stabilizes as buybacks slow and RE offset reductions</t>
        </r>
      </text>
    </comment>
    <comment ref="P36" authorId="0" shapeId="0" xr:uid="{61BA8C35-ED7D-48DA-AE0B-4CB99D11E7EE}">
      <text>
        <r>
          <rPr>
            <b/>
            <sz val="9"/>
            <color indexed="81"/>
            <rFont val="Tahoma"/>
            <family val="2"/>
          </rPr>
          <t>Rationale:</t>
        </r>
        <r>
          <rPr>
            <sz val="9"/>
            <color indexed="81"/>
            <rFont val="Tahoma"/>
            <family val="2"/>
          </rPr>
          <t xml:space="preserve">
Equity stabilizes as buybacks slow and RE offset reductions</t>
        </r>
      </text>
    </comment>
    <comment ref="Q36" authorId="0" shapeId="0" xr:uid="{151D431F-ABB4-48B2-AFFC-0DFCD00B16C4}">
      <text>
        <r>
          <rPr>
            <b/>
            <sz val="9"/>
            <color indexed="81"/>
            <rFont val="Tahoma"/>
            <family val="2"/>
          </rPr>
          <t>Rationale:</t>
        </r>
        <r>
          <rPr>
            <sz val="9"/>
            <color indexed="81"/>
            <rFont val="Tahoma"/>
            <family val="2"/>
          </rPr>
          <t xml:space="preserve">
Equity stabilizes as buybacks slow and RE offset reductions</t>
        </r>
      </text>
    </comment>
    <comment ref="R36" authorId="0" shapeId="0" xr:uid="{7C835A2E-09CC-42F6-923F-F00A59DA778F}">
      <text>
        <r>
          <rPr>
            <b/>
            <sz val="9"/>
            <color indexed="81"/>
            <rFont val="Tahoma"/>
            <family val="2"/>
          </rPr>
          <t>Rationale:</t>
        </r>
        <r>
          <rPr>
            <sz val="9"/>
            <color indexed="81"/>
            <rFont val="Tahoma"/>
            <family val="2"/>
          </rPr>
          <t xml:space="preserve">
Equity stabilizes as buybacks slow and RE offset reductions</t>
        </r>
      </text>
    </comment>
    <comment ref="S36" authorId="0" shapeId="0" xr:uid="{260A9AB5-2F7B-4C34-B8ED-290F1A68214B}">
      <text>
        <r>
          <rPr>
            <b/>
            <sz val="9"/>
            <color indexed="81"/>
            <rFont val="Tahoma"/>
            <family val="2"/>
          </rPr>
          <t>Rationale:</t>
        </r>
        <r>
          <rPr>
            <sz val="9"/>
            <color indexed="81"/>
            <rFont val="Tahoma"/>
            <family val="2"/>
          </rPr>
          <t xml:space="preserve">
Gradual recovery as RE recovers</t>
        </r>
      </text>
    </comment>
    <comment ref="T36" authorId="0" shapeId="0" xr:uid="{CF9E3E98-B04A-4A19-A19B-F3312E3DF8BA}">
      <text>
        <r>
          <rPr>
            <b/>
            <sz val="9"/>
            <color indexed="81"/>
            <rFont val="Tahoma"/>
            <family val="2"/>
          </rPr>
          <t>Rationale:</t>
        </r>
        <r>
          <rPr>
            <sz val="9"/>
            <color indexed="81"/>
            <rFont val="Tahoma"/>
            <family val="2"/>
          </rPr>
          <t xml:space="preserve">
Gradual recovery as RE recovers</t>
        </r>
      </text>
    </comment>
    <comment ref="U36" authorId="0" shapeId="0" xr:uid="{F2E8DE2E-0D10-4427-B370-9AA2D1EFF66B}">
      <text>
        <r>
          <rPr>
            <b/>
            <sz val="9"/>
            <color indexed="81"/>
            <rFont val="Tahoma"/>
            <family val="2"/>
          </rPr>
          <t>Rationale:</t>
        </r>
        <r>
          <rPr>
            <sz val="9"/>
            <color indexed="81"/>
            <rFont val="Tahoma"/>
            <family val="2"/>
          </rPr>
          <t xml:space="preserve">
Gradual recovery as RE recovers</t>
        </r>
      </text>
    </comment>
    <comment ref="V36" authorId="0" shapeId="0" xr:uid="{3B2697A8-8365-4398-9112-9B75789379D5}">
      <text>
        <r>
          <rPr>
            <b/>
            <sz val="9"/>
            <color indexed="81"/>
            <rFont val="Tahoma"/>
            <family val="2"/>
          </rPr>
          <t>Rationale:</t>
        </r>
        <r>
          <rPr>
            <sz val="9"/>
            <color indexed="81"/>
            <rFont val="Tahoma"/>
            <family val="2"/>
          </rPr>
          <t xml:space="preserve">
Gradual recovery as RE recovers</t>
        </r>
      </text>
    </comment>
    <comment ref="W36" authorId="0" shapeId="0" xr:uid="{7E1B173D-79DA-4074-8A8D-D7BFC841ED18}">
      <text>
        <r>
          <rPr>
            <b/>
            <sz val="9"/>
            <color indexed="81"/>
            <rFont val="Tahoma"/>
            <family val="2"/>
          </rPr>
          <t>Rationale:</t>
        </r>
        <r>
          <rPr>
            <sz val="9"/>
            <color indexed="81"/>
            <rFont val="Tahoma"/>
            <family val="2"/>
          </rPr>
          <t xml:space="preserve">
Gradual recovery as RE recovers</t>
        </r>
      </text>
    </comment>
    <comment ref="X36" authorId="0" shapeId="0" xr:uid="{E7A53FE1-A72B-430F-A512-BFA4C07CA3C3}">
      <text>
        <r>
          <rPr>
            <b/>
            <sz val="9"/>
            <color indexed="81"/>
            <rFont val="Tahoma"/>
            <family val="2"/>
          </rPr>
          <t>Rationale:</t>
        </r>
        <r>
          <rPr>
            <sz val="9"/>
            <color indexed="81"/>
            <rFont val="Tahoma"/>
            <family val="2"/>
          </rPr>
          <t xml:space="preserve">
Gradual recovery as RE recovers</t>
        </r>
      </text>
    </comment>
    <comment ref="Y36" authorId="0" shapeId="0" xr:uid="{866527BD-3CE1-4C3A-8E57-C2C01C553796}">
      <text>
        <r>
          <rPr>
            <b/>
            <sz val="9"/>
            <color indexed="81"/>
            <rFont val="Tahoma"/>
            <family val="2"/>
          </rPr>
          <t>Rationale:</t>
        </r>
        <r>
          <rPr>
            <sz val="9"/>
            <color indexed="81"/>
            <rFont val="Tahoma"/>
            <family val="2"/>
          </rPr>
          <t xml:space="preserve">
Gradual recovery as RE recovers</t>
        </r>
      </text>
    </comment>
    <comment ref="Z36" authorId="0" shapeId="0" xr:uid="{66507E4C-5A91-4DB2-A633-93B74A69F27E}">
      <text>
        <r>
          <rPr>
            <b/>
            <sz val="9"/>
            <color indexed="81"/>
            <rFont val="Tahoma"/>
            <family val="2"/>
          </rPr>
          <t>Rationale:</t>
        </r>
        <r>
          <rPr>
            <sz val="9"/>
            <color indexed="81"/>
            <rFont val="Tahoma"/>
            <family val="2"/>
          </rPr>
          <t xml:space="preserve">
Gradual recovery as RE recovers</t>
        </r>
      </text>
    </comment>
    <comment ref="AA36" authorId="0" shapeId="0" xr:uid="{90D6683E-740C-4990-B048-2A2FEB0F0B75}">
      <text>
        <r>
          <rPr>
            <b/>
            <sz val="9"/>
            <color indexed="81"/>
            <rFont val="Tahoma"/>
            <family val="2"/>
          </rPr>
          <t>Rationale:</t>
        </r>
        <r>
          <rPr>
            <sz val="9"/>
            <color indexed="81"/>
            <rFont val="Tahoma"/>
            <family val="2"/>
          </rPr>
          <t xml:space="preserve">
Gradual recovery as RE recovers</t>
        </r>
      </text>
    </comment>
    <comment ref="AB36" authorId="0" shapeId="0" xr:uid="{26A4BA5A-52A7-47C6-B76A-A13BF5443BA9}">
      <text>
        <r>
          <rPr>
            <b/>
            <sz val="9"/>
            <color indexed="81"/>
            <rFont val="Tahoma"/>
            <family val="2"/>
          </rPr>
          <t>Rationale:</t>
        </r>
        <r>
          <rPr>
            <sz val="9"/>
            <color indexed="81"/>
            <rFont val="Tahoma"/>
            <family val="2"/>
          </rPr>
          <t xml:space="preserve">
Gradual recovery as RE recovers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S10" authorId="0" shapeId="0" xr:uid="{D1E370EC-4CB9-47A1-8953-F81966B7EE46}">
      <text>
        <r>
          <rPr>
            <b/>
            <sz val="9"/>
            <color indexed="81"/>
            <rFont val="Tahoma"/>
            <family val="2"/>
          </rPr>
          <t>Rationale:</t>
        </r>
        <r>
          <rPr>
            <sz val="9"/>
            <color indexed="81"/>
            <rFont val="Tahoma"/>
            <family val="2"/>
          </rPr>
          <t xml:space="preserve">
A long-term growth rate of 3.5% has been applied to Starbucks’ free cash flows. This figure is positioned below broader coffee market growth forecasts (4–5% CAGR) to reflect the company’s recent operational headwinds, including margin compression, restructuring-led store closures, and stagnating U.S. and China traffic.
However, the rate remains above the lower bound of 2–3% implied by current earnings trends, in recognition of Starbucks’ brand strength, pricing power, and international recovery potential once the cost reset cycle stabilizes.
Therefore, 3.5% represents a balanced, company-specific steady-state growth assumption — conservative enough to account for near-term softness, yet optimistic enough to reflect Starbucks’ ability to normalize beyond FY2025.</t>
        </r>
      </text>
    </comment>
    <comment ref="S11" authorId="0" shapeId="0" xr:uid="{BEC9CD8B-4FC3-4463-81C9-99A8324101CD}">
      <text>
        <r>
          <rPr>
            <sz val="9"/>
            <color indexed="81"/>
            <rFont val="Tahoma"/>
            <family val="2"/>
          </rPr>
          <t>Refer &lt;4. Market Data &amp; WACC&gt; sheet</t>
        </r>
      </text>
    </comment>
    <comment ref="S26" authorId="0" shapeId="0" xr:uid="{23CBD75B-15FA-4349-81F9-E3B73E28708B}">
      <text>
        <r>
          <rPr>
            <sz val="9"/>
            <color indexed="81"/>
            <rFont val="Tahoma"/>
            <family val="2"/>
          </rPr>
          <t>Refer &lt;4. Market Data &amp; WACC&gt;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S10" authorId="0" shapeId="0" xr:uid="{99A0FBBA-AD43-4B45-B9B7-4375ACB3B9B4}">
      <text>
        <r>
          <rPr>
            <b/>
            <sz val="9"/>
            <color indexed="81"/>
            <rFont val="Tahoma"/>
            <family val="2"/>
          </rPr>
          <t>Rationale:</t>
        </r>
        <r>
          <rPr>
            <sz val="9"/>
            <color indexed="81"/>
            <rFont val="Tahoma"/>
            <family val="2"/>
          </rPr>
          <t xml:space="preserve">
A conservative long-term growth rate of 4.5% has been applied to Starbucks' cash flows. This aligns with independent market data indicating that the global coffee market is expected to grow at approximately 4–5% annually over the coming decade (Mordor Intelligence, Precedence Research, IMARC Group).
While Starbucks may outperform the broader industry in the near term due to its brand strength, pricing power, and continued store expansion, anchoring the valuation to industry-level growth rather than company-level ambition prevents over-optimism.
Using 4.5% therefore represents a realistic and defensible baseline — allowing for moderate growth beyond inflation while avoiding excessive terminal assumptions.</t>
        </r>
      </text>
    </comment>
  </commentList>
</comments>
</file>

<file path=xl/sharedStrings.xml><?xml version="1.0" encoding="utf-8"?>
<sst xmlns="http://schemas.openxmlformats.org/spreadsheetml/2006/main" count="1673" uniqueCount="783">
  <si>
    <t>Starbucks Corp (SBUX US) - BBG Adjusted</t>
  </si>
  <si>
    <t>In Millions of USD except Per Share</t>
  </si>
  <si>
    <t>FY 2015</t>
  </si>
  <si>
    <t>FY 2016</t>
  </si>
  <si>
    <t>FY 2017</t>
  </si>
  <si>
    <t>FY 2018</t>
  </si>
  <si>
    <t>FY 2019</t>
  </si>
  <si>
    <t>FY 2020</t>
  </si>
  <si>
    <t>FY 2021</t>
  </si>
  <si>
    <t>FY 2022</t>
  </si>
  <si>
    <t>FY 2023</t>
  </si>
  <si>
    <t>FY 2024</t>
  </si>
  <si>
    <t>12 Months Ending</t>
  </si>
  <si>
    <t>09/27/2015</t>
  </si>
  <si>
    <t>10/02/2016</t>
  </si>
  <si>
    <t>10/01/2017</t>
  </si>
  <si>
    <t>09/30/2018</t>
  </si>
  <si>
    <t>09/29/2019</t>
  </si>
  <si>
    <t>09/27/2020</t>
  </si>
  <si>
    <t>10/03/2021</t>
  </si>
  <si>
    <t>10/02/2022</t>
  </si>
  <si>
    <t>10/01/2023</t>
  </si>
  <si>
    <t>09/29/2024</t>
  </si>
  <si>
    <t>Revenue</t>
  </si>
  <si>
    <t xml:space="preserve">    + Sales &amp; Services Revenue</t>
  </si>
  <si>
    <t>Income Statement</t>
  </si>
  <si>
    <t xml:space="preserve">    + Other Revenue</t>
  </si>
  <si>
    <t xml:space="preserve">  - Cost of Revenue</t>
  </si>
  <si>
    <t>Balance Sheet</t>
  </si>
  <si>
    <t xml:space="preserve">    + Cost of Goods &amp; Services</t>
  </si>
  <si>
    <t>Cashflow Statement</t>
  </si>
  <si>
    <t>Gross Profit</t>
  </si>
  <si>
    <t>Revenue Break-up</t>
  </si>
  <si>
    <t xml:space="preserve">  + Other Operating Income</t>
  </si>
  <si>
    <t>Additional Information</t>
  </si>
  <si>
    <t xml:space="preserve">  - Operating Expenses</t>
  </si>
  <si>
    <t xml:space="preserve">    + Selling, General &amp; Admin</t>
  </si>
  <si>
    <t xml:space="preserve">    + Selling &amp; Marketing</t>
  </si>
  <si>
    <t xml:space="preserve">    + General &amp; Administrative</t>
  </si>
  <si>
    <t xml:space="preserve">    + Research &amp; Development</t>
  </si>
  <si>
    <t xml:space="preserve">    + Depreciation &amp; Amortization</t>
  </si>
  <si>
    <t xml:space="preserve">    + Other Operating Expense</t>
  </si>
  <si>
    <t>Operating Income (Loss)</t>
  </si>
  <si>
    <t xml:space="preserve">  - Non-Operating (Income) Loss</t>
  </si>
  <si>
    <t xml:space="preserve">    + Interest Expense, Net</t>
  </si>
  <si>
    <t xml:space="preserve">    + Interest Expense</t>
  </si>
  <si>
    <t xml:space="preserve">    - Interest Income</t>
  </si>
  <si>
    <t xml:space="preserve">    + Foreign Exch (Gain) Loss</t>
  </si>
  <si>
    <t xml:space="preserve">    + Other Non-Op (Income) Loss</t>
  </si>
  <si>
    <t>Pretax Income (Loss), Adjusted</t>
  </si>
  <si>
    <t xml:space="preserve">  - Abnormal Losses (Gains)</t>
  </si>
  <si>
    <t xml:space="preserve">    + Merger/Acquisition Expense</t>
  </si>
  <si>
    <t xml:space="preserve">    + Disposal of Assets</t>
  </si>
  <si>
    <t xml:space="preserve">    + Early Extinguishment of Debt</t>
  </si>
  <si>
    <t xml:space="preserve">    + Asset Write-Down</t>
  </si>
  <si>
    <t xml:space="preserve">    + Impairment of Goodwill</t>
  </si>
  <si>
    <t xml:space="preserve">    + Impairment of Intangibles</t>
  </si>
  <si>
    <t xml:space="preserve">    + Gain/Loss on Sale/Acquisition of Business</t>
  </si>
  <si>
    <t xml:space="preserve">    + Legal Settlement</t>
  </si>
  <si>
    <t xml:space="preserve">    + Restructuring</t>
  </si>
  <si>
    <t xml:space="preserve">    + Sale of Investments</t>
  </si>
  <si>
    <t xml:space="preserve">    + Other Abnormal Items</t>
  </si>
  <si>
    <t>Pretax Income (Loss), GAAP</t>
  </si>
  <si>
    <t xml:space="preserve">  - Income Tax Expense (Benefit)</t>
  </si>
  <si>
    <t xml:space="preserve">    + Current Income Tax</t>
  </si>
  <si>
    <t xml:space="preserve">    + Deferred Income Tax</t>
  </si>
  <si>
    <t>Income (Loss) from Cont Ops</t>
  </si>
  <si>
    <t xml:space="preserve">  - Net Extraordinary Losses (Gains)</t>
  </si>
  <si>
    <t xml:space="preserve">    + Discontinued Operations</t>
  </si>
  <si>
    <t xml:space="preserve">    + XO &amp; Accounting Changes</t>
  </si>
  <si>
    <t>Income (Loss) Incl. MI</t>
  </si>
  <si>
    <t xml:space="preserve">  - Minority Interest</t>
  </si>
  <si>
    <t>Net Income, GAAP</t>
  </si>
  <si>
    <t xml:space="preserve">  - Preferred Dividends</t>
  </si>
  <si>
    <t xml:space="preserve">  - Other Adjustments</t>
  </si>
  <si>
    <t>Net Income Avail to Common, GAAP</t>
  </si>
  <si>
    <t> </t>
  </si>
  <si>
    <t>Net Income Avail to Common, Adj</t>
  </si>
  <si>
    <t xml:space="preserve">  Net Abnormal Losses (Gains)</t>
  </si>
  <si>
    <t xml:space="preserve">  Net Extraordinary Losses (Gains)</t>
  </si>
  <si>
    <t>Basic Weighted Avg Shares</t>
  </si>
  <si>
    <t>Basic EPS, GAAP</t>
  </si>
  <si>
    <t>Basic EPS from Cont Ops, GAAP</t>
  </si>
  <si>
    <t>Basic EPS from Cont Ops, Adjusted</t>
  </si>
  <si>
    <t>Diluted Weighted Avg Shares</t>
  </si>
  <si>
    <t>Diluted EPS, GAAP</t>
  </si>
  <si>
    <t>Diluted EPS from Cont Ops, GAAP</t>
  </si>
  <si>
    <t>Diluted EPS from Cont Ops, Adjusted</t>
  </si>
  <si>
    <t>Reference Items</t>
  </si>
  <si>
    <t>Accounting Standard</t>
  </si>
  <si>
    <t>US GAAP</t>
  </si>
  <si>
    <t>EBITDA</t>
  </si>
  <si>
    <t>EBITDA Margin (T12M)</t>
  </si>
  <si>
    <t>EBITA</t>
  </si>
  <si>
    <t>EBIT</t>
  </si>
  <si>
    <t>Gross Margin</t>
  </si>
  <si>
    <t>Operating Margin</t>
  </si>
  <si>
    <t>Profit Margin</t>
  </si>
  <si>
    <t>Sales per Employee</t>
  </si>
  <si>
    <t>Dividends per Share</t>
  </si>
  <si>
    <t>Total Cash Common Dividends</t>
  </si>
  <si>
    <t>Capitalized Interest Expense</t>
  </si>
  <si>
    <t>Depreciation Expense</t>
  </si>
  <si>
    <t>Rental Expense</t>
  </si>
  <si>
    <t>Source: Bloomberg</t>
  </si>
  <si>
    <t>Starbucks Corp (SBUX US) - Standardized</t>
  </si>
  <si>
    <t>Total Assets</t>
  </si>
  <si>
    <t xml:space="preserve">  + Cash, Cash Equivalents &amp; STI</t>
  </si>
  <si>
    <t xml:space="preserve">    + Cash &amp; Cash Equivalents</t>
  </si>
  <si>
    <t xml:space="preserve">    + ST Investments</t>
  </si>
  <si>
    <t xml:space="preserve">  + Accounts &amp; Notes Receiv</t>
  </si>
  <si>
    <t xml:space="preserve">    + Accounts Receivable, Net</t>
  </si>
  <si>
    <t xml:space="preserve">    + Notes Receivable, Net</t>
  </si>
  <si>
    <t xml:space="preserve">  + Inventories</t>
  </si>
  <si>
    <t xml:space="preserve">    + Raw Materials</t>
  </si>
  <si>
    <t xml:space="preserve">    + Work In Process</t>
  </si>
  <si>
    <t xml:space="preserve">    + Finished Goods</t>
  </si>
  <si>
    <t xml:space="preserve">    + Other Inventory</t>
  </si>
  <si>
    <t xml:space="preserve">  + Other ST Assets</t>
  </si>
  <si>
    <t xml:space="preserve">    + Derivative &amp; Hedging Assets</t>
  </si>
  <si>
    <t xml:space="preserve">    + Deferred Tax Assets</t>
  </si>
  <si>
    <t xml:space="preserve">    + Taxes Receivable</t>
  </si>
  <si>
    <t xml:space="preserve">    + Misc ST Assets</t>
  </si>
  <si>
    <t>Total Current Assets</t>
  </si>
  <si>
    <t xml:space="preserve">  + Property, Plant &amp; Equip, Net</t>
  </si>
  <si>
    <t xml:space="preserve">    + Property, Plant &amp; Equip</t>
  </si>
  <si>
    <t xml:space="preserve">    - Accumulated Depreciation</t>
  </si>
  <si>
    <t xml:space="preserve">  + LT Investments &amp; Receivables</t>
  </si>
  <si>
    <t xml:space="preserve">    + LT Investments</t>
  </si>
  <si>
    <t xml:space="preserve">  + Other LT Assets</t>
  </si>
  <si>
    <t xml:space="preserve">    + Total Intangible Assets</t>
  </si>
  <si>
    <t xml:space="preserve">    + Goodwill</t>
  </si>
  <si>
    <t xml:space="preserve">    + Other Intangible Assets</t>
  </si>
  <si>
    <t xml:space="preserve">    + Prepaid Pension Costs</t>
  </si>
  <si>
    <t xml:space="preserve">    + Misc LT Assets</t>
  </si>
  <si>
    <t>Total Noncurrent Assets</t>
  </si>
  <si>
    <t>Liabilities &amp; Shareholders' Equity</t>
  </si>
  <si>
    <t xml:space="preserve">  + Payables &amp; Accruals</t>
  </si>
  <si>
    <t xml:space="preserve">    + Accounts Payable</t>
  </si>
  <si>
    <t xml:space="preserve">    + Accrued Taxes</t>
  </si>
  <si>
    <t xml:space="preserve">    + Interest &amp; Dividends Payable</t>
  </si>
  <si>
    <t xml:space="preserve">    + Other Payables &amp; Accruals</t>
  </si>
  <si>
    <t xml:space="preserve">  + ST Debt</t>
  </si>
  <si>
    <t xml:space="preserve">    + ST Borrowings</t>
  </si>
  <si>
    <t xml:space="preserve">    + ST Lease Liabilities</t>
  </si>
  <si>
    <t xml:space="preserve">      + ST Finance Leases</t>
  </si>
  <si>
    <t xml:space="preserve">      + ST Operating Leases</t>
  </si>
  <si>
    <t xml:space="preserve">    + Current Portion of LT Debt</t>
  </si>
  <si>
    <t xml:space="preserve">  + Other ST Liabilities</t>
  </si>
  <si>
    <t xml:space="preserve">    + Deferred Revenue</t>
  </si>
  <si>
    <t xml:space="preserve">    + Derivatives &amp; Hedging</t>
  </si>
  <si>
    <t xml:space="preserve">    + Misc ST Liabilities</t>
  </si>
  <si>
    <t>Total Current Liabilities</t>
  </si>
  <si>
    <t xml:space="preserve">  + LT Debt</t>
  </si>
  <si>
    <t xml:space="preserve">    + LT Borrowings</t>
  </si>
  <si>
    <t xml:space="preserve">    + LT Lease Liabilities</t>
  </si>
  <si>
    <t xml:space="preserve">      + LT Finance Leases</t>
  </si>
  <si>
    <t xml:space="preserve">      + LT Operating Leases</t>
  </si>
  <si>
    <t xml:space="preserve">  + Other LT Liabilities</t>
  </si>
  <si>
    <t xml:space="preserve">    + Accrued Liabilities</t>
  </si>
  <si>
    <t xml:space="preserve">    + Pension Liabilities</t>
  </si>
  <si>
    <t xml:space="preserve">    + Pensions</t>
  </si>
  <si>
    <t xml:space="preserve">    + Other Post-Ret Benefits</t>
  </si>
  <si>
    <t xml:space="preserve">    + Deferred Tax Liabilities</t>
  </si>
  <si>
    <t xml:space="preserve">    + Misc LT Liabilities</t>
  </si>
  <si>
    <t>Total Noncurrent Liabilities</t>
  </si>
  <si>
    <t>Total Liabilities</t>
  </si>
  <si>
    <t xml:space="preserve">  + Preferred Equity and Hybrid Capital</t>
  </si>
  <si>
    <t xml:space="preserve">  + Share Capital &amp; APIC</t>
  </si>
  <si>
    <t xml:space="preserve">    + Common Stock</t>
  </si>
  <si>
    <t xml:space="preserve">    + Additional Paid in Capital</t>
  </si>
  <si>
    <t xml:space="preserve">  - Treasury Stock</t>
  </si>
  <si>
    <t xml:space="preserve">  + Retained Earnings</t>
  </si>
  <si>
    <t xml:space="preserve">  + Other Equity</t>
  </si>
  <si>
    <t>Equity Before Minority Interest</t>
  </si>
  <si>
    <t xml:space="preserve">  + Minority/Non Controlling Interest</t>
  </si>
  <si>
    <t>Total Equity</t>
  </si>
  <si>
    <t>Total Liabilities &amp; Equity</t>
  </si>
  <si>
    <t>Shares Outstanding</t>
  </si>
  <si>
    <t>Number of Treasury Shares</t>
  </si>
  <si>
    <t>Pension Obligations</t>
  </si>
  <si>
    <t>Future Minimum Operating Lease Obligations</t>
  </si>
  <si>
    <t>Capital Leases - Total</t>
  </si>
  <si>
    <t>Options Granted During Period</t>
  </si>
  <si>
    <t>Options Outstanding at Period End</t>
  </si>
  <si>
    <t>Net Debt</t>
  </si>
  <si>
    <t>Net Debt to Equity</t>
  </si>
  <si>
    <t>Tangible Common Equity Ratio</t>
  </si>
  <si>
    <t>Current Ratio</t>
  </si>
  <si>
    <t>Cash Conversion Cycle</t>
  </si>
  <si>
    <t>Cash Held Overseas</t>
  </si>
  <si>
    <t>Number of Employees</t>
  </si>
  <si>
    <t>Right click to show data transparency (not supported for all values)</t>
  </si>
  <si>
    <t>Cash from Operating Activities</t>
  </si>
  <si>
    <t xml:space="preserve">  + Net Income</t>
  </si>
  <si>
    <t xml:space="preserve">  + Depreciation &amp; Amortization</t>
  </si>
  <si>
    <t xml:space="preserve">  + Non-Cash Items</t>
  </si>
  <si>
    <t xml:space="preserve">    + Stock-Based Compensation</t>
  </si>
  <si>
    <t xml:space="preserve">    + Deferred Income Taxes</t>
  </si>
  <si>
    <t xml:space="preserve">    + Other Non-Cash Adj</t>
  </si>
  <si>
    <t xml:space="preserve">  + Chg in Non-Cash Work Cap</t>
  </si>
  <si>
    <t xml:space="preserve">    + (Inc) Dec in Accts Receiv</t>
  </si>
  <si>
    <t xml:space="preserve">    + (Inc) Dec in Inventories</t>
  </si>
  <si>
    <t xml:space="preserve">    + Inc (Dec) in Accts Payable</t>
  </si>
  <si>
    <t xml:space="preserve">    + Inc (Dec) in Other</t>
  </si>
  <si>
    <t xml:space="preserve">  + Net Cash From Disc Ops</t>
  </si>
  <si>
    <t>Cash from Investing Activities</t>
  </si>
  <si>
    <t xml:space="preserve">  + Change in Fixed &amp; Intang</t>
  </si>
  <si>
    <t xml:space="preserve">    + Disp in Fixed &amp; Intang</t>
  </si>
  <si>
    <t xml:space="preserve">    + Disp of Fixed Prod Assets</t>
  </si>
  <si>
    <t xml:space="preserve">    + Disp of Intangible Assets</t>
  </si>
  <si>
    <t xml:space="preserve">    + Acq of Fixed &amp; Intang</t>
  </si>
  <si>
    <t xml:space="preserve">    + Acq of Fixed Prod Assets</t>
  </si>
  <si>
    <t xml:space="preserve">    + Acq of Intangible Assets</t>
  </si>
  <si>
    <t xml:space="preserve">  + Net Change in LT Investment</t>
  </si>
  <si>
    <t xml:space="preserve">    + Dec in LT Investment</t>
  </si>
  <si>
    <t xml:space="preserve">    + Inc in LT Investment</t>
  </si>
  <si>
    <t xml:space="preserve">  + Net Cash From Acq &amp; Div</t>
  </si>
  <si>
    <t xml:space="preserve">    + Cash from Divestitures</t>
  </si>
  <si>
    <t xml:space="preserve">    + Cash for Acq of Subs</t>
  </si>
  <si>
    <t xml:space="preserve">    + Cash for JVs</t>
  </si>
  <si>
    <t xml:space="preserve">  + Other Investing Activities</t>
  </si>
  <si>
    <t>Cash from Financing Activities</t>
  </si>
  <si>
    <t xml:space="preserve">  + Dividends Paid</t>
  </si>
  <si>
    <t xml:space="preserve">  + Cash From (Repayment) Debt</t>
  </si>
  <si>
    <t xml:space="preserve">    + Cash From (Repay) ST Debt</t>
  </si>
  <si>
    <t xml:space="preserve">    + Cash From LT Debt</t>
  </si>
  <si>
    <t xml:space="preserve">    + Repayments of LT Debt</t>
  </si>
  <si>
    <t xml:space="preserve">  + Cash (Repurchase) of Equity</t>
  </si>
  <si>
    <t xml:space="preserve">    + Increase in Capital Stock</t>
  </si>
  <si>
    <t xml:space="preserve">    + Decrease in Capital Stock</t>
  </si>
  <si>
    <t xml:space="preserve">  + Other Financing Activities</t>
  </si>
  <si>
    <t xml:space="preserve">  Effect of Foreign Exchange Rates</t>
  </si>
  <si>
    <t>Net Changes in Cash</t>
  </si>
  <si>
    <t>Cash Paid for Taxes</t>
  </si>
  <si>
    <t>Cash Paid for Interest</t>
  </si>
  <si>
    <t>Trailing 12M EBITDA Margin</t>
  </si>
  <si>
    <t>Net Cash Paid for Acquisitions</t>
  </si>
  <si>
    <t>Tax Benefit from Stock Options</t>
  </si>
  <si>
    <t>Free Cash Flow</t>
  </si>
  <si>
    <t>Free Cash Flow to Firm</t>
  </si>
  <si>
    <t>Free Cash Flow to Equity</t>
  </si>
  <si>
    <t>Free Cash Flow per Basic Share</t>
  </si>
  <si>
    <t>Price to Free Cash Flow</t>
  </si>
  <si>
    <t>Cash Flow to Net Income</t>
  </si>
  <si>
    <t>SBUX US Equity- Company Financial (Multiple Periods)</t>
  </si>
  <si>
    <t>In Millions of USD</t>
  </si>
  <si>
    <t>2015 A (Rep)</t>
  </si>
  <si>
    <t>2016 A (Rep)</t>
  </si>
  <si>
    <t>2017 A (Rep)</t>
  </si>
  <si>
    <t>2018 A (Rep)</t>
  </si>
  <si>
    <t>2019 A (Rep)</t>
  </si>
  <si>
    <t>2020 A (Rep)</t>
  </si>
  <si>
    <t>2021 A (Rep)</t>
  </si>
  <si>
    <t>2022 A (Rep)</t>
  </si>
  <si>
    <t>2023 A (Rep)</t>
  </si>
  <si>
    <t>2024 A (Rep)</t>
  </si>
  <si>
    <t xml:space="preserve">  Revenue</t>
  </si>
  <si>
    <t xml:space="preserve">    Company Operated Retail</t>
  </si>
  <si>
    <t xml:space="preserve">      % of Total</t>
  </si>
  <si>
    <t xml:space="preserve">      Beverages </t>
  </si>
  <si>
    <t xml:space="preserve">        % of Total</t>
  </si>
  <si>
    <t xml:space="preserve">      Food </t>
  </si>
  <si>
    <t xml:space="preserve">      Other Product Type </t>
  </si>
  <si>
    <t xml:space="preserve">    Licensed Stores </t>
  </si>
  <si>
    <t xml:space="preserve">    CPG, Foodservice and Other</t>
  </si>
  <si>
    <t xml:space="preserve">    Inactive Segments</t>
  </si>
  <si>
    <t xml:space="preserve">      Packaged and Single Serve Coffees - Company-operated Retail</t>
  </si>
  <si>
    <t/>
  </si>
  <si>
    <t xml:space="preserve">      Licensing - Consolidated</t>
  </si>
  <si>
    <t xml:space="preserve">      Coffee-Making Equipment and Other Merchandise - Company-operated Retail</t>
  </si>
  <si>
    <t xml:space="preserve">      Specialty - Consolidated</t>
  </si>
  <si>
    <t xml:space="preserve">      Foodservice and Other - Consolidated</t>
  </si>
  <si>
    <t xml:space="preserve">  </t>
  </si>
  <si>
    <t xml:space="preserve">  Percentage of Revenue</t>
  </si>
  <si>
    <t>Starbucks Corp (SBUX US) - Profitability</t>
  </si>
  <si>
    <t>Returns</t>
  </si>
  <si>
    <t>Return on Common Equity</t>
  </si>
  <si>
    <t>RETURN_COM_EQY</t>
  </si>
  <si>
    <t>Return on Assets</t>
  </si>
  <si>
    <t>RETURN_ON_ASSET</t>
  </si>
  <si>
    <t>Return on Capital</t>
  </si>
  <si>
    <t>RETURN_ON_CAP</t>
  </si>
  <si>
    <t>Return on Invested Capital</t>
  </si>
  <si>
    <t>RETURN_ON_INV_CAPITAL</t>
  </si>
  <si>
    <t>Margins</t>
  </si>
  <si>
    <t>GROSS_MARGIN</t>
  </si>
  <si>
    <t>EBITDA Margin</t>
  </si>
  <si>
    <t>EBITDA_TO_REVENUE</t>
  </si>
  <si>
    <t>OPER_MARGIN</t>
  </si>
  <si>
    <t>Incremental Operating Margin</t>
  </si>
  <si>
    <t>INCREMENTAL_OPERATING_MARGIN</t>
  </si>
  <si>
    <t>Pretax Margin</t>
  </si>
  <si>
    <t>PRETAX_INC_TO_NET_SALES</t>
  </si>
  <si>
    <t>Income before XO Margin</t>
  </si>
  <si>
    <t>INC_BEF_XO_ITEMS_TO_NET_SALES</t>
  </si>
  <si>
    <t>Net Income Margin</t>
  </si>
  <si>
    <t>PROF_MARGIN</t>
  </si>
  <si>
    <t>Net Income to Common Margin</t>
  </si>
  <si>
    <t>NET_INCOME_TO_COMMON_MARGIN</t>
  </si>
  <si>
    <t>Additional</t>
  </si>
  <si>
    <t>Effective Tax Rate</t>
  </si>
  <si>
    <t>EFF_TAX_RATE</t>
  </si>
  <si>
    <t>Dvd Payout Ratio</t>
  </si>
  <si>
    <t>DVD_PAYOUT_RATIO</t>
  </si>
  <si>
    <t>Sustainable Growth Rate</t>
  </si>
  <si>
    <t>SUSTAIN_GROWTH_RT</t>
  </si>
  <si>
    <t>Starbucks Corp (SBUX US) - Retail</t>
  </si>
  <si>
    <t>Retail sales</t>
  </si>
  <si>
    <t>Same Store Sales</t>
  </si>
  <si>
    <t>SAME_STORE_SALES</t>
  </si>
  <si>
    <t>Productivity</t>
  </si>
  <si>
    <t>Unit Analysis</t>
  </si>
  <si>
    <t>Number of Locations (End)</t>
  </si>
  <si>
    <t>NUMBER_OF_LOCATIONS_END</t>
  </si>
  <si>
    <t>Cash Flow</t>
  </si>
  <si>
    <t>Working Capital</t>
  </si>
  <si>
    <t>WORKING_CAPITAL</t>
  </si>
  <si>
    <t>Cash From Operations</t>
  </si>
  <si>
    <t>CF_CASH_FROM_OPER</t>
  </si>
  <si>
    <t>CF_FREE_CASH_FLOW</t>
  </si>
  <si>
    <t>Free Cash Flow/Diluted Share</t>
  </si>
  <si>
    <t>FCF_PER_DIL_SHR</t>
  </si>
  <si>
    <t>Other</t>
  </si>
  <si>
    <t>Number of Locations (Beginning)</t>
  </si>
  <si>
    <t>NUM_OF_LOCATIONS_BEGINNING</t>
  </si>
  <si>
    <t>Locations Opened/Acquired</t>
  </si>
  <si>
    <t>NUM_LOCATIONS_OPENED_ACQUIRED</t>
  </si>
  <si>
    <t>Locations Closed/Sold</t>
  </si>
  <si>
    <t>NUM_OF_LOCATIONS_CLOSED_SOLD</t>
  </si>
  <si>
    <t>Company Owned Locations</t>
  </si>
  <si>
    <t>CO_OWNED_OPERATED_LOCATIONS</t>
  </si>
  <si>
    <t>No. of Franchise Locations</t>
  </si>
  <si>
    <t>NUMBER_OF_FRANCHISE_LOCATIONS</t>
  </si>
  <si>
    <t>Number of Store Names</t>
  </si>
  <si>
    <t>NUMBER_OF_STORE_NAMES</t>
  </si>
  <si>
    <t>Average Sales per Location</t>
  </si>
  <si>
    <t>AVG_SALES_PER_COMPANY_OWNED_LOC</t>
  </si>
  <si>
    <t>Starbucks Corp (SBUX US) - Overview</t>
  </si>
  <si>
    <t>ESG Financial Materiality Scores</t>
  </si>
  <si>
    <t>BESG ESG Score</t>
  </si>
  <si>
    <t>ESG_SCORE</t>
  </si>
  <si>
    <t>BESG Environmental Pillar Score</t>
  </si>
  <si>
    <t>ENVIRONMENTAL_SCORE</t>
  </si>
  <si>
    <t>BESG Social Pillar Score</t>
  </si>
  <si>
    <t>SOCIAL_SCORE</t>
  </si>
  <si>
    <t>BESG Governance Pillar Score</t>
  </si>
  <si>
    <t>GOVERNANCE_SCORE</t>
  </si>
  <si>
    <t>ESG Disclosure Scores</t>
  </si>
  <si>
    <t>ESG Disclosure Score</t>
  </si>
  <si>
    <t>ESG_DISCLOSURE_SCORE</t>
  </si>
  <si>
    <t>Environmental Disclosure Score</t>
  </si>
  <si>
    <t>ENVIRON_DISCLOSURE_SCORE</t>
  </si>
  <si>
    <t>Social Disclosure Score</t>
  </si>
  <si>
    <t>SOCIAL_DISCLOSURE_SCORE</t>
  </si>
  <si>
    <t>Governance Disclosure Score</t>
  </si>
  <si>
    <t>GOVNCE_DISCLOSURE_SCORE</t>
  </si>
  <si>
    <t>Environmental</t>
  </si>
  <si>
    <t>Air Quality</t>
  </si>
  <si>
    <t>Climate Change</t>
  </si>
  <si>
    <t>Emissions Reduction Initiatives</t>
  </si>
  <si>
    <t>EMISSION_REDUCTION</t>
  </si>
  <si>
    <t>No</t>
  </si>
  <si>
    <t>Yes</t>
  </si>
  <si>
    <t>n/a</t>
  </si>
  <si>
    <t>Transition Plan Claim</t>
  </si>
  <si>
    <t>TRANSITION_PLAN_INDICATOR</t>
  </si>
  <si>
    <t>Climate Change Policy</t>
  </si>
  <si>
    <t>CLIMATE_CHG_POLICY</t>
  </si>
  <si>
    <t>Climate Change Opportunities Discussed</t>
  </si>
  <si>
    <t>CLIMATE_CHG_OPPORTUNITIES</t>
  </si>
  <si>
    <t>Risks of Climate Change Discussed</t>
  </si>
  <si>
    <t>CLIMATE_RISKS</t>
  </si>
  <si>
    <t>CO2 Scope 1</t>
  </si>
  <si>
    <t>CO2_SCOPE_1</t>
  </si>
  <si>
    <t>CO2 Scope 2 Location-Based</t>
  </si>
  <si>
    <t>CO2_SCOPE_2_LOCATION_BASED</t>
  </si>
  <si>
    <t>GHG Scope 1</t>
  </si>
  <si>
    <t>GHG_SCOPE_1</t>
  </si>
  <si>
    <t>GHG Scope 2 Location-Based</t>
  </si>
  <si>
    <t>GHG_SCOPE_2_LOCATION_BASED</t>
  </si>
  <si>
    <t>GHG Scope 2 Market-Based</t>
  </si>
  <si>
    <t>GHG_SCOPE_2_MARKET_BASED</t>
  </si>
  <si>
    <t>GHG Scope 3</t>
  </si>
  <si>
    <t>GHG_SCOPE_3</t>
  </si>
  <si>
    <t>Scope of Disclosure</t>
  </si>
  <si>
    <t>SCOPE_OF_DISCLOSURE</t>
  </si>
  <si>
    <t>Energy</t>
  </si>
  <si>
    <t>Energy Efficiency Policy</t>
  </si>
  <si>
    <t>ENERGY_EFFIC_POLICY</t>
  </si>
  <si>
    <t>Total Energy Consumption</t>
  </si>
  <si>
    <t>ENERGY_CONSUMPTION</t>
  </si>
  <si>
    <t>Renewable Energy Use</t>
  </si>
  <si>
    <t>RENEW_ENERGY_USE</t>
  </si>
  <si>
    <t>Electricity Used</t>
  </si>
  <si>
    <t>ELECTRICITY_USED</t>
  </si>
  <si>
    <t>Fuel Used - Coal/Lignite</t>
  </si>
  <si>
    <t>COAL_USED</t>
  </si>
  <si>
    <t>Fuel Used - Natural Gas</t>
  </si>
  <si>
    <t>NAT_GAS_USED</t>
  </si>
  <si>
    <t>Fuel Used - Crude Oil/Diesel</t>
  </si>
  <si>
    <t>OIL_DIESEL_USED</t>
  </si>
  <si>
    <t>Materials &amp; Waste</t>
  </si>
  <si>
    <t>Waste Reduction Policy</t>
  </si>
  <si>
    <t>WASTE_REDUCTION</t>
  </si>
  <si>
    <t>Waste Sent to Landfills</t>
  </si>
  <si>
    <t>WASTE_SENT_TO_LANDFILLS</t>
  </si>
  <si>
    <t>Raw Materials Used</t>
  </si>
  <si>
    <t>RAW_MAT_USED</t>
  </si>
  <si>
    <t>Total Weight of Plastic Packaging Used</t>
  </si>
  <si>
    <t>TOT_WEIGHT_OF_PLASTIC_PACK_USED</t>
  </si>
  <si>
    <t>Plastic Packaging Recycled Content Target Indicatr</t>
  </si>
  <si>
    <t>PLASTIC_PACK_RECYCL_CONT_TGT_IND</t>
  </si>
  <si>
    <t>Plastic Packaging RRC Target Indicator</t>
  </si>
  <si>
    <t>PLASTIC_PACK_RRC_TARGET_IND</t>
  </si>
  <si>
    <t>Supply Chain</t>
  </si>
  <si>
    <t>Environmental Supply Chain Management</t>
  </si>
  <si>
    <t>ENVIRON_SUPPLY_MGT</t>
  </si>
  <si>
    <t>Water</t>
  </si>
  <si>
    <t>Water Policy</t>
  </si>
  <si>
    <t>WATER_POLICY</t>
  </si>
  <si>
    <t>Total Water Withdrawal</t>
  </si>
  <si>
    <t>TOTAL_WATER_WITHDRAWAL</t>
  </si>
  <si>
    <t>Ecological &amp; Biodiversity Impacts</t>
  </si>
  <si>
    <t>Biodiversity Policy</t>
  </si>
  <si>
    <t>BIODIVERSITY_POLICY</t>
  </si>
  <si>
    <t>Adopts TNFD Recommendations</t>
  </si>
  <si>
    <t>ADOPT_TNFD_RECOMMENDATIONS</t>
  </si>
  <si>
    <t>Zero Deforestation Policy</t>
  </si>
  <si>
    <t>ZERO_DEFORESTATION_POLICY</t>
  </si>
  <si>
    <t>Board Level Oversight of Biodiversity</t>
  </si>
  <si>
    <t>BOARD_LEVEL_OVERSIGHT_BIODIV</t>
  </si>
  <si>
    <t>Executive Level Oversight of Biodiversity</t>
  </si>
  <si>
    <t>EXEC_LEVEL_OVERSIGHT_BIODIV</t>
  </si>
  <si>
    <t>Social</t>
  </si>
  <si>
    <t>Community &amp; Customers</t>
  </si>
  <si>
    <t>Human Rights Policy</t>
  </si>
  <si>
    <t>HUMAN_RIGHTS_POLICY</t>
  </si>
  <si>
    <t>Policy Against Child Labor</t>
  </si>
  <si>
    <t>POLICY_AGAINST_CHILD_LABOR</t>
  </si>
  <si>
    <t>Quality Assurance and Recall Policy</t>
  </si>
  <si>
    <t>QUALITY_ASSURANCE_AND_RECALL_POL</t>
  </si>
  <si>
    <t>Consumer Data Protection Policy</t>
  </si>
  <si>
    <t>CONSUMER_DATA_PROTECTION_POLICY</t>
  </si>
  <si>
    <t>Community Spending</t>
  </si>
  <si>
    <t>COMMUNITY_SPENDING</t>
  </si>
  <si>
    <t>Diversity</t>
  </si>
  <si>
    <t>Equal Opportunity Policy</t>
  </si>
  <si>
    <t>EQUAL_OPPORTUNITY_POLICY</t>
  </si>
  <si>
    <t>Gender Pay Gap Breakout</t>
  </si>
  <si>
    <t>GENDER_PAY_GAP_BREAKOUT</t>
  </si>
  <si>
    <t>Ethics &amp; Compliance</t>
  </si>
  <si>
    <t>Business Ethics Policy</t>
  </si>
  <si>
    <t>ETHICS_POLICY</t>
  </si>
  <si>
    <t>Anti-Bribery Ethics Policy</t>
  </si>
  <si>
    <t>ANTI_BRIBERY_ETHICS_POLICY</t>
  </si>
  <si>
    <t>Political Donations</t>
  </si>
  <si>
    <t>POLITICAL_DONATIONS</t>
  </si>
  <si>
    <t>Health &amp; Safety</t>
  </si>
  <si>
    <t>Health and Safety Policy</t>
  </si>
  <si>
    <t>HEALTH_SAFETY_POLICY</t>
  </si>
  <si>
    <t>Human Capital</t>
  </si>
  <si>
    <t>Training Policy</t>
  </si>
  <si>
    <t>TRAINING_POLICY</t>
  </si>
  <si>
    <t>Fair Remuneration Policy</t>
  </si>
  <si>
    <t>FAIR_REMUNERATION_POLICY</t>
  </si>
  <si>
    <t>Number of Employees - CSR</t>
  </si>
  <si>
    <t>NUMBER_EMPLOYEES_CSR</t>
  </si>
  <si>
    <t>Company Discloses Employee Engagement Score</t>
  </si>
  <si>
    <t>COMP_DISCLOSES_EMP_ENG_SCORE</t>
  </si>
  <si>
    <t>Social Supply Chain Management</t>
  </si>
  <si>
    <t>SOCIAL_SUPPLY_CHAIN_MGMT</t>
  </si>
  <si>
    <t>Governance</t>
  </si>
  <si>
    <t>Audit Risk &amp; Oversight</t>
  </si>
  <si>
    <t>Years Auditor Employed</t>
  </si>
  <si>
    <t>YEARS_AUDITOR_EMPLOYED</t>
  </si>
  <si>
    <t>Size of Audit Committee</t>
  </si>
  <si>
    <t>SIZE_OF_AUDIT_COMMITTEE</t>
  </si>
  <si>
    <t>Number of Independent Directors on Audit Committee</t>
  </si>
  <si>
    <t>NUM_IND_DIR_ON_AUD_CMTE</t>
  </si>
  <si>
    <t>Audit Committee Meetings</t>
  </si>
  <si>
    <t>AUDIT_COMMITTEE_MEETINGS</t>
  </si>
  <si>
    <t>Audit Committee Meeting Attendance Percentage</t>
  </si>
  <si>
    <t>AUDIT_COMMITTEE_MTG_ATTEND_PCT</t>
  </si>
  <si>
    <t>Board Composition</t>
  </si>
  <si>
    <t>Company Conducts Board Evaluations</t>
  </si>
  <si>
    <t>COMPANY_CONDUCTS_BRD_EVALUATIONS</t>
  </si>
  <si>
    <t>Board Size</t>
  </si>
  <si>
    <t>BOARD_SIZE</t>
  </si>
  <si>
    <t>Number of Executives / Company Managers</t>
  </si>
  <si>
    <t>NUM_EXECUTIVES_COMP_MANAGERS</t>
  </si>
  <si>
    <t>Number of Non Executive Directors on Board</t>
  </si>
  <si>
    <t>NUM_OF_NONEXEC_DIR_ON_BRD</t>
  </si>
  <si>
    <t>Number of Board Meetings for the Year</t>
  </si>
  <si>
    <t>BOARD_MEETINGS_PER_YR</t>
  </si>
  <si>
    <t>Board Meeting Attendance Pct</t>
  </si>
  <si>
    <t>BOARD_MEETING_ATTENDANCE_PCT</t>
  </si>
  <si>
    <t>Compensation</t>
  </si>
  <si>
    <t>Company Has Executive Share Ownership Guidelines</t>
  </si>
  <si>
    <t>COMP_HAS_EXEC_SH_OWNER_GUIDELNS</t>
  </si>
  <si>
    <t>Director Share Ownership Guidelines</t>
  </si>
  <si>
    <t>DIRECTOR_SH_OWNERSHIP_GUIDELINES</t>
  </si>
  <si>
    <t>Size of Compensation Committee</t>
  </si>
  <si>
    <t>SIZE_OF_COMPENSATION_COMMITTEE</t>
  </si>
  <si>
    <t>Num of Independent Directors on Compensation Cmte</t>
  </si>
  <si>
    <t>NUM_IND_DIR_ON_CMPNSTN_CMTE</t>
  </si>
  <si>
    <t>Number of Compensation Committee Meetings</t>
  </si>
  <si>
    <t>NUM_COMPENSATION_CMTE_MTG</t>
  </si>
  <si>
    <t>Compensation Committee Meeting Attendance %</t>
  </si>
  <si>
    <t>COMPENSATION_CMTE_MTG_ATTEND_PCT</t>
  </si>
  <si>
    <t>Number of Female Executives</t>
  </si>
  <si>
    <t>NUMBER_OF_FEMALE_EXECUTIVES</t>
  </si>
  <si>
    <t>Number of Women on Board</t>
  </si>
  <si>
    <t>NUMBER_OF_WOMEN_ON_BOARD</t>
  </si>
  <si>
    <t>Board Age Limit</t>
  </si>
  <si>
    <t>BOARD_AGE_LIMIT</t>
  </si>
  <si>
    <t>Age of the Youngest Director</t>
  </si>
  <si>
    <t>AGE_OF_YOUNGEST_DIRECTOR</t>
  </si>
  <si>
    <t>Age of the Oldest Director</t>
  </si>
  <si>
    <t>AGE_OF_OLDEST_DIRECTOR</t>
  </si>
  <si>
    <t>Independence</t>
  </si>
  <si>
    <t>Number of Independent Directors</t>
  </si>
  <si>
    <t>INDEPENDENT_DIRECTORS</t>
  </si>
  <si>
    <t>Nominations &amp; Governance Oversight</t>
  </si>
  <si>
    <t>Size of Nomination Committee</t>
  </si>
  <si>
    <t>SIZE_OF_NOMINATION_COMMITTEE</t>
  </si>
  <si>
    <t>Num of Independent Directors on Nomination Cmte</t>
  </si>
  <si>
    <t>NUM_IND_DIR_ON_NOM_CMTE</t>
  </si>
  <si>
    <t>Number of Nomination Committee Meetings</t>
  </si>
  <si>
    <t>NUM_OF_NOMINATION_CMTE_MTG</t>
  </si>
  <si>
    <t>Nomination Committee Meeting Attendance Percentage</t>
  </si>
  <si>
    <t>NOMINATION_CMTE_MTG_ATTEND_PCT</t>
  </si>
  <si>
    <t>Sustainability Governance</t>
  </si>
  <si>
    <t>Verification Type</t>
  </si>
  <si>
    <t>VERIFICATION_TYPE</t>
  </si>
  <si>
    <t>Employee CSR Training</t>
  </si>
  <si>
    <t>EMPLOYEE_CSR_TRAINING</t>
  </si>
  <si>
    <t>Tenure</t>
  </si>
  <si>
    <t>Board Duration (Years)</t>
  </si>
  <si>
    <t>BOARD_DURATION</t>
  </si>
  <si>
    <t>Starbucks Corp (SBUX US) - BBG Adj Highlights</t>
  </si>
  <si>
    <t>Market Capitalization</t>
  </si>
  <si>
    <t>HISTORICAL_MARKET_CAP</t>
  </si>
  <si>
    <t>- Cash &amp; Equivalents</t>
  </si>
  <si>
    <t>CASH_AND_MARKETABLE_SECURITIES</t>
  </si>
  <si>
    <t>+ Preferred &amp; Other</t>
  </si>
  <si>
    <t>PFD_EQTY_MINORTY_INTEREST</t>
  </si>
  <si>
    <t>+ Total Debt</t>
  </si>
  <si>
    <t>SHORT_AND_LONG_TERM_DEBT</t>
  </si>
  <si>
    <t>Enterprise Value</t>
  </si>
  <si>
    <t>ENTERPRISE_VALUE</t>
  </si>
  <si>
    <t>Revenue, Adj</t>
  </si>
  <si>
    <t>SALES_REV_TURN</t>
  </si>
  <si>
    <t xml:space="preserve">  Growth %, YoY</t>
  </si>
  <si>
    <t>SALES_GROWTH</t>
  </si>
  <si>
    <t>Gross Profit, Adj</t>
  </si>
  <si>
    <t>GROSS_PROFIT</t>
  </si>
  <si>
    <t xml:space="preserve">  Margin %</t>
  </si>
  <si>
    <t>EBITDA, Adj</t>
  </si>
  <si>
    <t>Net Income, Adj</t>
  </si>
  <si>
    <t>EARN_FOR_COMMON</t>
  </si>
  <si>
    <t>EPS, Adj</t>
  </si>
  <si>
    <t>IS_DIL_EPS_CONT_OPS</t>
  </si>
  <si>
    <t>DILUTED_EPS_AFT_XO_ITEMS_GROWTH</t>
  </si>
  <si>
    <t>Cash from Operations</t>
  </si>
  <si>
    <t>Capital Expenditures</t>
  </si>
  <si>
    <t>CAPITAL_EXPEND</t>
  </si>
  <si>
    <t>Integrated Finance - Starbucks Corp</t>
  </si>
  <si>
    <t>INCOME STATEMENT</t>
  </si>
  <si>
    <t>#</t>
  </si>
  <si>
    <t>PARTICULARS</t>
  </si>
  <si>
    <t>ACTUALS</t>
  </si>
  <si>
    <t>NEAR TERM FORECAST</t>
  </si>
  <si>
    <t>FAR TERM FORECAST</t>
  </si>
  <si>
    <t>CV</t>
  </si>
  <si>
    <t>Perpetuity</t>
  </si>
  <si>
    <t xml:space="preserve">Revenue </t>
  </si>
  <si>
    <t>COGS</t>
  </si>
  <si>
    <t>Other Operating Income</t>
  </si>
  <si>
    <t>SG&amp;A</t>
  </si>
  <si>
    <t>Depreciation &amp; Amortization</t>
  </si>
  <si>
    <t>Other Operating Expenses</t>
  </si>
  <si>
    <t>Total Operating Expenses</t>
  </si>
  <si>
    <t>Interest Income</t>
  </si>
  <si>
    <t>Interest Expense</t>
  </si>
  <si>
    <t>Net Interest Expense</t>
  </si>
  <si>
    <t>Other Non-Op (Income) Loss</t>
  </si>
  <si>
    <t>Non-Operating (Income) Loss</t>
  </si>
  <si>
    <t>EBT</t>
  </si>
  <si>
    <t>Abnormal Loss/Gains</t>
  </si>
  <si>
    <t>Adj EBT</t>
  </si>
  <si>
    <t xml:space="preserve"> Income Tax Expense / Benefit</t>
  </si>
  <si>
    <t>Net Profit</t>
  </si>
  <si>
    <t>Minority Interest</t>
  </si>
  <si>
    <t>Interest Tax Shield</t>
  </si>
  <si>
    <t>Operating Taxes</t>
  </si>
  <si>
    <t>NOPLAT</t>
  </si>
  <si>
    <t>BALANCE SHEET</t>
  </si>
  <si>
    <t>ASSETS:</t>
  </si>
  <si>
    <t>Operating Current Assets</t>
  </si>
  <si>
    <t>Operating Current Liabilities</t>
  </si>
  <si>
    <t>Net Operating Working Capital</t>
  </si>
  <si>
    <t>Operating Long Term Assets</t>
  </si>
  <si>
    <t>Operating Long Term Liabilities</t>
  </si>
  <si>
    <t>Net Operating Long Term Assets</t>
  </si>
  <si>
    <t>Intangible Assets</t>
  </si>
  <si>
    <t>Net Operating Assets</t>
  </si>
  <si>
    <t>Other Long Term Assets</t>
  </si>
  <si>
    <t>Excess Cash (plug)</t>
  </si>
  <si>
    <t>LIABILITIES &amp; EQUITY</t>
  </si>
  <si>
    <t>Reconcile Retained Earnings</t>
  </si>
  <si>
    <t>Beginning Retained Earnings</t>
  </si>
  <si>
    <t>Add: Net Profit</t>
  </si>
  <si>
    <t>Less: Dividends</t>
  </si>
  <si>
    <t>Less: Repurchase of stock</t>
  </si>
  <si>
    <t>As there Repurchase of Equity is a one-off expense and there is no consistent pattern, we have set the forecast at 0.</t>
  </si>
  <si>
    <t>Add/Less : Effect of adoption of new accounting guidelines</t>
  </si>
  <si>
    <t>As there is no consistent pattern, we have set the forecast at 0.</t>
  </si>
  <si>
    <t>Closing Retained Earnings</t>
  </si>
  <si>
    <t>Liabilities</t>
  </si>
  <si>
    <t>Long Term Debt</t>
  </si>
  <si>
    <t>Other Long Term Liabilities</t>
  </si>
  <si>
    <t>Equity</t>
  </si>
  <si>
    <t>Issued Equity</t>
  </si>
  <si>
    <t>Other Equity</t>
  </si>
  <si>
    <t>Retained Earnings</t>
  </si>
  <si>
    <t>Historical &amp; Forecast Ratio - Starbucks US</t>
  </si>
  <si>
    <t>Revenue % YoY</t>
  </si>
  <si>
    <t xml:space="preserve">    Company Operated Retail % YoY</t>
  </si>
  <si>
    <t xml:space="preserve">    Licensed Stores % YoY</t>
  </si>
  <si>
    <t xml:space="preserve">    CPG, Foodservice and Other % YoY</t>
  </si>
  <si>
    <t>COGS % Revenue</t>
  </si>
  <si>
    <t>Gross Profit Margin</t>
  </si>
  <si>
    <t>Operating Expenses % YoY</t>
  </si>
  <si>
    <t>SG&amp;A % YoY</t>
  </si>
  <si>
    <t>Depreciation &amp; Amortization % YoY</t>
  </si>
  <si>
    <t>Other Operating Expenses % YoY</t>
  </si>
  <si>
    <t>EBITA Margin</t>
  </si>
  <si>
    <t>Depreciation % Rev</t>
  </si>
  <si>
    <t>Net Operating Working Capital % Rev</t>
  </si>
  <si>
    <t>Net Operating Long-Term Assets % Rev</t>
  </si>
  <si>
    <t>Goodwill &amp; Intangibles % Rev</t>
  </si>
  <si>
    <t>Other Long-Term Assets % YoY</t>
  </si>
  <si>
    <t>Long Term Debt % YoY</t>
  </si>
  <si>
    <t>Dividend Payout % Net Income</t>
  </si>
  <si>
    <t>Issued Equity % YoY</t>
  </si>
  <si>
    <t>We analysed the movement in equity between the years 2015-2024 and noticed that it was extremely volatile, indicating that Starbucks' equity base has fluctuated drastically because of massive share-buybacks and retained earnings swings. Therefore, for the purpose of our estimation, we have removed the anomalous years, and took the remaining normal years giving us an average of -0.18%. This is exactly flat to slightly negative equity growth, which makes sense for a company consistently repurchasing shares.</t>
  </si>
  <si>
    <t>\</t>
  </si>
  <si>
    <t>***Source: Bloomberg</t>
  </si>
  <si>
    <t>WACC</t>
  </si>
  <si>
    <t>Average WACC</t>
  </si>
  <si>
    <t>Cost of Equity</t>
  </si>
  <si>
    <t>Average COE</t>
  </si>
  <si>
    <t>Re-organizing Financial Statements - Starbucks US</t>
  </si>
  <si>
    <t>Operating Profit after Tax</t>
  </si>
  <si>
    <t>Less: Interest Tax Shield</t>
  </si>
  <si>
    <t>Interest Expense after Tax</t>
  </si>
  <si>
    <t>Opening Working Capital</t>
  </si>
  <si>
    <t xml:space="preserve">  Change in Working Capital</t>
  </si>
  <si>
    <t>Closing Working Capital</t>
  </si>
  <si>
    <t>Opening Net Long-term Assets</t>
  </si>
  <si>
    <t xml:space="preserve">  Change in Net Long-term Assets</t>
  </si>
  <si>
    <t>Closing Net Long-term Assets</t>
  </si>
  <si>
    <t>Depreciation</t>
  </si>
  <si>
    <t>Net Capex</t>
  </si>
  <si>
    <t>Opening Debt</t>
  </si>
  <si>
    <t xml:space="preserve">  Increase (Decrease) in Debt</t>
  </si>
  <si>
    <t>Closing Debt</t>
  </si>
  <si>
    <t>ROIC &amp; FCF - Starbucks US</t>
  </si>
  <si>
    <t>Change in Working Capital</t>
  </si>
  <si>
    <t>FCFF</t>
  </si>
  <si>
    <t>Less: Interest Expense after Tax</t>
  </si>
  <si>
    <t>Add/(Less) : Increase/(Decrease) in Debt</t>
  </si>
  <si>
    <t>FCFE</t>
  </si>
  <si>
    <t>Invested Capital</t>
  </si>
  <si>
    <t>ROIC</t>
  </si>
  <si>
    <t>Valuation - Starbucks US</t>
  </si>
  <si>
    <t>FCFF Valuation Model:</t>
  </si>
  <si>
    <t>t</t>
  </si>
  <si>
    <t>g</t>
  </si>
  <si>
    <t>PV of FCFF</t>
  </si>
  <si>
    <t>Continuing Value</t>
  </si>
  <si>
    <t>PV of Continuing Value</t>
  </si>
  <si>
    <t>Enterprise (Firm) Value</t>
  </si>
  <si>
    <t>Total Debt (Book Value of Debt)</t>
  </si>
  <si>
    <t>Number of Outstanding Shares</t>
  </si>
  <si>
    <t>Intrinsic Value per share</t>
  </si>
  <si>
    <t>Current Price per share (02/10/2025)</t>
  </si>
  <si>
    <t>FCFE Valuation Model:</t>
  </si>
  <si>
    <t>Undervalued - BUY</t>
  </si>
  <si>
    <t>SCENARIO ANALYSIS</t>
  </si>
  <si>
    <t>Scenario</t>
  </si>
  <si>
    <t>Terminal Growth</t>
  </si>
  <si>
    <t>Description</t>
  </si>
  <si>
    <t>Stress</t>
  </si>
  <si>
    <t>Terminal g</t>
  </si>
  <si>
    <t>Intrinsic Value</t>
  </si>
  <si>
    <t>Base</t>
  </si>
  <si>
    <t>Normalized growth; steady expansion; mid-cycle margins.</t>
  </si>
  <si>
    <t>Bull</t>
  </si>
  <si>
    <t>Strong global growth, pricing power, improved efficiency</t>
  </si>
  <si>
    <t>Bear</t>
  </si>
  <si>
    <t>consumer demand, margin pressure and slower same-store growth</t>
  </si>
  <si>
    <t>Severe slowdown — traffic drops, inflation squeezes margins, slower store rollout.</t>
  </si>
  <si>
    <t>Aggressive</t>
  </si>
  <si>
    <t>Rapid store openings, high reinvestment, moderate margin compression.</t>
  </si>
  <si>
    <t>Dividend Discount Model.</t>
  </si>
  <si>
    <t>Projected Dividends</t>
  </si>
  <si>
    <t>NEAR TERM</t>
  </si>
  <si>
    <t>FAR TERM</t>
  </si>
  <si>
    <t>Year</t>
  </si>
  <si>
    <t>Quarterly Dividends</t>
  </si>
  <si>
    <t>Annual Dividends</t>
  </si>
  <si>
    <t>Growth Rate</t>
  </si>
  <si>
    <t>Buyback Yield</t>
  </si>
  <si>
    <t>Buyback per share</t>
  </si>
  <si>
    <t>Effective Dividend</t>
  </si>
  <si>
    <t>Discount factor</t>
  </si>
  <si>
    <t>PV of Effective Dividend</t>
  </si>
  <si>
    <t>PARAMETERS</t>
  </si>
  <si>
    <t>VALUE</t>
  </si>
  <si>
    <t>RESULT</t>
  </si>
  <si>
    <t>Sum of effective dividend</t>
  </si>
  <si>
    <t>ACTUAL PRICE</t>
  </si>
  <si>
    <t>Dividend (2035)</t>
  </si>
  <si>
    <t>INTRINSIC VALUE</t>
  </si>
  <si>
    <t>SLIGHTLY UNDERVALUED</t>
  </si>
  <si>
    <t>Stable Growth (g)</t>
  </si>
  <si>
    <t>HOLD</t>
  </si>
  <si>
    <t>Ke</t>
  </si>
  <si>
    <t>Terminal Value (2034)</t>
  </si>
  <si>
    <t>PV of Terminal Value</t>
  </si>
  <si>
    <t>BuyBack Yield</t>
  </si>
  <si>
    <t>Beta</t>
  </si>
  <si>
    <t>Rf</t>
  </si>
  <si>
    <t xml:space="preserve"> Average of US 10 year bond yield from investing .com</t>
  </si>
  <si>
    <t>Rm</t>
  </si>
  <si>
    <t>Long term S&amp;P 500 average total return</t>
  </si>
  <si>
    <t>Rm-rf</t>
  </si>
  <si>
    <t>Market premium</t>
  </si>
  <si>
    <t>Actual Price</t>
  </si>
  <si>
    <t>Buyback</t>
  </si>
  <si>
    <t>wacc</t>
  </si>
  <si>
    <t xml:space="preserve">SENSITIVITY ANALYSIS </t>
  </si>
  <si>
    <t>Parameters</t>
  </si>
  <si>
    <t>Value</t>
  </si>
  <si>
    <t>Assumptions</t>
  </si>
  <si>
    <t>Why Dividend Growth Dropped (7.02% → 1.64%)</t>
  </si>
  <si>
    <r>
      <t xml:space="preserve">The slowdown in Starbucks’ dividend growth from </t>
    </r>
    <r>
      <rPr>
        <b/>
        <i/>
        <sz val="11"/>
        <color theme="1"/>
        <rFont val="Times New Roman"/>
        <family val="1"/>
      </rPr>
      <t>7.02% (2025E)</t>
    </r>
    <r>
      <rPr>
        <i/>
        <sz val="11"/>
        <color theme="1"/>
        <rFont val="Times New Roman"/>
        <family val="1"/>
      </rPr>
      <t xml:space="preserve"> to </t>
    </r>
    <r>
      <rPr>
        <b/>
        <i/>
        <sz val="11"/>
        <color theme="1"/>
        <rFont val="Times New Roman"/>
        <family val="1"/>
      </rPr>
      <t>1.64% (2026E)</t>
    </r>
    <r>
      <rPr>
        <i/>
        <sz val="11"/>
        <color theme="1"/>
        <rFont val="Times New Roman"/>
        <family val="1"/>
      </rPr>
      <t xml:space="preserve"> reflects </t>
    </r>
    <r>
      <rPr>
        <b/>
        <i/>
        <sz val="11"/>
        <color theme="1"/>
        <rFont val="Times New Roman"/>
        <family val="1"/>
      </rPr>
      <t>strategic reinvestment and cost pressures</t>
    </r>
    <r>
      <rPr>
        <i/>
        <sz val="11"/>
        <color theme="1"/>
        <rFont val="Times New Roman"/>
        <family val="1"/>
      </rPr>
      <t xml:space="preserve"> rather than financial weakness.</t>
    </r>
  </si>
  <si>
    <r>
      <t>·</t>
    </r>
    <r>
      <rPr>
        <i/>
        <sz val="7"/>
        <color theme="1"/>
        <rFont val="Times New Roman"/>
        <family val="1"/>
      </rPr>
      <t xml:space="preserve">        </t>
    </r>
    <r>
      <rPr>
        <b/>
        <i/>
        <sz val="11"/>
        <color theme="1"/>
        <rFont val="Times New Roman"/>
        <family val="1"/>
      </rPr>
      <t>Capital Reallocation</t>
    </r>
    <r>
      <rPr>
        <i/>
        <sz val="11"/>
        <color theme="1"/>
        <rFont val="Times New Roman"/>
        <family val="1"/>
      </rPr>
      <t xml:space="preserve"> – More funds directed toward expansion, “Greener Stores,” and digital upgrades.</t>
    </r>
  </si>
  <si>
    <r>
      <t>·</t>
    </r>
    <r>
      <rPr>
        <i/>
        <sz val="7"/>
        <color theme="1"/>
        <rFont val="Times New Roman"/>
        <family val="1"/>
      </rPr>
      <t xml:space="preserve">        </t>
    </r>
    <r>
      <rPr>
        <b/>
        <i/>
        <sz val="11"/>
        <color theme="1"/>
        <rFont val="Times New Roman"/>
        <family val="1"/>
      </rPr>
      <t>Margin Pressure</t>
    </r>
    <r>
      <rPr>
        <i/>
        <sz val="11"/>
        <color theme="1"/>
        <rFont val="Times New Roman"/>
        <family val="1"/>
      </rPr>
      <t xml:space="preserve"> – Higher labor and commodity costs limit short-term free cash flow.</t>
    </r>
  </si>
  <si>
    <r>
      <t>·</t>
    </r>
    <r>
      <rPr>
        <i/>
        <sz val="7"/>
        <color theme="1"/>
        <rFont val="Times New Roman"/>
        <family val="1"/>
      </rPr>
      <t xml:space="preserve">        </t>
    </r>
    <r>
      <rPr>
        <b/>
        <i/>
        <sz val="11"/>
        <color theme="1"/>
        <rFont val="Times New Roman"/>
        <family val="1"/>
      </rPr>
      <t>Stable Payout Ratio</t>
    </r>
    <r>
      <rPr>
        <i/>
        <sz val="11"/>
        <color theme="1"/>
        <rFont val="Times New Roman"/>
        <family val="1"/>
      </rPr>
      <t xml:space="preserve"> – Management maintains a ~50–60% payout, so slower earnings growth naturally lowers dividend growth.</t>
    </r>
  </si>
  <si>
    <r>
      <t>·</t>
    </r>
    <r>
      <rPr>
        <i/>
        <sz val="7"/>
        <color theme="1"/>
        <rFont val="Times New Roman"/>
        <family val="1"/>
      </rPr>
      <t xml:space="preserve">        </t>
    </r>
    <r>
      <rPr>
        <b/>
        <i/>
        <sz val="11"/>
        <color theme="1"/>
        <rFont val="Times New Roman"/>
        <family val="1"/>
      </rPr>
      <t>Balanced Capital Returns</t>
    </r>
    <r>
      <rPr>
        <i/>
        <sz val="11"/>
        <color theme="1"/>
        <rFont val="Times New Roman"/>
        <family val="1"/>
      </rPr>
      <t xml:space="preserve"> – Focus may shift temporarily toward share buybacks over dividend increases.</t>
    </r>
  </si>
  <si>
    <r>
      <rPr>
        <b/>
        <i/>
        <sz val="11"/>
        <color theme="1"/>
        <rFont val="Times New Roman"/>
        <family val="1"/>
      </rPr>
      <t>In short:</t>
    </r>
    <r>
      <rPr>
        <i/>
        <sz val="11"/>
        <color theme="1"/>
        <rFont val="Times New Roman"/>
        <family val="1"/>
      </rPr>
      <t xml:space="preserve"> Starbucks is preserving cash for growth and stability — a strategic pause, not a pullback in shareholder value</t>
    </r>
  </si>
  <si>
    <t>Security</t>
  </si>
  <si>
    <t>SBUX US Equity</t>
  </si>
  <si>
    <t>Start Date</t>
  </si>
  <si>
    <t>End Date</t>
  </si>
  <si>
    <t>Period</t>
  </si>
  <si>
    <t>D</t>
  </si>
  <si>
    <t>Currency</t>
  </si>
  <si>
    <t>USD</t>
  </si>
  <si>
    <t>Date</t>
  </si>
  <si>
    <t>PX_LAST</t>
  </si>
  <si>
    <t>PX_BID</t>
  </si>
  <si>
    <t>#N/A N/A</t>
  </si>
  <si>
    <t xml:space="preserve">Table 1 </t>
  </si>
  <si>
    <t>Company Data</t>
  </si>
  <si>
    <t>Current Price</t>
  </si>
  <si>
    <t>Market Cap</t>
  </si>
  <si>
    <t>Shares o/s</t>
  </si>
  <si>
    <t>52 W High</t>
  </si>
  <si>
    <t>EV/EBITDA</t>
  </si>
  <si>
    <t>110.3B</t>
  </si>
  <si>
    <t>1.13B</t>
  </si>
  <si>
    <t>$17.46</t>
  </si>
  <si>
    <t>18.3X</t>
  </si>
  <si>
    <t>$86.72</t>
  </si>
  <si>
    <t>Table 2</t>
  </si>
  <si>
    <t>Valuation Results</t>
  </si>
  <si>
    <t>DCF (FCFF)</t>
  </si>
  <si>
    <t>DCF (FCFE)</t>
  </si>
  <si>
    <t>DDM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</si>
</sst>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_([$$-409]* #,##0.00_);_([$$-409]* \(#,##0.00\);_([$$-409]* &quot;-&quot;??_);_(@_)"/>
    <numFmt numFmtId="166" formatCode="#,##0.0%"/>
    <numFmt numFmtId="167" formatCode="_-[$$-409]* #,##0.00_ ;_-[$$-409]* \-#,##0.00\ ;_-[$$-409]* &quot;-&quot;??_ ;_-@_ "/>
    <numFmt numFmtId="168" formatCode="0.0%"/>
    <numFmt numFmtId="169" formatCode="0.000"/>
    <numFmt numFmtId="170" formatCode="_([$$-409]* #,##0_);_([$$-409]* \(#,##0\);_([$$-409]* &quot;-&quot;??_);_(@_)"/>
  </numFmts>
  <fonts count="47" x14ac:knownFonts="1">
    <font>
      <sz val="11"/>
      <color theme="1"/>
      <name val="Aptos Narrow"/>
      <family val="2"/>
      <scheme val="minor"/>
    </font>
    <font>
      <u/>
      <sz val="11"/>
      <color theme="10"/>
      <name val="Aptos Narrow"/>
      <family val="2"/>
      <scheme val="minor"/>
    </font>
    <font>
      <b/>
      <sz val="16"/>
      <color rgb="FFFFFFFF"/>
      <name val="Arial"/>
      <family val="2"/>
    </font>
    <font>
      <b/>
      <sz val="10"/>
      <color rgb="FF000000"/>
      <name val="Arial"/>
      <family val="2"/>
    </font>
    <font>
      <sz val="10"/>
      <color rgb="FF333333"/>
      <name val="Arial"/>
      <family val="2"/>
    </font>
    <font>
      <i/>
      <sz val="10"/>
      <color rgb="FF333333"/>
      <name val="Arial"/>
      <family val="2"/>
    </font>
    <font>
      <i/>
      <sz val="10"/>
      <color rgb="FF000000"/>
      <name val="Arial"/>
      <family val="2"/>
    </font>
    <font>
      <b/>
      <sz val="16"/>
      <color indexed="9"/>
      <name val="Arial"/>
      <family val="2"/>
    </font>
    <font>
      <b/>
      <sz val="10"/>
      <color indexed="9"/>
      <name val="Arial"/>
      <family val="2"/>
    </font>
    <font>
      <b/>
      <sz val="10"/>
      <color indexed="8"/>
      <name val="Arial"/>
      <family val="2"/>
    </font>
    <font>
      <sz val="10"/>
      <color indexed="63"/>
      <name val="Arial"/>
      <family val="2"/>
    </font>
    <font>
      <sz val="10"/>
      <color indexed="8"/>
      <name val="Arial"/>
      <family val="2"/>
    </font>
    <font>
      <i/>
      <sz val="10"/>
      <color indexed="63"/>
      <name val="Arial"/>
      <family val="2"/>
    </font>
    <font>
      <i/>
      <sz val="10"/>
      <color indexed="8"/>
      <name val="Arial"/>
      <family val="2"/>
    </font>
    <font>
      <sz val="11"/>
      <color rgb="FF000000"/>
      <name val="Aptos Narrow"/>
      <family val="2"/>
      <scheme val="minor"/>
    </font>
    <font>
      <i/>
      <sz val="11"/>
      <color rgb="FF000000"/>
      <name val="Aptos Narrow"/>
      <family val="2"/>
      <scheme val="minor"/>
    </font>
    <font>
      <u/>
      <sz val="11"/>
      <color rgb="FF000000"/>
      <name val="Aptos Narrow"/>
      <family val="2"/>
      <scheme val="minor"/>
    </font>
    <font>
      <b/>
      <sz val="24"/>
      <color rgb="FFFFFFFF"/>
      <name val="Aptos Narrow"/>
      <family val="2"/>
      <scheme val="minor"/>
    </font>
    <font>
      <sz val="11"/>
      <color theme="1"/>
      <name val="Aptos Narrow"/>
      <family val="2"/>
      <scheme val="minor"/>
    </font>
    <font>
      <b/>
      <sz val="11"/>
      <color theme="0"/>
      <name val="Aptos Narrow"/>
      <family val="2"/>
      <scheme val="minor"/>
    </font>
    <font>
      <b/>
      <sz val="11"/>
      <color rgb="FF000000"/>
      <name val="Aptos Narrow"/>
      <family val="2"/>
      <scheme val="minor"/>
    </font>
    <font>
      <b/>
      <sz val="11"/>
      <color theme="1"/>
      <name val="Aptos Narrow"/>
      <family val="2"/>
      <scheme val="minor"/>
    </font>
    <font>
      <i/>
      <sz val="11"/>
      <color rgb="FFA6A6A6"/>
      <name val="Aptos Narrow"/>
      <family val="2"/>
      <scheme val="minor"/>
    </font>
    <font>
      <b/>
      <i/>
      <sz val="11"/>
      <color theme="1"/>
      <name val="Aptos Narrow"/>
      <family val="2"/>
      <scheme val="minor"/>
    </font>
    <font>
      <i/>
      <sz val="11"/>
      <color theme="1"/>
      <name val="Aptos Narrow"/>
      <family val="2"/>
      <scheme val="minor"/>
    </font>
    <font>
      <b/>
      <i/>
      <sz val="11"/>
      <color rgb="FF000000"/>
      <name val="Aptos Narrow"/>
      <family val="2"/>
      <scheme val="minor"/>
    </font>
    <font>
      <u/>
      <sz val="11"/>
      <color theme="1"/>
      <name val="Aptos Narrow"/>
      <family val="2"/>
      <scheme val="minor"/>
    </font>
    <font>
      <sz val="11"/>
      <color theme="1"/>
      <name val="Aptos Narrow"/>
      <family val="2"/>
      <scheme val="minor"/>
    </font>
    <font>
      <b/>
      <sz val="11"/>
      <color indexed="9"/>
      <name val="Calibri"/>
      <family val="2"/>
    </font>
    <font>
      <sz val="11"/>
      <color rgb="FF000000"/>
      <name val="Consolas"/>
      <family val="3"/>
    </font>
    <font>
      <b/>
      <sz val="24"/>
      <color theme="0"/>
      <name val="Aptos Narrow"/>
      <family val="2"/>
      <scheme val="minor"/>
    </font>
    <font>
      <b/>
      <sz val="14"/>
      <color theme="0"/>
      <name val="Aptos Narrow"/>
      <family val="2"/>
      <scheme val="minor"/>
    </font>
    <font>
      <sz val="9"/>
      <color theme="1"/>
      <name val="Aptos Narrow"/>
      <family val="2"/>
      <scheme val="minor"/>
    </font>
    <font>
      <sz val="8"/>
      <color theme="1"/>
      <name val="Aptos Narrow"/>
      <family val="2"/>
      <scheme val="minor"/>
    </font>
    <font>
      <sz val="9"/>
      <color indexed="81"/>
      <name val="Tahoma"/>
      <family val="2"/>
    </font>
    <font>
      <b/>
      <sz val="9"/>
      <color indexed="81"/>
      <name val="Tahoma"/>
      <family val="2"/>
    </font>
    <font>
      <b/>
      <i/>
      <u/>
      <sz val="12"/>
      <color theme="1"/>
      <name val="Aptos Narrow"/>
      <family val="2"/>
      <scheme val="minor"/>
    </font>
    <font>
      <b/>
      <sz val="10"/>
      <color theme="1"/>
      <name val="Arial"/>
      <family val="2"/>
    </font>
    <font>
      <sz val="16"/>
      <color theme="1"/>
      <name val="Aptos Narrow"/>
      <family val="2"/>
      <scheme val="minor"/>
    </font>
    <font>
      <sz val="18"/>
      <color theme="1"/>
      <name val="Aptos Narrow"/>
      <family val="2"/>
      <scheme val="minor"/>
    </font>
    <font>
      <sz val="20"/>
      <color theme="1"/>
      <name val="Aptos Narrow"/>
      <family val="2"/>
      <scheme val="minor"/>
    </font>
    <font>
      <b/>
      <sz val="18"/>
      <color theme="0"/>
      <name val="Aptos Narrow"/>
      <family val="2"/>
      <scheme val="minor"/>
    </font>
    <font>
      <b/>
      <i/>
      <sz val="11"/>
      <color theme="1"/>
      <name val="Times New Roman"/>
      <family val="1"/>
    </font>
    <font>
      <i/>
      <sz val="11"/>
      <color theme="1"/>
      <name val="Times New Roman"/>
      <family val="1"/>
    </font>
    <font>
      <i/>
      <sz val="10"/>
      <color theme="1"/>
      <name val="Symbol"/>
      <family val="1"/>
      <charset val="2"/>
    </font>
    <font>
      <i/>
      <sz val="7"/>
      <color theme="1"/>
      <name val="Times New Roman"/>
      <family val="1"/>
    </font>
    <font>
      <sz val="10"/>
      <name val="Arial"/>
      <family val="2"/>
    </font>
  </fonts>
  <fills count="25">
    <fill>
      <patternFill patternType="none"/>
    </fill>
    <fill>
      <patternFill patternType="gray125"/>
    </fill>
    <fill>
      <patternFill patternType="solid">
        <fgColor rgb="FFFFFFFF"/>
        <bgColor rgb="FF000000"/>
      </patternFill>
    </fill>
    <fill>
      <patternFill patternType="solid">
        <fgColor theme="0"/>
        <bgColor indexed="64"/>
      </patternFill>
    </fill>
    <fill>
      <patternFill patternType="solid">
        <fgColor rgb="FFF2F2F2"/>
        <bgColor rgb="FF000000"/>
      </patternFill>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7"/>
        <bgColor indexed="64"/>
      </patternFill>
    </fill>
    <fill>
      <patternFill patternType="solid">
        <fgColor theme="8" tint="0.79998168889431442"/>
        <bgColor indexed="64"/>
      </patternFill>
    </fill>
    <fill>
      <patternFill patternType="solid">
        <fgColor theme="9"/>
        <bgColor indexed="64"/>
      </patternFill>
    </fill>
    <fill>
      <patternFill patternType="solid">
        <fgColor theme="6"/>
        <bgColor rgb="FF000000"/>
      </patternFill>
    </fill>
    <fill>
      <patternFill patternType="solid">
        <fgColor theme="6"/>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59999389629810485"/>
        <bgColor rgb="FF000000"/>
      </patternFill>
    </fill>
    <fill>
      <patternFill patternType="solid">
        <fgColor theme="9" tint="-0.499984740745262"/>
        <bgColor indexed="64"/>
      </patternFill>
    </fill>
    <fill>
      <patternFill patternType="solid">
        <fgColor rgb="FF00B050"/>
        <bgColor indexed="64"/>
      </patternFill>
    </fill>
    <fill>
      <patternFill patternType="solid">
        <fgColor rgb="FF92D050"/>
        <bgColor indexed="64"/>
      </patternFill>
    </fill>
    <fill>
      <patternFill patternType="solid">
        <fgColor theme="6" tint="0.39997558519241921"/>
        <bgColor indexed="64"/>
      </patternFill>
    </fill>
    <fill>
      <patternFill patternType="solid">
        <fgColor theme="6" tint="-0.499984740745262"/>
        <bgColor indexed="64"/>
      </patternFill>
    </fill>
  </fills>
  <borders count="10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right/>
      <top style="hair">
        <color rgb="FF1D324E"/>
      </top>
      <bottom style="hair">
        <color rgb="FF1D324E"/>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style="medium">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right/>
      <top style="thin">
        <color indexed="64"/>
      </top>
      <bottom style="double">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hair">
        <color rgb="FF1D324E"/>
      </top>
      <bottom style="hair">
        <color rgb="FF1D324E"/>
      </bottom>
      <diagonal/>
    </border>
    <border>
      <left/>
      <right style="thin">
        <color indexed="64"/>
      </right>
      <top style="hair">
        <color rgb="FF1D324E"/>
      </top>
      <bottom style="hair">
        <color rgb="FF1D324E"/>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hair">
        <color rgb="FF1D324E"/>
      </top>
      <bottom style="hair">
        <color rgb="FF1D324E"/>
      </bottom>
      <diagonal/>
    </border>
    <border>
      <left/>
      <right style="medium">
        <color indexed="64"/>
      </right>
      <top style="hair">
        <color rgb="FF1D324E"/>
      </top>
      <bottom style="hair">
        <color rgb="FF1D324E"/>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indexed="64"/>
      </left>
      <right style="thin">
        <color rgb="FF000000"/>
      </right>
      <top style="thin">
        <color rgb="FF000000"/>
      </top>
      <bottom style="medium">
        <color indexed="64"/>
      </bottom>
      <diagonal/>
    </border>
    <border>
      <left style="thin">
        <color rgb="FF000000"/>
      </left>
      <right style="thin">
        <color indexed="64"/>
      </right>
      <top style="thin">
        <color rgb="FF000000"/>
      </top>
      <bottom style="medium">
        <color indexed="64"/>
      </bottom>
      <diagonal/>
    </border>
    <border>
      <left/>
      <right style="thin">
        <color rgb="FF000000"/>
      </right>
      <top style="thin">
        <color indexed="64"/>
      </top>
      <bottom style="thin">
        <color rgb="FF000000"/>
      </bottom>
      <diagonal/>
    </border>
    <border>
      <left/>
      <right style="medium">
        <color indexed="64"/>
      </right>
      <top style="thin">
        <color rgb="FF000000"/>
      </top>
      <bottom style="thin">
        <color rgb="FF000000"/>
      </bottom>
      <diagonal/>
    </border>
    <border>
      <left/>
      <right style="medium">
        <color indexed="64"/>
      </right>
      <top style="thin">
        <color rgb="FF000000"/>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bottom style="thin">
        <color auto="1"/>
      </bottom>
      <diagonal/>
    </border>
    <border>
      <left style="thin">
        <color indexed="64"/>
      </left>
      <right style="medium">
        <color indexed="64"/>
      </right>
      <top/>
      <bottom/>
      <diagonal/>
    </border>
    <border>
      <left style="thin">
        <color indexed="64"/>
      </left>
      <right style="medium">
        <color indexed="64"/>
      </right>
      <top/>
      <bottom style="thin">
        <color auto="1"/>
      </bottom>
      <diagonal/>
    </border>
    <border>
      <left style="thin">
        <color indexed="64"/>
      </left>
      <right style="medium">
        <color indexed="64"/>
      </right>
      <top style="thin">
        <color indexed="64"/>
      </top>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
      <left style="thin">
        <color auto="1"/>
      </left>
      <right style="hair">
        <color auto="1"/>
      </right>
      <top style="hair">
        <color auto="1"/>
      </top>
      <bottom style="medium">
        <color auto="1"/>
      </bottom>
      <diagonal/>
    </border>
    <border>
      <left style="hair">
        <color auto="1"/>
      </left>
      <right style="thin">
        <color auto="1"/>
      </right>
      <top style="hair">
        <color auto="1"/>
      </top>
      <bottom style="medium">
        <color auto="1"/>
      </bottom>
      <diagonal/>
    </border>
  </borders>
  <cellStyleXfs count="20">
    <xf numFmtId="0" fontId="0" fillId="0" borderId="0"/>
    <xf numFmtId="0" fontId="1" fillId="0" borderId="0" applyNumberFormat="0" applyFill="0" applyBorder="0" applyAlignment="0" applyProtection="0"/>
    <xf numFmtId="0" fontId="7" fillId="5" borderId="12" applyNumberFormat="0" applyProtection="0">
      <alignment horizontal="left" vertical="center" readingOrder="1"/>
    </xf>
    <xf numFmtId="0" fontId="8" fillId="5" borderId="4">
      <alignment horizontal="right"/>
    </xf>
    <xf numFmtId="0" fontId="8" fillId="5" borderId="5">
      <alignment horizontal="right"/>
    </xf>
    <xf numFmtId="0" fontId="9" fillId="6" borderId="7"/>
    <xf numFmtId="3" fontId="9" fillId="6" borderId="13">
      <alignment horizontal="right"/>
    </xf>
    <xf numFmtId="0" fontId="10" fillId="6" borderId="7"/>
    <xf numFmtId="164" fontId="11" fillId="6" borderId="13">
      <alignment horizontal="right"/>
    </xf>
    <xf numFmtId="164" fontId="9" fillId="6" borderId="13">
      <alignment horizontal="right"/>
    </xf>
    <xf numFmtId="0" fontId="12" fillId="6" borderId="7"/>
    <xf numFmtId="164" fontId="13" fillId="6" borderId="13">
      <alignment horizontal="right"/>
    </xf>
    <xf numFmtId="3" fontId="11" fillId="6" borderId="13">
      <alignment horizontal="right"/>
    </xf>
    <xf numFmtId="4" fontId="11" fillId="6" borderId="13">
      <alignment horizontal="right"/>
    </xf>
    <xf numFmtId="0" fontId="13" fillId="7" borderId="11" applyNumberFormat="0" applyAlignment="0" applyProtection="0"/>
    <xf numFmtId="9" fontId="27" fillId="0" borderId="0" applyFont="0" applyFill="0" applyBorder="0" applyAlignment="0" applyProtection="0"/>
    <xf numFmtId="4" fontId="9" fillId="6" borderId="13">
      <alignment horizontal="right"/>
    </xf>
    <xf numFmtId="0" fontId="28" fillId="5" borderId="0"/>
    <xf numFmtId="4" fontId="13" fillId="6" borderId="13">
      <alignment horizontal="right"/>
    </xf>
    <xf numFmtId="22" fontId="46" fillId="0" borderId="0"/>
  </cellStyleXfs>
  <cellXfs count="345">
    <xf numFmtId="0" fontId="0" fillId="0" borderId="0" xfId="0"/>
    <xf numFmtId="0" fontId="1" fillId="0" borderId="0" xfId="1"/>
    <xf numFmtId="0" fontId="1" fillId="0" borderId="0" xfId="1" applyFill="1"/>
    <xf numFmtId="0" fontId="3" fillId="2" borderId="7" xfId="0" applyFont="1" applyFill="1" applyBorder="1" applyAlignment="1">
      <alignment wrapText="1"/>
    </xf>
    <xf numFmtId="0" fontId="4" fillId="2" borderId="7" xfId="0" applyFont="1" applyFill="1" applyBorder="1" applyAlignment="1">
      <alignment wrapText="1"/>
    </xf>
    <xf numFmtId="0" fontId="5" fillId="2" borderId="7" xfId="0" applyFont="1" applyFill="1" applyBorder="1" applyAlignment="1">
      <alignment wrapText="1"/>
    </xf>
    <xf numFmtId="0" fontId="3" fillId="2" borderId="9" xfId="0" applyFont="1" applyFill="1" applyBorder="1" applyAlignment="1">
      <alignment wrapText="1"/>
    </xf>
    <xf numFmtId="0" fontId="6" fillId="4" borderId="11" xfId="0" applyFont="1" applyFill="1" applyBorder="1" applyAlignment="1">
      <alignment wrapText="1"/>
    </xf>
    <xf numFmtId="0" fontId="6" fillId="4" borderId="0" xfId="0" applyFont="1" applyFill="1"/>
    <xf numFmtId="0" fontId="6" fillId="4" borderId="11" xfId="0" applyFont="1" applyFill="1" applyBorder="1"/>
    <xf numFmtId="0" fontId="9" fillId="6" borderId="7" xfId="5"/>
    <xf numFmtId="3" fontId="9" fillId="6" borderId="13" xfId="6">
      <alignment horizontal="right"/>
    </xf>
    <xf numFmtId="0" fontId="10" fillId="6" borderId="7" xfId="7"/>
    <xf numFmtId="164" fontId="11" fillId="6" borderId="13" xfId="8">
      <alignment horizontal="right"/>
    </xf>
    <xf numFmtId="164" fontId="9" fillId="6" borderId="13" xfId="9">
      <alignment horizontal="right"/>
    </xf>
    <xf numFmtId="0" fontId="12" fillId="6" borderId="7" xfId="10"/>
    <xf numFmtId="164" fontId="13" fillId="6" borderId="13" xfId="11">
      <alignment horizontal="right"/>
    </xf>
    <xf numFmtId="3" fontId="11" fillId="6" borderId="13" xfId="12">
      <alignment horizontal="right"/>
    </xf>
    <xf numFmtId="4" fontId="11" fillId="6" borderId="13" xfId="13">
      <alignment horizontal="right"/>
    </xf>
    <xf numFmtId="0" fontId="13" fillId="7" borderId="11" xfId="14"/>
    <xf numFmtId="0" fontId="3" fillId="2" borderId="8" xfId="0" applyFont="1" applyFill="1" applyBorder="1" applyAlignment="1">
      <alignment wrapText="1"/>
    </xf>
    <xf numFmtId="0" fontId="4" fillId="2" borderId="9" xfId="0" applyFont="1" applyFill="1" applyBorder="1" applyAlignment="1">
      <alignment wrapText="1"/>
    </xf>
    <xf numFmtId="0" fontId="5" fillId="2" borderId="9" xfId="0" applyFont="1" applyFill="1" applyBorder="1" applyAlignment="1">
      <alignment wrapText="1"/>
    </xf>
    <xf numFmtId="0" fontId="4" fillId="2" borderId="10" xfId="0" applyFont="1" applyFill="1" applyBorder="1" applyAlignment="1">
      <alignment wrapText="1"/>
    </xf>
    <xf numFmtId="0" fontId="6" fillId="4" borderId="0" xfId="0" applyFont="1" applyFill="1" applyAlignment="1">
      <alignment wrapText="1"/>
    </xf>
    <xf numFmtId="10" fontId="0" fillId="0" borderId="0" xfId="0" applyNumberFormat="1"/>
    <xf numFmtId="0" fontId="0" fillId="0" borderId="0" xfId="0" applyAlignment="1">
      <alignment horizontal="center"/>
    </xf>
    <xf numFmtId="0" fontId="14" fillId="0" borderId="0" xfId="0" applyFont="1"/>
    <xf numFmtId="0" fontId="15" fillId="0" borderId="0" xfId="0" applyFont="1"/>
    <xf numFmtId="165" fontId="0" fillId="0" borderId="0" xfId="0" applyNumberFormat="1"/>
    <xf numFmtId="0" fontId="18" fillId="0" borderId="0" xfId="0" applyFont="1"/>
    <xf numFmtId="0" fontId="14" fillId="0" borderId="15" xfId="0" applyFont="1" applyBorder="1"/>
    <xf numFmtId="0" fontId="18" fillId="0" borderId="0" xfId="0" applyFont="1" applyAlignment="1">
      <alignment horizontal="center"/>
    </xf>
    <xf numFmtId="0" fontId="22" fillId="0" borderId="0" xfId="0" applyFont="1"/>
    <xf numFmtId="0" fontId="20" fillId="0" borderId="0" xfId="0" applyFont="1"/>
    <xf numFmtId="166" fontId="14" fillId="0" borderId="0" xfId="0" applyNumberFormat="1" applyFont="1"/>
    <xf numFmtId="165" fontId="0" fillId="8" borderId="0" xfId="0" applyNumberFormat="1" applyFill="1"/>
    <xf numFmtId="2" fontId="0" fillId="0" borderId="0" xfId="0" applyNumberFormat="1"/>
    <xf numFmtId="0" fontId="4" fillId="2" borderId="0" xfId="0" applyFont="1" applyFill="1" applyAlignment="1">
      <alignment wrapText="1"/>
    </xf>
    <xf numFmtId="0" fontId="10" fillId="9" borderId="7" xfId="7" applyFill="1"/>
    <xf numFmtId="0" fontId="12" fillId="9" borderId="7" xfId="10" applyFill="1"/>
    <xf numFmtId="4" fontId="9" fillId="6" borderId="13" xfId="16">
      <alignment horizontal="right"/>
    </xf>
    <xf numFmtId="4" fontId="13" fillId="6" borderId="13" xfId="18">
      <alignment horizontal="right"/>
    </xf>
    <xf numFmtId="4" fontId="11" fillId="9" borderId="13" xfId="13" applyFill="1">
      <alignment horizontal="right"/>
    </xf>
    <xf numFmtId="164" fontId="0" fillId="0" borderId="0" xfId="0" applyNumberFormat="1"/>
    <xf numFmtId="168" fontId="0" fillId="0" borderId="0" xfId="0" applyNumberFormat="1"/>
    <xf numFmtId="0" fontId="0" fillId="3" borderId="0" xfId="0" applyFill="1"/>
    <xf numFmtId="0" fontId="10" fillId="0" borderId="7" xfId="7" applyFill="1"/>
    <xf numFmtId="0" fontId="12" fillId="0" borderId="7" xfId="10" applyFill="1"/>
    <xf numFmtId="2" fontId="0" fillId="3" borderId="0" xfId="0" applyNumberFormat="1" applyFill="1"/>
    <xf numFmtId="0" fontId="0" fillId="0" borderId="0" xfId="0" applyAlignment="1">
      <alignment horizontal="right"/>
    </xf>
    <xf numFmtId="2" fontId="0" fillId="0" borderId="0" xfId="0" applyNumberFormat="1" applyAlignment="1">
      <alignment horizontal="right"/>
    </xf>
    <xf numFmtId="10" fontId="0" fillId="0" borderId="0" xfId="0" applyNumberFormat="1" applyAlignment="1">
      <alignment horizontal="right"/>
    </xf>
    <xf numFmtId="9" fontId="0" fillId="0" borderId="0" xfId="0" applyNumberFormat="1" applyAlignment="1">
      <alignment horizontal="right"/>
    </xf>
    <xf numFmtId="2" fontId="0" fillId="11" borderId="0" xfId="0" applyNumberFormat="1" applyFill="1" applyAlignment="1">
      <alignment horizontal="right"/>
    </xf>
    <xf numFmtId="169" fontId="0" fillId="0" borderId="0" xfId="0" applyNumberFormat="1" applyAlignment="1">
      <alignment horizontal="right"/>
    </xf>
    <xf numFmtId="0" fontId="0" fillId="0" borderId="9" xfId="0" applyBorder="1"/>
    <xf numFmtId="2" fontId="0" fillId="0" borderId="19" xfId="0" applyNumberFormat="1" applyBorder="1"/>
    <xf numFmtId="10" fontId="29" fillId="0" borderId="19" xfId="0" applyNumberFormat="1" applyFont="1" applyBorder="1"/>
    <xf numFmtId="10" fontId="0" fillId="0" borderId="19" xfId="0" applyNumberFormat="1" applyBorder="1"/>
    <xf numFmtId="0" fontId="0" fillId="0" borderId="19" xfId="0" applyBorder="1"/>
    <xf numFmtId="0" fontId="0" fillId="3" borderId="9" xfId="0" applyFill="1" applyBorder="1"/>
    <xf numFmtId="0" fontId="0" fillId="0" borderId="20" xfId="0" applyBorder="1"/>
    <xf numFmtId="0" fontId="32" fillId="0" borderId="19" xfId="0" applyFont="1" applyBorder="1" applyAlignment="1">
      <alignment wrapText="1"/>
    </xf>
    <xf numFmtId="0" fontId="33" fillId="0" borderId="19" xfId="0" applyFont="1" applyBorder="1" applyAlignment="1">
      <alignment wrapText="1"/>
    </xf>
    <xf numFmtId="0" fontId="0" fillId="0" borderId="19" xfId="0" applyBorder="1" applyAlignment="1">
      <alignment wrapText="1"/>
    </xf>
    <xf numFmtId="0" fontId="0" fillId="0" borderId="10" xfId="0" applyBorder="1"/>
    <xf numFmtId="10" fontId="0" fillId="0" borderId="16" xfId="0" applyNumberFormat="1" applyBorder="1"/>
    <xf numFmtId="0" fontId="0" fillId="0" borderId="16" xfId="0" applyBorder="1"/>
    <xf numFmtId="170" fontId="14" fillId="0" borderId="15" xfId="0" applyNumberFormat="1" applyFont="1" applyBorder="1"/>
    <xf numFmtId="170" fontId="14" fillId="0" borderId="14" xfId="0" applyNumberFormat="1" applyFont="1" applyBorder="1"/>
    <xf numFmtId="170" fontId="18" fillId="0" borderId="0" xfId="0" applyNumberFormat="1" applyFont="1"/>
    <xf numFmtId="164" fontId="11" fillId="0" borderId="13" xfId="8" applyFill="1">
      <alignment horizontal="right"/>
    </xf>
    <xf numFmtId="0" fontId="9" fillId="0" borderId="7" xfId="5" applyFill="1"/>
    <xf numFmtId="164" fontId="9" fillId="0" borderId="13" xfId="9" applyFill="1">
      <alignment horizontal="right"/>
    </xf>
    <xf numFmtId="164" fontId="10" fillId="0" borderId="7" xfId="7" applyNumberFormat="1" applyFill="1"/>
    <xf numFmtId="164" fontId="13" fillId="0" borderId="13" xfId="11" applyFill="1">
      <alignment horizontal="right"/>
    </xf>
    <xf numFmtId="170" fontId="20" fillId="0" borderId="12" xfId="0" applyNumberFormat="1" applyFont="1" applyBorder="1"/>
    <xf numFmtId="170" fontId="20" fillId="0" borderId="23" xfId="0" applyNumberFormat="1" applyFont="1" applyBorder="1"/>
    <xf numFmtId="170" fontId="14" fillId="0" borderId="12" xfId="0" applyNumberFormat="1" applyFont="1" applyBorder="1"/>
    <xf numFmtId="170" fontId="20" fillId="0" borderId="24" xfId="0" applyNumberFormat="1" applyFont="1" applyBorder="1"/>
    <xf numFmtId="170" fontId="20" fillId="0" borderId="12" xfId="0" applyNumberFormat="1" applyFont="1" applyBorder="1" applyAlignment="1">
      <alignment wrapText="1"/>
    </xf>
    <xf numFmtId="170" fontId="14" fillId="0" borderId="29" xfId="0" applyNumberFormat="1" applyFont="1" applyBorder="1"/>
    <xf numFmtId="170" fontId="14" fillId="0" borderId="0" xfId="0" applyNumberFormat="1" applyFont="1"/>
    <xf numFmtId="170" fontId="14" fillId="0" borderId="6" xfId="0" applyNumberFormat="1" applyFont="1" applyBorder="1"/>
    <xf numFmtId="170" fontId="20" fillId="0" borderId="31" xfId="0" applyNumberFormat="1" applyFont="1" applyBorder="1"/>
    <xf numFmtId="170" fontId="14" fillId="0" borderId="33" xfId="0" applyNumberFormat="1" applyFont="1" applyBorder="1"/>
    <xf numFmtId="0" fontId="18" fillId="0" borderId="7" xfId="0" applyFont="1" applyBorder="1"/>
    <xf numFmtId="170" fontId="18" fillId="0" borderId="6" xfId="0" applyNumberFormat="1" applyFont="1" applyBorder="1"/>
    <xf numFmtId="170" fontId="14" fillId="0" borderId="35" xfId="0" applyNumberFormat="1" applyFont="1" applyBorder="1"/>
    <xf numFmtId="170" fontId="22" fillId="0" borderId="0" xfId="0" applyNumberFormat="1" applyFont="1"/>
    <xf numFmtId="170" fontId="20" fillId="0" borderId="0" xfId="0" applyNumberFormat="1" applyFont="1"/>
    <xf numFmtId="170" fontId="22" fillId="0" borderId="6" xfId="0" applyNumberFormat="1" applyFont="1" applyBorder="1"/>
    <xf numFmtId="170" fontId="20" fillId="0" borderId="37" xfId="0" applyNumberFormat="1" applyFont="1" applyBorder="1"/>
    <xf numFmtId="170" fontId="20" fillId="0" borderId="35" xfId="0" applyNumberFormat="1" applyFont="1" applyBorder="1"/>
    <xf numFmtId="170" fontId="20" fillId="0" borderId="35" xfId="0" applyNumberFormat="1" applyFont="1" applyBorder="1" applyAlignment="1">
      <alignment wrapText="1"/>
    </xf>
    <xf numFmtId="170" fontId="18" fillId="0" borderId="0" xfId="0" applyNumberFormat="1" applyFont="1" applyAlignment="1">
      <alignment wrapText="1"/>
    </xf>
    <xf numFmtId="170" fontId="18" fillId="0" borderId="6" xfId="0" applyNumberFormat="1" applyFont="1" applyBorder="1" applyAlignment="1">
      <alignment wrapText="1"/>
    </xf>
    <xf numFmtId="0" fontId="20" fillId="0" borderId="42" xfId="0" applyFont="1" applyBorder="1"/>
    <xf numFmtId="0" fontId="14" fillId="0" borderId="46" xfId="0" applyFont="1" applyBorder="1"/>
    <xf numFmtId="170" fontId="14" fillId="0" borderId="47" xfId="0" applyNumberFormat="1" applyFont="1" applyBorder="1"/>
    <xf numFmtId="0" fontId="15" fillId="0" borderId="46" xfId="0" applyFont="1" applyBorder="1"/>
    <xf numFmtId="0" fontId="20" fillId="0" borderId="48" xfId="0" applyFont="1" applyBorder="1"/>
    <xf numFmtId="170" fontId="20" fillId="0" borderId="49" xfId="0" applyNumberFormat="1" applyFont="1" applyBorder="1"/>
    <xf numFmtId="0" fontId="14" fillId="0" borderId="50" xfId="0" applyFont="1" applyBorder="1"/>
    <xf numFmtId="170" fontId="14" fillId="0" borderId="51" xfId="0" applyNumberFormat="1" applyFont="1" applyBorder="1"/>
    <xf numFmtId="0" fontId="18" fillId="0" borderId="46" xfId="0" applyFont="1" applyBorder="1"/>
    <xf numFmtId="170" fontId="18" fillId="0" borderId="47" xfId="0" applyNumberFormat="1" applyFont="1" applyBorder="1"/>
    <xf numFmtId="0" fontId="14" fillId="0" borderId="52" xfId="0" applyFont="1" applyBorder="1"/>
    <xf numFmtId="170" fontId="14" fillId="0" borderId="53" xfId="0" applyNumberFormat="1" applyFont="1" applyBorder="1"/>
    <xf numFmtId="0" fontId="22" fillId="0" borderId="46" xfId="0" applyFont="1" applyBorder="1"/>
    <xf numFmtId="0" fontId="20" fillId="0" borderId="46" xfId="0" applyFont="1" applyBorder="1"/>
    <xf numFmtId="170" fontId="22" fillId="0" borderId="47" xfId="0" applyNumberFormat="1" applyFont="1" applyBorder="1"/>
    <xf numFmtId="0" fontId="20" fillId="0" borderId="54" xfId="0" applyFont="1" applyBorder="1"/>
    <xf numFmtId="170" fontId="20" fillId="0" borderId="55" xfId="0" applyNumberFormat="1" applyFont="1" applyBorder="1"/>
    <xf numFmtId="0" fontId="23" fillId="0" borderId="46" xfId="0" applyFont="1" applyBorder="1"/>
    <xf numFmtId="0" fontId="20" fillId="0" borderId="52" xfId="0" applyFont="1" applyBorder="1"/>
    <xf numFmtId="170" fontId="20" fillId="0" borderId="53" xfId="0" applyNumberFormat="1" applyFont="1" applyBorder="1"/>
    <xf numFmtId="0" fontId="16" fillId="0" borderId="46" xfId="0" applyFont="1" applyBorder="1"/>
    <xf numFmtId="0" fontId="24" fillId="0" borderId="46" xfId="0" applyFont="1" applyBorder="1"/>
    <xf numFmtId="0" fontId="25" fillId="0" borderId="52" xfId="0" applyFont="1" applyBorder="1"/>
    <xf numFmtId="170" fontId="20" fillId="0" borderId="53" xfId="0" applyNumberFormat="1" applyFont="1" applyBorder="1" applyAlignment="1">
      <alignment wrapText="1"/>
    </xf>
    <xf numFmtId="170" fontId="18" fillId="0" borderId="47" xfId="0" applyNumberFormat="1" applyFont="1" applyBorder="1" applyAlignment="1">
      <alignment wrapText="1"/>
    </xf>
    <xf numFmtId="0" fontId="26" fillId="0" borderId="46" xfId="0" applyFont="1" applyBorder="1"/>
    <xf numFmtId="0" fontId="18" fillId="0" borderId="56" xfId="0" applyFont="1" applyBorder="1"/>
    <xf numFmtId="170" fontId="18" fillId="0" borderId="57" xfId="0" applyNumberFormat="1" applyFont="1" applyBorder="1"/>
    <xf numFmtId="170" fontId="18" fillId="0" borderId="58" xfId="0" applyNumberFormat="1" applyFont="1" applyBorder="1"/>
    <xf numFmtId="0" fontId="20" fillId="0" borderId="60" xfId="0" applyFont="1" applyBorder="1"/>
    <xf numFmtId="170" fontId="14" fillId="0" borderId="3" xfId="0" applyNumberFormat="1" applyFont="1" applyBorder="1"/>
    <xf numFmtId="170" fontId="14" fillId="0" borderId="28" xfId="0" applyNumberFormat="1" applyFont="1" applyBorder="1"/>
    <xf numFmtId="170" fontId="14" fillId="0" borderId="7" xfId="0" applyNumberFormat="1" applyFont="1" applyBorder="1"/>
    <xf numFmtId="170" fontId="20" fillId="0" borderId="30" xfId="0" applyNumberFormat="1" applyFont="1" applyBorder="1"/>
    <xf numFmtId="170" fontId="14" fillId="0" borderId="32" xfId="0" applyNumberFormat="1" applyFont="1" applyBorder="1"/>
    <xf numFmtId="170" fontId="18" fillId="0" borderId="7" xfId="0" applyNumberFormat="1" applyFont="1" applyBorder="1"/>
    <xf numFmtId="170" fontId="14" fillId="0" borderId="34" xfId="0" applyNumberFormat="1" applyFont="1" applyBorder="1"/>
    <xf numFmtId="170" fontId="22" fillId="0" borderId="7" xfId="0" applyNumberFormat="1" applyFont="1" applyBorder="1"/>
    <xf numFmtId="170" fontId="20" fillId="0" borderId="7" xfId="0" applyNumberFormat="1" applyFont="1" applyBorder="1"/>
    <xf numFmtId="170" fontId="20" fillId="0" borderId="6" xfId="0" applyNumberFormat="1" applyFont="1" applyBorder="1"/>
    <xf numFmtId="170" fontId="20" fillId="0" borderId="36" xfId="0" applyNumberFormat="1" applyFont="1" applyBorder="1"/>
    <xf numFmtId="170" fontId="14" fillId="0" borderId="66" xfId="0" applyNumberFormat="1" applyFont="1" applyBorder="1"/>
    <xf numFmtId="170" fontId="20" fillId="0" borderId="34" xfId="0" applyNumberFormat="1" applyFont="1" applyBorder="1"/>
    <xf numFmtId="170" fontId="20" fillId="0" borderId="34" xfId="0" applyNumberFormat="1" applyFont="1" applyBorder="1" applyAlignment="1">
      <alignment wrapText="1"/>
    </xf>
    <xf numFmtId="170" fontId="18" fillId="0" borderId="68" xfId="0" applyNumberFormat="1" applyFont="1" applyBorder="1"/>
    <xf numFmtId="170" fontId="18" fillId="0" borderId="69" xfId="0" applyNumberFormat="1" applyFont="1" applyBorder="1"/>
    <xf numFmtId="10" fontId="18" fillId="0" borderId="0" xfId="0" applyNumberFormat="1" applyFont="1"/>
    <xf numFmtId="10" fontId="18" fillId="0" borderId="7" xfId="0" applyNumberFormat="1" applyFont="1" applyBorder="1"/>
    <xf numFmtId="10" fontId="18" fillId="0" borderId="6" xfId="0" applyNumberFormat="1" applyFont="1" applyBorder="1"/>
    <xf numFmtId="0" fontId="18" fillId="0" borderId="6" xfId="0" applyFont="1" applyBorder="1"/>
    <xf numFmtId="9" fontId="18" fillId="0" borderId="7" xfId="15" applyFont="1" applyBorder="1"/>
    <xf numFmtId="9" fontId="18" fillId="0" borderId="0" xfId="15" applyFont="1" applyBorder="1"/>
    <xf numFmtId="9" fontId="18" fillId="0" borderId="6" xfId="15" applyFont="1" applyBorder="1"/>
    <xf numFmtId="10" fontId="18" fillId="0" borderId="47" xfId="0" applyNumberFormat="1" applyFont="1" applyBorder="1"/>
    <xf numFmtId="0" fontId="18" fillId="0" borderId="47" xfId="0" applyFont="1" applyBorder="1"/>
    <xf numFmtId="0" fontId="18" fillId="0" borderId="46" xfId="0" applyFont="1" applyBorder="1" applyAlignment="1">
      <alignment wrapText="1"/>
    </xf>
    <xf numFmtId="0" fontId="18" fillId="0" borderId="68" xfId="0" applyFont="1" applyBorder="1"/>
    <xf numFmtId="10" fontId="18" fillId="0" borderId="57" xfId="0" applyNumberFormat="1" applyFont="1" applyBorder="1"/>
    <xf numFmtId="10" fontId="18" fillId="0" borderId="69" xfId="0" applyNumberFormat="1" applyFont="1" applyBorder="1"/>
    <xf numFmtId="10" fontId="18" fillId="0" borderId="58" xfId="0" applyNumberFormat="1" applyFont="1" applyBorder="1"/>
    <xf numFmtId="0" fontId="18" fillId="0" borderId="48" xfId="0" applyFont="1" applyBorder="1"/>
    <xf numFmtId="10" fontId="18" fillId="0" borderId="30" xfId="0" applyNumberFormat="1" applyFont="1" applyBorder="1"/>
    <xf numFmtId="10" fontId="18" fillId="0" borderId="23" xfId="0" applyNumberFormat="1" applyFont="1" applyBorder="1"/>
    <xf numFmtId="10" fontId="18" fillId="0" borderId="31" xfId="0" applyNumberFormat="1" applyFont="1" applyBorder="1"/>
    <xf numFmtId="10" fontId="18" fillId="0" borderId="49" xfId="0" applyNumberFormat="1" applyFont="1" applyBorder="1"/>
    <xf numFmtId="10" fontId="18" fillId="0" borderId="80" xfId="0" applyNumberFormat="1" applyFont="1" applyBorder="1"/>
    <xf numFmtId="10" fontId="18" fillId="0" borderId="81" xfId="0" applyNumberFormat="1" applyFont="1" applyBorder="1"/>
    <xf numFmtId="10" fontId="18" fillId="0" borderId="82" xfId="0" applyNumberFormat="1" applyFont="1" applyBorder="1"/>
    <xf numFmtId="10" fontId="18" fillId="0" borderId="73" xfId="0" applyNumberFormat="1" applyFont="1" applyBorder="1"/>
    <xf numFmtId="165" fontId="14" fillId="0" borderId="24" xfId="0" applyNumberFormat="1" applyFont="1" applyBorder="1"/>
    <xf numFmtId="165" fontId="14" fillId="0" borderId="12" xfId="0" applyNumberFormat="1" applyFont="1" applyBorder="1"/>
    <xf numFmtId="165" fontId="14" fillId="0" borderId="23" xfId="0" applyNumberFormat="1" applyFont="1" applyBorder="1"/>
    <xf numFmtId="165" fontId="14" fillId="0" borderId="0" xfId="0" applyNumberFormat="1" applyFont="1"/>
    <xf numFmtId="165" fontId="14" fillId="0" borderId="47" xfId="0" applyNumberFormat="1" applyFont="1" applyBorder="1"/>
    <xf numFmtId="0" fontId="21" fillId="0" borderId="54" xfId="0" applyFont="1" applyBorder="1"/>
    <xf numFmtId="165" fontId="14" fillId="0" borderId="55" xfId="0" applyNumberFormat="1" applyFont="1" applyBorder="1"/>
    <xf numFmtId="0" fontId="21" fillId="0" borderId="52" xfId="0" applyFont="1" applyBorder="1"/>
    <xf numFmtId="165" fontId="14" fillId="0" borderId="53" xfId="0" applyNumberFormat="1" applyFont="1" applyBorder="1"/>
    <xf numFmtId="165" fontId="14" fillId="0" borderId="49" xfId="0" applyNumberFormat="1" applyFont="1" applyBorder="1"/>
    <xf numFmtId="0" fontId="18" fillId="0" borderId="57" xfId="0" applyFont="1" applyBorder="1"/>
    <xf numFmtId="0" fontId="18" fillId="0" borderId="58" xfId="0" applyFont="1" applyBorder="1"/>
    <xf numFmtId="165" fontId="14" fillId="0" borderId="7" xfId="0" applyNumberFormat="1" applyFont="1" applyBorder="1"/>
    <xf numFmtId="165" fontId="14" fillId="0" borderId="36" xfId="0" applyNumberFormat="1" applyFont="1" applyBorder="1"/>
    <xf numFmtId="165" fontId="14" fillId="0" borderId="6" xfId="0" applyNumberFormat="1" applyFont="1" applyBorder="1"/>
    <xf numFmtId="165" fontId="14" fillId="0" borderId="37" xfId="0" applyNumberFormat="1" applyFont="1" applyBorder="1"/>
    <xf numFmtId="165" fontId="14" fillId="0" borderId="34" xfId="0" applyNumberFormat="1" applyFont="1" applyBorder="1"/>
    <xf numFmtId="0" fontId="18" fillId="0" borderId="30" xfId="0" applyFont="1" applyBorder="1"/>
    <xf numFmtId="165" fontId="14" fillId="0" borderId="35" xfId="0" applyNumberFormat="1" applyFont="1" applyBorder="1"/>
    <xf numFmtId="165" fontId="14" fillId="0" borderId="31" xfId="0" applyNumberFormat="1" applyFont="1" applyBorder="1"/>
    <xf numFmtId="0" fontId="18" fillId="0" borderId="69" xfId="0" applyFont="1" applyBorder="1"/>
    <xf numFmtId="165" fontId="20" fillId="0" borderId="24" xfId="0" applyNumberFormat="1" applyFont="1" applyBorder="1"/>
    <xf numFmtId="10" fontId="20" fillId="0" borderId="24" xfId="0" applyNumberFormat="1" applyFont="1" applyBorder="1"/>
    <xf numFmtId="165" fontId="20" fillId="0" borderId="55" xfId="0" applyNumberFormat="1" applyFont="1" applyBorder="1"/>
    <xf numFmtId="165" fontId="18" fillId="0" borderId="0" xfId="0" applyNumberFormat="1" applyFont="1"/>
    <xf numFmtId="165" fontId="18" fillId="0" borderId="47" xfId="0" applyNumberFormat="1" applyFont="1" applyBorder="1"/>
    <xf numFmtId="10" fontId="20" fillId="0" borderId="55" xfId="0" applyNumberFormat="1" applyFont="1" applyBorder="1"/>
    <xf numFmtId="167" fontId="18" fillId="0" borderId="0" xfId="0" applyNumberFormat="1" applyFont="1"/>
    <xf numFmtId="165" fontId="20" fillId="0" borderId="36" xfId="0" applyNumberFormat="1" applyFont="1" applyBorder="1"/>
    <xf numFmtId="165" fontId="20" fillId="0" borderId="37" xfId="0" applyNumberFormat="1" applyFont="1" applyBorder="1"/>
    <xf numFmtId="165" fontId="18" fillId="0" borderId="6" xfId="0" applyNumberFormat="1" applyFont="1" applyBorder="1"/>
    <xf numFmtId="10" fontId="20" fillId="0" borderId="37" xfId="0" applyNumberFormat="1" applyFont="1" applyBorder="1"/>
    <xf numFmtId="167" fontId="18" fillId="0" borderId="6" xfId="0" applyNumberFormat="1" applyFont="1" applyBorder="1"/>
    <xf numFmtId="0" fontId="20" fillId="17" borderId="3" xfId="0" applyFont="1" applyFill="1" applyBorder="1" applyAlignment="1">
      <alignment horizontal="center" vertical="center"/>
    </xf>
    <xf numFmtId="0" fontId="20" fillId="9" borderId="15" xfId="0" applyFont="1" applyFill="1" applyBorder="1" applyAlignment="1">
      <alignment horizontal="center"/>
    </xf>
    <xf numFmtId="0" fontId="20" fillId="17" borderId="42" xfId="0" applyFont="1" applyFill="1" applyBorder="1" applyAlignment="1">
      <alignment horizontal="center" vertical="center"/>
    </xf>
    <xf numFmtId="0" fontId="20" fillId="17" borderId="43" xfId="0" applyFont="1" applyFill="1" applyBorder="1" applyAlignment="1">
      <alignment horizontal="center" vertical="center"/>
    </xf>
    <xf numFmtId="0" fontId="14" fillId="0" borderId="43" xfId="0" applyFont="1" applyBorder="1"/>
    <xf numFmtId="0" fontId="20" fillId="9" borderId="42" xfId="0" applyFont="1" applyFill="1" applyBorder="1"/>
    <xf numFmtId="0" fontId="21" fillId="9" borderId="43" xfId="0" applyFont="1" applyFill="1" applyBorder="1" applyAlignment="1">
      <alignment horizontal="center"/>
    </xf>
    <xf numFmtId="0" fontId="36" fillId="0" borderId="46" xfId="0" applyFont="1" applyBorder="1"/>
    <xf numFmtId="0" fontId="0" fillId="0" borderId="47" xfId="0" applyBorder="1"/>
    <xf numFmtId="0" fontId="0" fillId="0" borderId="46" xfId="0" applyBorder="1"/>
    <xf numFmtId="0" fontId="0" fillId="0" borderId="47" xfId="0" applyBorder="1" applyAlignment="1">
      <alignment horizontal="center"/>
    </xf>
    <xf numFmtId="10" fontId="0" fillId="0" borderId="47" xfId="0" applyNumberFormat="1" applyBorder="1"/>
    <xf numFmtId="165" fontId="0" fillId="0" borderId="47" xfId="0" applyNumberFormat="1" applyBorder="1"/>
    <xf numFmtId="0" fontId="0" fillId="0" borderId="56" xfId="0" applyBorder="1"/>
    <xf numFmtId="0" fontId="0" fillId="0" borderId="57" xfId="0" applyBorder="1"/>
    <xf numFmtId="0" fontId="0" fillId="0" borderId="58" xfId="0" applyBorder="1"/>
    <xf numFmtId="0" fontId="0" fillId="0" borderId="86" xfId="0" applyBorder="1"/>
    <xf numFmtId="0" fontId="0" fillId="0" borderId="38" xfId="0" applyBorder="1"/>
    <xf numFmtId="0" fontId="0" fillId="0" borderId="87" xfId="0" applyBorder="1"/>
    <xf numFmtId="0" fontId="37" fillId="19" borderId="4" xfId="0" applyFont="1" applyFill="1" applyBorder="1" applyAlignment="1">
      <alignment wrapText="1"/>
    </xf>
    <xf numFmtId="0" fontId="37" fillId="17" borderId="4" xfId="3" applyFont="1" applyFill="1">
      <alignment horizontal="right"/>
    </xf>
    <xf numFmtId="0" fontId="37" fillId="19" borderId="5" xfId="0" applyFont="1" applyFill="1" applyBorder="1" applyAlignment="1">
      <alignment wrapText="1"/>
    </xf>
    <xf numFmtId="0" fontId="37" fillId="17" borderId="5" xfId="4" applyFont="1" applyFill="1">
      <alignment horizontal="right"/>
    </xf>
    <xf numFmtId="0" fontId="20" fillId="17" borderId="60" xfId="0" applyFont="1" applyFill="1" applyBorder="1" applyAlignment="1">
      <alignment horizontal="center" vertical="center"/>
    </xf>
    <xf numFmtId="170" fontId="20" fillId="17" borderId="66" xfId="0" applyNumberFormat="1" applyFont="1" applyFill="1" applyBorder="1" applyAlignment="1">
      <alignment horizontal="center" vertical="center"/>
    </xf>
    <xf numFmtId="0" fontId="20" fillId="9" borderId="61" xfId="0" applyFont="1" applyFill="1" applyBorder="1"/>
    <xf numFmtId="170" fontId="20" fillId="9" borderId="63" xfId="0" applyNumberFormat="1" applyFont="1" applyFill="1" applyBorder="1" applyAlignment="1">
      <alignment horizontal="center"/>
    </xf>
    <xf numFmtId="170" fontId="20" fillId="9" borderId="59" xfId="0" applyNumberFormat="1" applyFont="1" applyFill="1" applyBorder="1" applyAlignment="1">
      <alignment horizontal="center"/>
    </xf>
    <xf numFmtId="170" fontId="20" fillId="9" borderId="64" xfId="0" applyNumberFormat="1" applyFont="1" applyFill="1" applyBorder="1" applyAlignment="1">
      <alignment horizontal="center"/>
    </xf>
    <xf numFmtId="170" fontId="20" fillId="9" borderId="62" xfId="0" applyNumberFormat="1" applyFont="1" applyFill="1" applyBorder="1" applyAlignment="1">
      <alignment horizontal="center"/>
    </xf>
    <xf numFmtId="170" fontId="21" fillId="9" borderId="67" xfId="0" applyNumberFormat="1" applyFont="1" applyFill="1" applyBorder="1" applyAlignment="1">
      <alignment horizontal="center"/>
    </xf>
    <xf numFmtId="10" fontId="0" fillId="0" borderId="81" xfId="0" applyNumberFormat="1" applyBorder="1"/>
    <xf numFmtId="0" fontId="20" fillId="18" borderId="60" xfId="0" applyFont="1" applyFill="1" applyBorder="1" applyAlignment="1">
      <alignment horizontal="center" vertical="center"/>
    </xf>
    <xf numFmtId="170" fontId="20" fillId="18" borderId="66" xfId="0" applyNumberFormat="1" applyFont="1" applyFill="1" applyBorder="1" applyAlignment="1">
      <alignment horizontal="center" vertical="center"/>
    </xf>
    <xf numFmtId="0" fontId="19" fillId="20" borderId="8" xfId="0" applyFont="1" applyFill="1" applyBorder="1"/>
    <xf numFmtId="0" fontId="19" fillId="20" borderId="21" xfId="0" applyFont="1" applyFill="1" applyBorder="1"/>
    <xf numFmtId="0" fontId="19" fillId="20" borderId="18" xfId="0" applyFont="1" applyFill="1" applyBorder="1"/>
    <xf numFmtId="0" fontId="19" fillId="21" borderId="1" xfId="0" applyFont="1" applyFill="1" applyBorder="1"/>
    <xf numFmtId="0" fontId="19" fillId="21" borderId="2" xfId="0" applyFont="1" applyFill="1" applyBorder="1"/>
    <xf numFmtId="0" fontId="19" fillId="21" borderId="3" xfId="0" applyFont="1" applyFill="1" applyBorder="1"/>
    <xf numFmtId="1" fontId="21" fillId="17" borderId="77" xfId="0" applyNumberFormat="1" applyFont="1" applyFill="1" applyBorder="1"/>
    <xf numFmtId="1" fontId="21" fillId="17" borderId="78" xfId="0" applyNumberFormat="1" applyFont="1" applyFill="1" applyBorder="1"/>
    <xf numFmtId="1" fontId="21" fillId="17" borderId="79" xfId="0" applyNumberFormat="1" applyFont="1" applyFill="1" applyBorder="1"/>
    <xf numFmtId="0" fontId="19" fillId="16" borderId="83" xfId="0" applyFont="1" applyFill="1" applyBorder="1"/>
    <xf numFmtId="0" fontId="21" fillId="0" borderId="48" xfId="0" applyFont="1" applyBorder="1"/>
    <xf numFmtId="170" fontId="20" fillId="0" borderId="14" xfId="0" applyNumberFormat="1" applyFont="1" applyBorder="1"/>
    <xf numFmtId="0" fontId="23" fillId="0" borderId="0" xfId="0" applyFont="1"/>
    <xf numFmtId="0" fontId="19" fillId="0" borderId="0" xfId="0" applyFont="1"/>
    <xf numFmtId="0" fontId="19" fillId="16" borderId="0" xfId="0" applyFont="1" applyFill="1"/>
    <xf numFmtId="0" fontId="21" fillId="22" borderId="0" xfId="0" applyFont="1" applyFill="1"/>
    <xf numFmtId="0" fontId="21" fillId="0" borderId="17" xfId="0" applyFont="1" applyBorder="1"/>
    <xf numFmtId="0" fontId="21" fillId="10" borderId="17" xfId="0" applyFont="1" applyFill="1" applyBorder="1"/>
    <xf numFmtId="0" fontId="21" fillId="0" borderId="0" xfId="0" applyFont="1"/>
    <xf numFmtId="0" fontId="19" fillId="12" borderId="8" xfId="0" applyFont="1" applyFill="1" applyBorder="1"/>
    <xf numFmtId="10" fontId="19" fillId="12" borderId="18" xfId="0" applyNumberFormat="1" applyFont="1" applyFill="1" applyBorder="1"/>
    <xf numFmtId="0" fontId="21" fillId="14" borderId="19" xfId="0" applyFont="1" applyFill="1" applyBorder="1"/>
    <xf numFmtId="0" fontId="21" fillId="14" borderId="20" xfId="0" applyFont="1" applyFill="1" applyBorder="1" applyAlignment="1">
      <alignment horizontal="center"/>
    </xf>
    <xf numFmtId="0" fontId="21" fillId="10" borderId="10" xfId="0" applyFont="1" applyFill="1" applyBorder="1"/>
    <xf numFmtId="0" fontId="21" fillId="10" borderId="20" xfId="0" applyFont="1" applyFill="1" applyBorder="1"/>
    <xf numFmtId="0" fontId="21" fillId="3" borderId="0" xfId="0" applyFont="1" applyFill="1"/>
    <xf numFmtId="0" fontId="21" fillId="13" borderId="1" xfId="0" applyFont="1" applyFill="1" applyBorder="1"/>
    <xf numFmtId="0" fontId="38" fillId="0" borderId="0" xfId="0" applyFont="1" applyAlignment="1">
      <alignment horizontal="center"/>
    </xf>
    <xf numFmtId="2" fontId="0" fillId="0" borderId="16" xfId="0" applyNumberFormat="1" applyBorder="1"/>
    <xf numFmtId="0" fontId="39" fillId="0" borderId="0" xfId="0" applyFont="1" applyAlignment="1">
      <alignment horizontal="center" vertical="center"/>
    </xf>
    <xf numFmtId="0" fontId="0" fillId="0" borderId="90" xfId="0" applyBorder="1"/>
    <xf numFmtId="10" fontId="0" fillId="0" borderId="91" xfId="0" applyNumberFormat="1" applyBorder="1"/>
    <xf numFmtId="0" fontId="21" fillId="23" borderId="88" xfId="0" applyFont="1" applyFill="1" applyBorder="1"/>
    <xf numFmtId="0" fontId="21" fillId="23" borderId="89" xfId="0" applyFont="1" applyFill="1" applyBorder="1"/>
    <xf numFmtId="2" fontId="21" fillId="17" borderId="0" xfId="0" applyNumberFormat="1" applyFont="1" applyFill="1"/>
    <xf numFmtId="2" fontId="0" fillId="0" borderId="6" xfId="0" applyNumberFormat="1" applyBorder="1"/>
    <xf numFmtId="2" fontId="0" fillId="0" borderId="38" xfId="0" applyNumberFormat="1" applyBorder="1"/>
    <xf numFmtId="2" fontId="0" fillId="0" borderId="94" xfId="0" applyNumberFormat="1" applyBorder="1"/>
    <xf numFmtId="0" fontId="0" fillId="0" borderId="98" xfId="0" applyBorder="1"/>
    <xf numFmtId="10" fontId="0" fillId="0" borderId="99" xfId="0" applyNumberFormat="1" applyBorder="1"/>
    <xf numFmtId="0" fontId="0" fillId="0" borderId="92" xfId="0" applyBorder="1"/>
    <xf numFmtId="0" fontId="0" fillId="0" borderId="93" xfId="0" applyBorder="1"/>
    <xf numFmtId="169" fontId="21" fillId="9" borderId="0" xfId="0" applyNumberFormat="1" applyFont="1" applyFill="1"/>
    <xf numFmtId="169" fontId="21" fillId="9" borderId="38" xfId="0" applyNumberFormat="1" applyFont="1" applyFill="1" applyBorder="1"/>
    <xf numFmtId="169" fontId="21" fillId="9" borderId="6" xfId="0" applyNumberFormat="1" applyFont="1" applyFill="1" applyBorder="1"/>
    <xf numFmtId="169" fontId="21" fillId="0" borderId="0" xfId="0" applyNumberFormat="1" applyFont="1"/>
    <xf numFmtId="0" fontId="42" fillId="0" borderId="0" xfId="0" applyFont="1" applyAlignment="1">
      <alignment vertical="center"/>
    </xf>
    <xf numFmtId="0" fontId="43" fillId="0" borderId="0" xfId="0" applyFont="1" applyAlignment="1">
      <alignment vertical="center"/>
    </xf>
    <xf numFmtId="0" fontId="44" fillId="0" borderId="0" xfId="0" applyFont="1" applyAlignment="1">
      <alignment horizontal="left" vertical="center" indent="6"/>
    </xf>
    <xf numFmtId="22" fontId="46" fillId="0" borderId="0" xfId="19"/>
    <xf numFmtId="14" fontId="0" fillId="0" borderId="0" xfId="0" applyNumberFormat="1"/>
    <xf numFmtId="0" fontId="0" fillId="0" borderId="91" xfId="0" applyBorder="1" applyAlignment="1">
      <alignment horizontal="right"/>
    </xf>
    <xf numFmtId="0" fontId="0" fillId="0" borderId="101" xfId="0" applyBorder="1" applyAlignment="1">
      <alignment horizontal="right"/>
    </xf>
    <xf numFmtId="0" fontId="19" fillId="24" borderId="88" xfId="0" applyFont="1" applyFill="1" applyBorder="1"/>
    <xf numFmtId="0" fontId="19" fillId="24" borderId="89" xfId="0" applyFont="1" applyFill="1" applyBorder="1" applyAlignment="1">
      <alignment horizontal="right"/>
    </xf>
    <xf numFmtId="0" fontId="21" fillId="23" borderId="90" xfId="0" applyFont="1" applyFill="1" applyBorder="1"/>
    <xf numFmtId="0" fontId="21" fillId="23" borderId="100" xfId="0" applyFont="1" applyFill="1" applyBorder="1"/>
    <xf numFmtId="2" fontId="0" fillId="0" borderId="91" xfId="0" applyNumberFormat="1" applyBorder="1" applyAlignment="1">
      <alignment horizontal="right"/>
    </xf>
    <xf numFmtId="2" fontId="0" fillId="0" borderId="101" xfId="0" applyNumberFormat="1" applyBorder="1" applyAlignment="1">
      <alignment horizontal="right"/>
    </xf>
    <xf numFmtId="0" fontId="2" fillId="15" borderId="22" xfId="0" applyFont="1" applyFill="1" applyBorder="1" applyAlignment="1">
      <alignment horizontal="center" vertical="center" wrapText="1" readingOrder="1"/>
    </xf>
    <xf numFmtId="0" fontId="7" fillId="16" borderId="1" xfId="2" applyFill="1" applyBorder="1" applyAlignment="1">
      <alignment horizontal="center" vertical="center" readingOrder="1"/>
    </xf>
    <xf numFmtId="0" fontId="7" fillId="16" borderId="2" xfId="2" applyFill="1" applyBorder="1" applyAlignment="1">
      <alignment horizontal="center" vertical="center" readingOrder="1"/>
    </xf>
    <xf numFmtId="0" fontId="7" fillId="16" borderId="22" xfId="2" applyFill="1" applyBorder="1" applyAlignment="1">
      <alignment horizontal="center" vertical="center" readingOrder="1"/>
    </xf>
    <xf numFmtId="0" fontId="2" fillId="15" borderId="1" xfId="0" applyFont="1" applyFill="1" applyBorder="1" applyAlignment="1">
      <alignment horizontal="center" vertical="center" wrapText="1" readingOrder="1"/>
    </xf>
    <xf numFmtId="0" fontId="2" fillId="15" borderId="2" xfId="0" applyFont="1" applyFill="1" applyBorder="1" applyAlignment="1">
      <alignment horizontal="center" vertical="center" wrapText="1" readingOrder="1"/>
    </xf>
    <xf numFmtId="0" fontId="17" fillId="15" borderId="39" xfId="0" applyFont="1" applyFill="1" applyBorder="1" applyAlignment="1">
      <alignment horizontal="center" vertical="center"/>
    </xf>
    <xf numFmtId="0" fontId="17" fillId="15" borderId="40" xfId="0" applyFont="1" applyFill="1" applyBorder="1" applyAlignment="1">
      <alignment horizontal="center" vertical="center"/>
    </xf>
    <xf numFmtId="0" fontId="17" fillId="15" borderId="41" xfId="0" applyFont="1" applyFill="1" applyBorder="1" applyAlignment="1">
      <alignment horizontal="center" vertical="center"/>
    </xf>
    <xf numFmtId="0" fontId="17" fillId="15" borderId="42" xfId="0" applyFont="1" applyFill="1" applyBorder="1" applyAlignment="1">
      <alignment horizontal="center" vertical="center"/>
    </xf>
    <xf numFmtId="0" fontId="17" fillId="15" borderId="15" xfId="0" applyFont="1" applyFill="1" applyBorder="1" applyAlignment="1">
      <alignment horizontal="center" vertical="center"/>
    </xf>
    <xf numFmtId="0" fontId="17" fillId="15" borderId="43" xfId="0" applyFont="1" applyFill="1" applyBorder="1" applyAlignment="1">
      <alignment horizontal="center" vertical="center"/>
    </xf>
    <xf numFmtId="0" fontId="19" fillId="18" borderId="44" xfId="0" applyFont="1" applyFill="1" applyBorder="1" applyAlignment="1">
      <alignment horizontal="center" vertical="center"/>
    </xf>
    <xf numFmtId="0" fontId="19" fillId="18" borderId="0" xfId="0" applyFont="1" applyFill="1" applyAlignment="1">
      <alignment horizontal="center" vertical="center"/>
    </xf>
    <xf numFmtId="0" fontId="19" fillId="18" borderId="45" xfId="0" applyFont="1" applyFill="1" applyBorder="1" applyAlignment="1">
      <alignment horizontal="center" vertical="center"/>
    </xf>
    <xf numFmtId="170" fontId="20" fillId="17" borderId="65" xfId="0" applyNumberFormat="1" applyFont="1" applyFill="1" applyBorder="1" applyAlignment="1">
      <alignment horizontal="center"/>
    </xf>
    <xf numFmtId="170" fontId="20" fillId="17" borderId="26" xfId="0" applyNumberFormat="1" applyFont="1" applyFill="1" applyBorder="1" applyAlignment="1">
      <alignment horizontal="center"/>
    </xf>
    <xf numFmtId="170" fontId="20" fillId="17" borderId="27" xfId="0" applyNumberFormat="1" applyFont="1" applyFill="1" applyBorder="1" applyAlignment="1">
      <alignment horizontal="center"/>
    </xf>
    <xf numFmtId="0" fontId="19" fillId="18" borderId="70" xfId="0" applyFont="1" applyFill="1" applyBorder="1" applyAlignment="1">
      <alignment horizontal="center" vertical="center"/>
    </xf>
    <xf numFmtId="0" fontId="19" fillId="18" borderId="72" xfId="0" applyFont="1" applyFill="1" applyBorder="1" applyAlignment="1">
      <alignment horizontal="center" vertical="center"/>
    </xf>
    <xf numFmtId="0" fontId="19" fillId="18" borderId="71" xfId="0" applyFont="1" applyFill="1" applyBorder="1" applyAlignment="1">
      <alignment horizontal="center" vertical="center"/>
    </xf>
    <xf numFmtId="170" fontId="20" fillId="17" borderId="25" xfId="0" applyNumberFormat="1" applyFont="1" applyFill="1" applyBorder="1" applyAlignment="1">
      <alignment horizontal="center" vertical="center"/>
    </xf>
    <xf numFmtId="170" fontId="20" fillId="17" borderId="26" xfId="0" applyNumberFormat="1" applyFont="1" applyFill="1" applyBorder="1" applyAlignment="1">
      <alignment horizontal="center" vertical="center"/>
    </xf>
    <xf numFmtId="170" fontId="20" fillId="17" borderId="27" xfId="0" applyNumberFormat="1" applyFont="1" applyFill="1" applyBorder="1" applyAlignment="1">
      <alignment horizontal="center" vertical="center"/>
    </xf>
    <xf numFmtId="0" fontId="18" fillId="0" borderId="0" xfId="0" applyFont="1" applyAlignment="1">
      <alignment horizontal="left" wrapText="1"/>
    </xf>
    <xf numFmtId="0" fontId="19" fillId="16" borderId="74" xfId="0" applyFont="1" applyFill="1" applyBorder="1" applyAlignment="1">
      <alignment horizontal="center"/>
    </xf>
    <xf numFmtId="0" fontId="19" fillId="16" borderId="75" xfId="0" applyFont="1" applyFill="1" applyBorder="1" applyAlignment="1">
      <alignment horizontal="center"/>
    </xf>
    <xf numFmtId="0" fontId="19" fillId="16" borderId="76" xfId="0" applyFont="1" applyFill="1" applyBorder="1" applyAlignment="1">
      <alignment horizontal="center"/>
    </xf>
    <xf numFmtId="170" fontId="20" fillId="18" borderId="84" xfId="0" applyNumberFormat="1" applyFont="1" applyFill="1" applyBorder="1" applyAlignment="1">
      <alignment horizontal="center" vertical="center"/>
    </xf>
    <xf numFmtId="170" fontId="20" fillId="18" borderId="2" xfId="0" applyNumberFormat="1" applyFont="1" applyFill="1" applyBorder="1" applyAlignment="1">
      <alignment horizontal="center" vertical="center"/>
    </xf>
    <xf numFmtId="170" fontId="20" fillId="18" borderId="85" xfId="0" applyNumberFormat="1" applyFont="1" applyFill="1" applyBorder="1" applyAlignment="1">
      <alignment horizontal="center" vertical="center"/>
    </xf>
    <xf numFmtId="170" fontId="20" fillId="18" borderId="2" xfId="0" applyNumberFormat="1" applyFont="1" applyFill="1" applyBorder="1" applyAlignment="1">
      <alignment horizontal="center"/>
    </xf>
    <xf numFmtId="170" fontId="20" fillId="18" borderId="85" xfId="0" applyNumberFormat="1" applyFont="1" applyFill="1" applyBorder="1" applyAlignment="1">
      <alignment horizontal="center"/>
    </xf>
    <xf numFmtId="0" fontId="20" fillId="17" borderId="15" xfId="0" applyFont="1" applyFill="1" applyBorder="1" applyAlignment="1">
      <alignment horizontal="center"/>
    </xf>
    <xf numFmtId="0" fontId="40" fillId="0" borderId="0" xfId="0" applyFont="1" applyAlignment="1">
      <alignment horizontal="center" vertical="center"/>
    </xf>
    <xf numFmtId="0" fontId="41" fillId="24" borderId="0" xfId="0" applyFont="1" applyFill="1" applyAlignment="1">
      <alignment horizontal="center" vertical="center"/>
    </xf>
    <xf numFmtId="0" fontId="21" fillId="0" borderId="48" xfId="0" applyFont="1" applyBorder="1" applyAlignment="1">
      <alignment horizontal="center"/>
    </xf>
    <xf numFmtId="0" fontId="21" fillId="0" borderId="23" xfId="0" applyFont="1" applyBorder="1" applyAlignment="1">
      <alignment horizontal="center"/>
    </xf>
    <xf numFmtId="0" fontId="21" fillId="0" borderId="31" xfId="0" applyFont="1" applyBorder="1" applyAlignment="1">
      <alignment horizontal="center"/>
    </xf>
    <xf numFmtId="0" fontId="21" fillId="0" borderId="97" xfId="0" applyFont="1" applyBorder="1" applyAlignment="1">
      <alignment horizontal="center" vertical="center" wrapText="1"/>
    </xf>
    <xf numFmtId="0" fontId="21" fillId="0" borderId="95" xfId="0" applyFont="1" applyBorder="1" applyAlignment="1">
      <alignment horizontal="center" vertical="center" wrapText="1"/>
    </xf>
    <xf numFmtId="0" fontId="21" fillId="0" borderId="96" xfId="0" applyFont="1" applyBorder="1" applyAlignment="1">
      <alignment horizontal="center" vertical="center" wrapText="1"/>
    </xf>
    <xf numFmtId="0" fontId="21" fillId="13" borderId="2" xfId="0" applyFont="1" applyFill="1" applyBorder="1" applyAlignment="1">
      <alignment horizontal="center"/>
    </xf>
    <xf numFmtId="0" fontId="21" fillId="13" borderId="3" xfId="0" applyFont="1" applyFill="1" applyBorder="1" applyAlignment="1">
      <alignment horizontal="center"/>
    </xf>
    <xf numFmtId="0" fontId="19" fillId="21" borderId="8" xfId="0" applyFont="1" applyFill="1" applyBorder="1" applyAlignment="1">
      <alignment horizontal="center"/>
    </xf>
    <xf numFmtId="0" fontId="19" fillId="21" borderId="21" xfId="0" applyFont="1" applyFill="1" applyBorder="1" applyAlignment="1">
      <alignment horizontal="center"/>
    </xf>
    <xf numFmtId="0" fontId="19" fillId="21" borderId="18" xfId="0" applyFont="1" applyFill="1" applyBorder="1" applyAlignment="1">
      <alignment horizontal="center"/>
    </xf>
    <xf numFmtId="0" fontId="30" fillId="20" borderId="0" xfId="0" applyFont="1" applyFill="1" applyAlignment="1">
      <alignment horizontal="center"/>
    </xf>
    <xf numFmtId="0" fontId="31" fillId="21" borderId="0" xfId="0" applyFont="1" applyFill="1" applyAlignment="1">
      <alignment horizontal="center" wrapText="1"/>
    </xf>
    <xf numFmtId="0" fontId="21" fillId="22" borderId="0" xfId="0" applyFont="1" applyFill="1" applyAlignment="1">
      <alignment horizontal="center"/>
    </xf>
    <xf numFmtId="0" fontId="21" fillId="17" borderId="0" xfId="0" applyFont="1" applyFill="1" applyAlignment="1">
      <alignment horizontal="center"/>
    </xf>
    <xf numFmtId="0" fontId="21" fillId="9" borderId="0" xfId="0" applyFont="1" applyFill="1" applyAlignment="1">
      <alignment horizontal="center"/>
    </xf>
  </cellXfs>
  <cellStyles count="20">
    <cellStyle name="blp_column_header" xfId="17" xr:uid="{F0AE5D26-DAE8-4900-959A-2F8852BC3B51}"/>
    <cellStyle name="blp_datetime" xfId="19" xr:uid="{5922D977-BFD2-4A5E-845C-1D474F1A2DA7}"/>
    <cellStyle name="blp_title_header_row_left" xfId="2" xr:uid="{AD1A83CB-8690-443B-82AA-B82616D7BBF9}"/>
    <cellStyle name="fa_column_header_bottom" xfId="4" xr:uid="{10775E3A-0015-4D14-BF22-E123F4C8F8B0}"/>
    <cellStyle name="fa_column_header_top" xfId="3" xr:uid="{3C044281-D029-4F07-BA58-661D0E32B023}"/>
    <cellStyle name="fa_data_bold_0_grouped" xfId="6" xr:uid="{4BCB9DF0-E7E8-42D7-92B4-D87510096392}"/>
    <cellStyle name="fa_data_bold_1_grouped" xfId="9" xr:uid="{45712021-772B-4C6B-883C-055B13EB99A1}"/>
    <cellStyle name="fa_data_bold_2_grouped" xfId="16" xr:uid="{FE357BF0-4ACF-4F96-B52A-E9700C787825}"/>
    <cellStyle name="fa_data_italic_1_grouped" xfId="11" xr:uid="{45141543-D148-4B61-960E-5BBFE6878D49}"/>
    <cellStyle name="fa_data_italic_2_grouped" xfId="18" xr:uid="{5BE5626B-F01C-4D47-96EE-9147E5AFE1ED}"/>
    <cellStyle name="fa_data_standard_0_grouped" xfId="12" xr:uid="{C420AACD-C5FD-4DD4-9123-48614C0495C6}"/>
    <cellStyle name="fa_data_standard_1_grouped" xfId="8" xr:uid="{308A8668-E9E2-4F8B-ACD7-B1ADB926B626}"/>
    <cellStyle name="fa_data_standard_2_grouped" xfId="13" xr:uid="{D02B452B-5B6F-4335-976C-94241E49F5A9}"/>
    <cellStyle name="fa_footer_italic" xfId="14" xr:uid="{AB5BE887-29DE-4F4A-A995-3DA00BD56FF5}"/>
    <cellStyle name="fa_row_header_bold" xfId="5" xr:uid="{09434936-FC50-45DA-BB3C-A48810A3148B}"/>
    <cellStyle name="fa_row_header_italic" xfId="10" xr:uid="{B2ECBB04-38C0-40DA-B50D-C043A0966B09}"/>
    <cellStyle name="fa_row_header_standard" xfId="7" xr:uid="{FDA24EE3-44A8-4B0D-AEE4-CDA94BFC604F}"/>
    <cellStyle name="Hyperlink" xfId="1" builtinId="8"/>
    <cellStyle name="Normal" xfId="0" builtinId="0"/>
    <cellStyle name="Percent" xfId="15" builtinId="5"/>
  </cellStyles>
  <dxfs count="3">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SCENARIO ANALYSIS</a:t>
            </a:r>
          </a:p>
        </c:rich>
      </c:tx>
      <c:layout>
        <c:manualLayout>
          <c:xMode val="edge"/>
          <c:yMode val="edge"/>
          <c:x val="0.36129975593413366"/>
          <c:y val="3.40911368289123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'Scenario Analysis'!$F$7</c:f>
              <c:strCache>
                <c:ptCount val="1"/>
                <c:pt idx="0">
                  <c:v>Intrinsic Value</c:v>
                </c:pt>
              </c:strCache>
            </c:strRef>
          </c:tx>
          <c:spPr>
            <a:solidFill>
              <a:srgbClr val="3C7D22"/>
            </a:solidFill>
            <a:ln>
              <a:solidFill>
                <a:srgbClr val="3C7D22"/>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'Scenario Analysis'!$B$8:$B$12</c:f>
              <c:strCache>
                <c:ptCount val="5"/>
                <c:pt idx="0">
                  <c:v>Base</c:v>
                </c:pt>
                <c:pt idx="1">
                  <c:v>Bull</c:v>
                </c:pt>
                <c:pt idx="2">
                  <c:v>Bear</c:v>
                </c:pt>
                <c:pt idx="3">
                  <c:v>Stress</c:v>
                </c:pt>
                <c:pt idx="4">
                  <c:v>Aggressive</c:v>
                </c:pt>
              </c:strCache>
            </c:strRef>
          </c:cat>
          <c:val>
            <c:numRef>
              <c:f>'Scenario Analysis'!$F$8:$F$12</c:f>
              <c:numCache>
                <c:formatCode>General</c:formatCode>
                <c:ptCount val="5"/>
                <c:pt idx="0" formatCode="0.00">
                  <c:v>86.7</c:v>
                </c:pt>
                <c:pt idx="1">
                  <c:v>143.41999999999999</c:v>
                </c:pt>
                <c:pt idx="2">
                  <c:v>69.209999999999994</c:v>
                </c:pt>
                <c:pt idx="3">
                  <c:v>56.78</c:v>
                </c:pt>
                <c:pt idx="4">
                  <c:v>95.19</c:v>
                </c:pt>
              </c:numCache>
            </c:numRef>
          </c:val>
          <c:extLst>
            <c:ext xmlns:c16="http://schemas.microsoft.com/office/drawing/2014/chart" uri="{C3380CC4-5D6E-409C-BE32-E72D297353CC}">
              <c16:uniqueId val="{00000007-2DEB-4887-98FB-24AE4C60B2E1}"/>
            </c:ext>
          </c:extLst>
        </c:ser>
        <c:dLbls>
          <c:showLegendKey val="0"/>
          <c:showVal val="0"/>
          <c:showCatName val="0"/>
          <c:showSerName val="0"/>
          <c:showPercent val="0"/>
          <c:showBubbleSize val="0"/>
        </c:dLbls>
        <c:gapWidth val="150"/>
        <c:axId val="791174664"/>
        <c:axId val="791202824"/>
      </c:barChart>
      <c:lineChart>
        <c:grouping val="standard"/>
        <c:varyColors val="0"/>
        <c:ser>
          <c:idx val="0"/>
          <c:order val="0"/>
          <c:tx>
            <c:strRef>
              <c:f>'Scenario Analysis'!$C$7</c:f>
              <c:strCache>
                <c:ptCount val="1"/>
                <c:pt idx="0">
                  <c:v>WACC</c:v>
                </c:pt>
              </c:strCache>
            </c:strRef>
          </c:tx>
          <c:spPr>
            <a:ln w="28575" cap="rnd">
              <a:solidFill>
                <a:srgbClr val="637CEF"/>
              </a:solidFill>
              <a:round/>
            </a:ln>
            <a:effectLst/>
          </c:spPr>
          <c:marker>
            <c:symbol val="none"/>
          </c:marker>
          <c:cat>
            <c:strRef>
              <c:f>'Scenario Analysis'!$B$8:$B$12</c:f>
              <c:strCache>
                <c:ptCount val="5"/>
                <c:pt idx="0">
                  <c:v>Base</c:v>
                </c:pt>
                <c:pt idx="1">
                  <c:v>Bull</c:v>
                </c:pt>
                <c:pt idx="2">
                  <c:v>Bear</c:v>
                </c:pt>
                <c:pt idx="3">
                  <c:v>Stress</c:v>
                </c:pt>
                <c:pt idx="4">
                  <c:v>Aggressive</c:v>
                </c:pt>
              </c:strCache>
            </c:strRef>
          </c:cat>
          <c:val>
            <c:numRef>
              <c:f>'Scenario Analysis'!$C$8:$C$12</c:f>
              <c:numCache>
                <c:formatCode>0.00%</c:formatCode>
                <c:ptCount val="5"/>
                <c:pt idx="0">
                  <c:v>8.4900000000000003E-2</c:v>
                </c:pt>
                <c:pt idx="1">
                  <c:v>0.08</c:v>
                </c:pt>
                <c:pt idx="2">
                  <c:v>0.09</c:v>
                </c:pt>
                <c:pt idx="3">
                  <c:v>9.5000000000000001E-2</c:v>
                </c:pt>
                <c:pt idx="4">
                  <c:v>8.7499999999999994E-2</c:v>
                </c:pt>
              </c:numCache>
            </c:numRef>
          </c:val>
          <c:smooth val="0"/>
          <c:extLst>
            <c:ext xmlns:c16="http://schemas.microsoft.com/office/drawing/2014/chart" uri="{C3380CC4-5D6E-409C-BE32-E72D297353CC}">
              <c16:uniqueId val="{00000003-2DEB-4887-98FB-24AE4C60B2E1}"/>
            </c:ext>
          </c:extLst>
        </c:ser>
        <c:ser>
          <c:idx val="1"/>
          <c:order val="1"/>
          <c:tx>
            <c:strRef>
              <c:f>'Scenario Analysis'!$D$7</c:f>
              <c:strCache>
                <c:ptCount val="1"/>
                <c:pt idx="0">
                  <c:v>Terminal g</c:v>
                </c:pt>
              </c:strCache>
            </c:strRef>
          </c:tx>
          <c:spPr>
            <a:ln w="28575" cap="rnd">
              <a:solidFill>
                <a:srgbClr val="E3008C"/>
              </a:solidFill>
              <a:round/>
            </a:ln>
            <a:effectLst/>
          </c:spPr>
          <c:marker>
            <c:symbol val="none"/>
          </c:marker>
          <c:cat>
            <c:strRef>
              <c:f>'Scenario Analysis'!$B$8:$B$12</c:f>
              <c:strCache>
                <c:ptCount val="5"/>
                <c:pt idx="0">
                  <c:v>Base</c:v>
                </c:pt>
                <c:pt idx="1">
                  <c:v>Bull</c:v>
                </c:pt>
                <c:pt idx="2">
                  <c:v>Bear</c:v>
                </c:pt>
                <c:pt idx="3">
                  <c:v>Stress</c:v>
                </c:pt>
                <c:pt idx="4">
                  <c:v>Aggressive</c:v>
                </c:pt>
              </c:strCache>
            </c:strRef>
          </c:cat>
          <c:val>
            <c:numRef>
              <c:f>'Scenario Analysis'!$D$8:$D$12</c:f>
              <c:numCache>
                <c:formatCode>0.00%</c:formatCode>
                <c:ptCount val="5"/>
                <c:pt idx="0">
                  <c:v>3.5000000000000003E-2</c:v>
                </c:pt>
                <c:pt idx="1">
                  <c:v>0.05</c:v>
                </c:pt>
                <c:pt idx="2">
                  <c:v>0.03</c:v>
                </c:pt>
                <c:pt idx="3">
                  <c:v>2.5000000000000001E-2</c:v>
                </c:pt>
                <c:pt idx="4">
                  <c:v>4.4999999999999998E-2</c:v>
                </c:pt>
              </c:numCache>
            </c:numRef>
          </c:val>
          <c:smooth val="0"/>
          <c:extLst>
            <c:ext xmlns:c16="http://schemas.microsoft.com/office/drawing/2014/chart" uri="{C3380CC4-5D6E-409C-BE32-E72D297353CC}">
              <c16:uniqueId val="{00000005-2DEB-4887-98FB-24AE4C60B2E1}"/>
            </c:ext>
          </c:extLst>
        </c:ser>
        <c:dLbls>
          <c:showLegendKey val="0"/>
          <c:showVal val="0"/>
          <c:showCatName val="0"/>
          <c:showSerName val="0"/>
          <c:showPercent val="0"/>
          <c:showBubbleSize val="0"/>
        </c:dLbls>
        <c:marker val="1"/>
        <c:smooth val="0"/>
        <c:axId val="1074724360"/>
        <c:axId val="1074721288"/>
      </c:lineChart>
      <c:catAx>
        <c:axId val="791174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202824"/>
        <c:crosses val="autoZero"/>
        <c:auto val="1"/>
        <c:lblAlgn val="ctr"/>
        <c:lblOffset val="100"/>
        <c:noMultiLvlLbl val="0"/>
      </c:catAx>
      <c:valAx>
        <c:axId val="791202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74664"/>
        <c:crosses val="autoZero"/>
        <c:crossBetween val="between"/>
      </c:valAx>
      <c:valAx>
        <c:axId val="10747212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724360"/>
        <c:crosses val="max"/>
        <c:crossBetween val="between"/>
      </c:valAx>
      <c:catAx>
        <c:axId val="1074724360"/>
        <c:scaling>
          <c:orientation val="minMax"/>
        </c:scaling>
        <c:delete val="1"/>
        <c:axPos val="b"/>
        <c:numFmt formatCode="General" sourceLinked="1"/>
        <c:majorTickMark val="out"/>
        <c:minorTickMark val="none"/>
        <c:tickLblPos val="nextTo"/>
        <c:crossAx val="10747212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STARBUCKS</a:t>
            </a:r>
            <a:r>
              <a:rPr lang="en-IN" b="1" baseline="0"/>
              <a:t> 10 YEAR PRICE CHART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6">
                  <a:lumMod val="50000"/>
                </a:schemeClr>
              </a:solidFill>
              <a:round/>
            </a:ln>
            <a:effectLst/>
          </c:spPr>
          <c:marker>
            <c:symbol val="none"/>
          </c:marker>
          <c:dPt>
            <c:idx val="2257"/>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1-AC87-44E8-BE92-CFDA2D0F50C5}"/>
              </c:ext>
            </c:extLst>
          </c:dPt>
          <c:cat>
            <c:numRef>
              <c:f>[1]Sheet1!$A$9:$A$2712</c:f>
              <c:numCache>
                <c:formatCode>General</c:formatCode>
                <c:ptCount val="2704"/>
                <c:pt idx="0">
                  <c:v>45932</c:v>
                </c:pt>
                <c:pt idx="1">
                  <c:v>45931</c:v>
                </c:pt>
                <c:pt idx="2">
                  <c:v>45930</c:v>
                </c:pt>
                <c:pt idx="3">
                  <c:v>45929</c:v>
                </c:pt>
                <c:pt idx="4">
                  <c:v>45926</c:v>
                </c:pt>
                <c:pt idx="5">
                  <c:v>45925</c:v>
                </c:pt>
                <c:pt idx="6">
                  <c:v>45924</c:v>
                </c:pt>
                <c:pt idx="7">
                  <c:v>45923</c:v>
                </c:pt>
                <c:pt idx="8">
                  <c:v>45922</c:v>
                </c:pt>
                <c:pt idx="9">
                  <c:v>45919</c:v>
                </c:pt>
                <c:pt idx="10">
                  <c:v>45918</c:v>
                </c:pt>
                <c:pt idx="11">
                  <c:v>45917</c:v>
                </c:pt>
                <c:pt idx="12">
                  <c:v>45916</c:v>
                </c:pt>
                <c:pt idx="13">
                  <c:v>45915</c:v>
                </c:pt>
                <c:pt idx="14">
                  <c:v>45912</c:v>
                </c:pt>
                <c:pt idx="15">
                  <c:v>45911</c:v>
                </c:pt>
                <c:pt idx="16">
                  <c:v>45910</c:v>
                </c:pt>
                <c:pt idx="17">
                  <c:v>45909</c:v>
                </c:pt>
                <c:pt idx="18">
                  <c:v>45908</c:v>
                </c:pt>
                <c:pt idx="19">
                  <c:v>45905</c:v>
                </c:pt>
                <c:pt idx="20">
                  <c:v>45904</c:v>
                </c:pt>
                <c:pt idx="21">
                  <c:v>45903</c:v>
                </c:pt>
                <c:pt idx="22">
                  <c:v>45902</c:v>
                </c:pt>
                <c:pt idx="23">
                  <c:v>45898</c:v>
                </c:pt>
                <c:pt idx="24">
                  <c:v>45897</c:v>
                </c:pt>
                <c:pt idx="25">
                  <c:v>45896</c:v>
                </c:pt>
                <c:pt idx="26">
                  <c:v>45895</c:v>
                </c:pt>
                <c:pt idx="27">
                  <c:v>45894</c:v>
                </c:pt>
                <c:pt idx="28">
                  <c:v>45891</c:v>
                </c:pt>
                <c:pt idx="29">
                  <c:v>45890</c:v>
                </c:pt>
                <c:pt idx="30">
                  <c:v>45889</c:v>
                </c:pt>
                <c:pt idx="31">
                  <c:v>45888</c:v>
                </c:pt>
                <c:pt idx="32">
                  <c:v>45887</c:v>
                </c:pt>
                <c:pt idx="33">
                  <c:v>45884</c:v>
                </c:pt>
                <c:pt idx="34">
                  <c:v>45883</c:v>
                </c:pt>
                <c:pt idx="35">
                  <c:v>45882</c:v>
                </c:pt>
                <c:pt idx="36">
                  <c:v>45881</c:v>
                </c:pt>
                <c:pt idx="37">
                  <c:v>45880</c:v>
                </c:pt>
                <c:pt idx="38">
                  <c:v>45877</c:v>
                </c:pt>
                <c:pt idx="39">
                  <c:v>45876</c:v>
                </c:pt>
                <c:pt idx="40">
                  <c:v>45875</c:v>
                </c:pt>
                <c:pt idx="41">
                  <c:v>45874</c:v>
                </c:pt>
                <c:pt idx="42">
                  <c:v>45873</c:v>
                </c:pt>
                <c:pt idx="43">
                  <c:v>45870</c:v>
                </c:pt>
                <c:pt idx="44">
                  <c:v>45869</c:v>
                </c:pt>
                <c:pt idx="45">
                  <c:v>45868</c:v>
                </c:pt>
                <c:pt idx="46">
                  <c:v>45867</c:v>
                </c:pt>
                <c:pt idx="47">
                  <c:v>45866</c:v>
                </c:pt>
                <c:pt idx="48">
                  <c:v>45863</c:v>
                </c:pt>
                <c:pt idx="49">
                  <c:v>45862</c:v>
                </c:pt>
                <c:pt idx="50">
                  <c:v>45861</c:v>
                </c:pt>
                <c:pt idx="51">
                  <c:v>45860</c:v>
                </c:pt>
                <c:pt idx="52">
                  <c:v>45859</c:v>
                </c:pt>
                <c:pt idx="53">
                  <c:v>45856</c:v>
                </c:pt>
                <c:pt idx="54">
                  <c:v>45855</c:v>
                </c:pt>
                <c:pt idx="55">
                  <c:v>45854</c:v>
                </c:pt>
                <c:pt idx="56">
                  <c:v>45853</c:v>
                </c:pt>
                <c:pt idx="57">
                  <c:v>45852</c:v>
                </c:pt>
                <c:pt idx="58">
                  <c:v>45849</c:v>
                </c:pt>
                <c:pt idx="59">
                  <c:v>45848</c:v>
                </c:pt>
                <c:pt idx="60">
                  <c:v>45847</c:v>
                </c:pt>
                <c:pt idx="61">
                  <c:v>45846</c:v>
                </c:pt>
                <c:pt idx="62">
                  <c:v>45845</c:v>
                </c:pt>
                <c:pt idx="63">
                  <c:v>45841</c:v>
                </c:pt>
                <c:pt idx="64">
                  <c:v>45840</c:v>
                </c:pt>
                <c:pt idx="65">
                  <c:v>45839</c:v>
                </c:pt>
                <c:pt idx="66">
                  <c:v>45838</c:v>
                </c:pt>
                <c:pt idx="67">
                  <c:v>45835</c:v>
                </c:pt>
                <c:pt idx="68">
                  <c:v>45834</c:v>
                </c:pt>
                <c:pt idx="69">
                  <c:v>45833</c:v>
                </c:pt>
                <c:pt idx="70">
                  <c:v>45832</c:v>
                </c:pt>
                <c:pt idx="71">
                  <c:v>45831</c:v>
                </c:pt>
                <c:pt idx="72">
                  <c:v>45828</c:v>
                </c:pt>
                <c:pt idx="73">
                  <c:v>45826</c:v>
                </c:pt>
                <c:pt idx="74">
                  <c:v>45825</c:v>
                </c:pt>
                <c:pt idx="75">
                  <c:v>45824</c:v>
                </c:pt>
                <c:pt idx="76">
                  <c:v>45821</c:v>
                </c:pt>
                <c:pt idx="77">
                  <c:v>45820</c:v>
                </c:pt>
                <c:pt idx="78">
                  <c:v>45819</c:v>
                </c:pt>
                <c:pt idx="79">
                  <c:v>45818</c:v>
                </c:pt>
                <c:pt idx="80">
                  <c:v>45817</c:v>
                </c:pt>
                <c:pt idx="81">
                  <c:v>45814</c:v>
                </c:pt>
                <c:pt idx="82">
                  <c:v>45813</c:v>
                </c:pt>
                <c:pt idx="83">
                  <c:v>45812</c:v>
                </c:pt>
                <c:pt idx="84">
                  <c:v>45811</c:v>
                </c:pt>
                <c:pt idx="85">
                  <c:v>45810</c:v>
                </c:pt>
                <c:pt idx="86">
                  <c:v>45807</c:v>
                </c:pt>
                <c:pt idx="87">
                  <c:v>45806</c:v>
                </c:pt>
                <c:pt idx="88">
                  <c:v>45805</c:v>
                </c:pt>
                <c:pt idx="89">
                  <c:v>45804</c:v>
                </c:pt>
                <c:pt idx="90">
                  <c:v>45800</c:v>
                </c:pt>
                <c:pt idx="91">
                  <c:v>45799</c:v>
                </c:pt>
                <c:pt idx="92">
                  <c:v>45798</c:v>
                </c:pt>
                <c:pt idx="93">
                  <c:v>45797</c:v>
                </c:pt>
                <c:pt idx="94">
                  <c:v>45796</c:v>
                </c:pt>
                <c:pt idx="95">
                  <c:v>45793</c:v>
                </c:pt>
                <c:pt idx="96">
                  <c:v>45792</c:v>
                </c:pt>
                <c:pt idx="97">
                  <c:v>45791</c:v>
                </c:pt>
                <c:pt idx="98">
                  <c:v>45790</c:v>
                </c:pt>
                <c:pt idx="99">
                  <c:v>45789</c:v>
                </c:pt>
                <c:pt idx="100">
                  <c:v>45786</c:v>
                </c:pt>
                <c:pt idx="101">
                  <c:v>45785</c:v>
                </c:pt>
                <c:pt idx="102">
                  <c:v>45784</c:v>
                </c:pt>
                <c:pt idx="103">
                  <c:v>45783</c:v>
                </c:pt>
                <c:pt idx="104">
                  <c:v>45782</c:v>
                </c:pt>
                <c:pt idx="105">
                  <c:v>45779</c:v>
                </c:pt>
                <c:pt idx="106">
                  <c:v>45778</c:v>
                </c:pt>
                <c:pt idx="107">
                  <c:v>45777</c:v>
                </c:pt>
                <c:pt idx="108">
                  <c:v>45776</c:v>
                </c:pt>
                <c:pt idx="109">
                  <c:v>45775</c:v>
                </c:pt>
                <c:pt idx="110">
                  <c:v>45772</c:v>
                </c:pt>
                <c:pt idx="111">
                  <c:v>45771</c:v>
                </c:pt>
                <c:pt idx="112">
                  <c:v>45770</c:v>
                </c:pt>
                <c:pt idx="113">
                  <c:v>45769</c:v>
                </c:pt>
                <c:pt idx="114">
                  <c:v>45768</c:v>
                </c:pt>
                <c:pt idx="115">
                  <c:v>45764</c:v>
                </c:pt>
                <c:pt idx="116">
                  <c:v>45763</c:v>
                </c:pt>
                <c:pt idx="117">
                  <c:v>45762</c:v>
                </c:pt>
                <c:pt idx="118">
                  <c:v>45761</c:v>
                </c:pt>
                <c:pt idx="119">
                  <c:v>45758</c:v>
                </c:pt>
                <c:pt idx="120">
                  <c:v>45757</c:v>
                </c:pt>
                <c:pt idx="121">
                  <c:v>45756</c:v>
                </c:pt>
                <c:pt idx="122">
                  <c:v>45755</c:v>
                </c:pt>
                <c:pt idx="123">
                  <c:v>45754</c:v>
                </c:pt>
                <c:pt idx="124">
                  <c:v>45751</c:v>
                </c:pt>
                <c:pt idx="125">
                  <c:v>45750</c:v>
                </c:pt>
                <c:pt idx="126">
                  <c:v>45749</c:v>
                </c:pt>
                <c:pt idx="127">
                  <c:v>45748</c:v>
                </c:pt>
                <c:pt idx="128">
                  <c:v>45747</c:v>
                </c:pt>
                <c:pt idx="129">
                  <c:v>45744</c:v>
                </c:pt>
                <c:pt idx="130">
                  <c:v>45743</c:v>
                </c:pt>
                <c:pt idx="131">
                  <c:v>45742</c:v>
                </c:pt>
                <c:pt idx="132">
                  <c:v>45741</c:v>
                </c:pt>
                <c:pt idx="133">
                  <c:v>45740</c:v>
                </c:pt>
                <c:pt idx="134">
                  <c:v>45737</c:v>
                </c:pt>
                <c:pt idx="135">
                  <c:v>45736</c:v>
                </c:pt>
                <c:pt idx="136">
                  <c:v>45735</c:v>
                </c:pt>
                <c:pt idx="137">
                  <c:v>45734</c:v>
                </c:pt>
                <c:pt idx="138">
                  <c:v>45733</c:v>
                </c:pt>
                <c:pt idx="139">
                  <c:v>45730</c:v>
                </c:pt>
                <c:pt idx="140">
                  <c:v>45729</c:v>
                </c:pt>
                <c:pt idx="141">
                  <c:v>45728</c:v>
                </c:pt>
                <c:pt idx="142">
                  <c:v>45727</c:v>
                </c:pt>
                <c:pt idx="143">
                  <c:v>45726</c:v>
                </c:pt>
                <c:pt idx="144">
                  <c:v>45723</c:v>
                </c:pt>
                <c:pt idx="145">
                  <c:v>45722</c:v>
                </c:pt>
                <c:pt idx="146">
                  <c:v>45721</c:v>
                </c:pt>
                <c:pt idx="147">
                  <c:v>45720</c:v>
                </c:pt>
                <c:pt idx="148">
                  <c:v>45719</c:v>
                </c:pt>
                <c:pt idx="149">
                  <c:v>45716</c:v>
                </c:pt>
                <c:pt idx="150">
                  <c:v>45715</c:v>
                </c:pt>
                <c:pt idx="151">
                  <c:v>45714</c:v>
                </c:pt>
                <c:pt idx="152">
                  <c:v>45713</c:v>
                </c:pt>
                <c:pt idx="153">
                  <c:v>45712</c:v>
                </c:pt>
                <c:pt idx="154">
                  <c:v>45709</c:v>
                </c:pt>
                <c:pt idx="155">
                  <c:v>45708</c:v>
                </c:pt>
                <c:pt idx="156">
                  <c:v>45707</c:v>
                </c:pt>
                <c:pt idx="157">
                  <c:v>45706</c:v>
                </c:pt>
                <c:pt idx="158">
                  <c:v>45702</c:v>
                </c:pt>
                <c:pt idx="159">
                  <c:v>45701</c:v>
                </c:pt>
                <c:pt idx="160">
                  <c:v>45700</c:v>
                </c:pt>
                <c:pt idx="161">
                  <c:v>45699</c:v>
                </c:pt>
                <c:pt idx="162">
                  <c:v>45698</c:v>
                </c:pt>
                <c:pt idx="163">
                  <c:v>45695</c:v>
                </c:pt>
                <c:pt idx="164">
                  <c:v>45694</c:v>
                </c:pt>
                <c:pt idx="165">
                  <c:v>45693</c:v>
                </c:pt>
                <c:pt idx="166">
                  <c:v>45692</c:v>
                </c:pt>
                <c:pt idx="167">
                  <c:v>45691</c:v>
                </c:pt>
                <c:pt idx="168">
                  <c:v>45688</c:v>
                </c:pt>
                <c:pt idx="169">
                  <c:v>45687</c:v>
                </c:pt>
                <c:pt idx="170">
                  <c:v>45686</c:v>
                </c:pt>
                <c:pt idx="171">
                  <c:v>45685</c:v>
                </c:pt>
                <c:pt idx="172">
                  <c:v>45684</c:v>
                </c:pt>
                <c:pt idx="173">
                  <c:v>45681</c:v>
                </c:pt>
                <c:pt idx="174">
                  <c:v>45680</c:v>
                </c:pt>
                <c:pt idx="175">
                  <c:v>45679</c:v>
                </c:pt>
                <c:pt idx="176">
                  <c:v>45678</c:v>
                </c:pt>
                <c:pt idx="177">
                  <c:v>45674</c:v>
                </c:pt>
                <c:pt idx="178">
                  <c:v>45673</c:v>
                </c:pt>
                <c:pt idx="179">
                  <c:v>45672</c:v>
                </c:pt>
                <c:pt idx="180">
                  <c:v>45671</c:v>
                </c:pt>
                <c:pt idx="181">
                  <c:v>45670</c:v>
                </c:pt>
                <c:pt idx="182">
                  <c:v>45667</c:v>
                </c:pt>
                <c:pt idx="183">
                  <c:v>45665</c:v>
                </c:pt>
                <c:pt idx="184">
                  <c:v>45664</c:v>
                </c:pt>
                <c:pt idx="185">
                  <c:v>45663</c:v>
                </c:pt>
                <c:pt idx="186">
                  <c:v>45660</c:v>
                </c:pt>
                <c:pt idx="187">
                  <c:v>45659</c:v>
                </c:pt>
                <c:pt idx="188">
                  <c:v>45657</c:v>
                </c:pt>
                <c:pt idx="189">
                  <c:v>45656</c:v>
                </c:pt>
                <c:pt idx="190">
                  <c:v>45653</c:v>
                </c:pt>
                <c:pt idx="191">
                  <c:v>45652</c:v>
                </c:pt>
                <c:pt idx="192">
                  <c:v>45650</c:v>
                </c:pt>
                <c:pt idx="193">
                  <c:v>45649</c:v>
                </c:pt>
                <c:pt idx="194">
                  <c:v>45646</c:v>
                </c:pt>
                <c:pt idx="195">
                  <c:v>45645</c:v>
                </c:pt>
                <c:pt idx="196">
                  <c:v>45644</c:v>
                </c:pt>
                <c:pt idx="197">
                  <c:v>45643</c:v>
                </c:pt>
                <c:pt idx="198">
                  <c:v>45642</c:v>
                </c:pt>
                <c:pt idx="199">
                  <c:v>45639</c:v>
                </c:pt>
                <c:pt idx="200">
                  <c:v>45638</c:v>
                </c:pt>
                <c:pt idx="201">
                  <c:v>45637</c:v>
                </c:pt>
                <c:pt idx="202">
                  <c:v>45636</c:v>
                </c:pt>
                <c:pt idx="203">
                  <c:v>45635</c:v>
                </c:pt>
                <c:pt idx="204">
                  <c:v>45632</c:v>
                </c:pt>
                <c:pt idx="205">
                  <c:v>45631</c:v>
                </c:pt>
                <c:pt idx="206">
                  <c:v>45630</c:v>
                </c:pt>
                <c:pt idx="207">
                  <c:v>45629</c:v>
                </c:pt>
                <c:pt idx="208">
                  <c:v>45628</c:v>
                </c:pt>
                <c:pt idx="209">
                  <c:v>45625</c:v>
                </c:pt>
                <c:pt idx="210">
                  <c:v>45623</c:v>
                </c:pt>
                <c:pt idx="211">
                  <c:v>45622</c:v>
                </c:pt>
                <c:pt idx="212">
                  <c:v>45621</c:v>
                </c:pt>
                <c:pt idx="213">
                  <c:v>45618</c:v>
                </c:pt>
                <c:pt idx="214">
                  <c:v>45617</c:v>
                </c:pt>
                <c:pt idx="215">
                  <c:v>45616</c:v>
                </c:pt>
                <c:pt idx="216">
                  <c:v>45615</c:v>
                </c:pt>
                <c:pt idx="217">
                  <c:v>45614</c:v>
                </c:pt>
                <c:pt idx="218">
                  <c:v>45611</c:v>
                </c:pt>
                <c:pt idx="219">
                  <c:v>45610</c:v>
                </c:pt>
                <c:pt idx="220">
                  <c:v>45609</c:v>
                </c:pt>
                <c:pt idx="221">
                  <c:v>45608</c:v>
                </c:pt>
                <c:pt idx="222">
                  <c:v>45607</c:v>
                </c:pt>
                <c:pt idx="223">
                  <c:v>45604</c:v>
                </c:pt>
                <c:pt idx="224">
                  <c:v>45603</c:v>
                </c:pt>
                <c:pt idx="225">
                  <c:v>45602</c:v>
                </c:pt>
                <c:pt idx="226">
                  <c:v>45601</c:v>
                </c:pt>
                <c:pt idx="227">
                  <c:v>45600</c:v>
                </c:pt>
                <c:pt idx="228">
                  <c:v>45597</c:v>
                </c:pt>
                <c:pt idx="229">
                  <c:v>45596</c:v>
                </c:pt>
                <c:pt idx="230">
                  <c:v>45595</c:v>
                </c:pt>
                <c:pt idx="231">
                  <c:v>45594</c:v>
                </c:pt>
                <c:pt idx="232">
                  <c:v>45593</c:v>
                </c:pt>
                <c:pt idx="233">
                  <c:v>45590</c:v>
                </c:pt>
                <c:pt idx="234">
                  <c:v>45589</c:v>
                </c:pt>
                <c:pt idx="235">
                  <c:v>45588</c:v>
                </c:pt>
                <c:pt idx="236">
                  <c:v>45587</c:v>
                </c:pt>
                <c:pt idx="237">
                  <c:v>45586</c:v>
                </c:pt>
                <c:pt idx="238">
                  <c:v>45583</c:v>
                </c:pt>
                <c:pt idx="239">
                  <c:v>45582</c:v>
                </c:pt>
                <c:pt idx="240">
                  <c:v>45581</c:v>
                </c:pt>
                <c:pt idx="241">
                  <c:v>45580</c:v>
                </c:pt>
                <c:pt idx="242">
                  <c:v>45579</c:v>
                </c:pt>
                <c:pt idx="243">
                  <c:v>45576</c:v>
                </c:pt>
                <c:pt idx="244">
                  <c:v>45575</c:v>
                </c:pt>
                <c:pt idx="245">
                  <c:v>45574</c:v>
                </c:pt>
                <c:pt idx="246">
                  <c:v>45573</c:v>
                </c:pt>
                <c:pt idx="247">
                  <c:v>45572</c:v>
                </c:pt>
                <c:pt idx="248">
                  <c:v>45569</c:v>
                </c:pt>
                <c:pt idx="249">
                  <c:v>45568</c:v>
                </c:pt>
                <c:pt idx="250">
                  <c:v>45567</c:v>
                </c:pt>
                <c:pt idx="251">
                  <c:v>45566</c:v>
                </c:pt>
                <c:pt idx="252">
                  <c:v>45565</c:v>
                </c:pt>
                <c:pt idx="253">
                  <c:v>45562</c:v>
                </c:pt>
                <c:pt idx="254">
                  <c:v>45561</c:v>
                </c:pt>
                <c:pt idx="255">
                  <c:v>45560</c:v>
                </c:pt>
                <c:pt idx="256">
                  <c:v>45559</c:v>
                </c:pt>
                <c:pt idx="257">
                  <c:v>45558</c:v>
                </c:pt>
                <c:pt idx="258">
                  <c:v>45555</c:v>
                </c:pt>
                <c:pt idx="259">
                  <c:v>45554</c:v>
                </c:pt>
                <c:pt idx="260">
                  <c:v>45553</c:v>
                </c:pt>
                <c:pt idx="261">
                  <c:v>45552</c:v>
                </c:pt>
                <c:pt idx="262">
                  <c:v>45551</c:v>
                </c:pt>
                <c:pt idx="263">
                  <c:v>45548</c:v>
                </c:pt>
                <c:pt idx="264">
                  <c:v>45547</c:v>
                </c:pt>
                <c:pt idx="265">
                  <c:v>45546</c:v>
                </c:pt>
                <c:pt idx="266">
                  <c:v>45545</c:v>
                </c:pt>
                <c:pt idx="267">
                  <c:v>45544</c:v>
                </c:pt>
                <c:pt idx="268">
                  <c:v>45541</c:v>
                </c:pt>
                <c:pt idx="269">
                  <c:v>45540</c:v>
                </c:pt>
                <c:pt idx="270">
                  <c:v>45539</c:v>
                </c:pt>
                <c:pt idx="271">
                  <c:v>45538</c:v>
                </c:pt>
                <c:pt idx="272">
                  <c:v>45534</c:v>
                </c:pt>
                <c:pt idx="273">
                  <c:v>45533</c:v>
                </c:pt>
                <c:pt idx="274">
                  <c:v>45532</c:v>
                </c:pt>
                <c:pt idx="275">
                  <c:v>45531</c:v>
                </c:pt>
                <c:pt idx="276">
                  <c:v>45530</c:v>
                </c:pt>
                <c:pt idx="277">
                  <c:v>45527</c:v>
                </c:pt>
                <c:pt idx="278">
                  <c:v>45526</c:v>
                </c:pt>
                <c:pt idx="279">
                  <c:v>45525</c:v>
                </c:pt>
                <c:pt idx="280">
                  <c:v>45524</c:v>
                </c:pt>
                <c:pt idx="281">
                  <c:v>45523</c:v>
                </c:pt>
                <c:pt idx="282">
                  <c:v>45520</c:v>
                </c:pt>
                <c:pt idx="283">
                  <c:v>45519</c:v>
                </c:pt>
                <c:pt idx="284">
                  <c:v>45518</c:v>
                </c:pt>
                <c:pt idx="285">
                  <c:v>45517</c:v>
                </c:pt>
                <c:pt idx="286">
                  <c:v>45516</c:v>
                </c:pt>
                <c:pt idx="287">
                  <c:v>45513</c:v>
                </c:pt>
                <c:pt idx="288">
                  <c:v>45512</c:v>
                </c:pt>
                <c:pt idx="289">
                  <c:v>45511</c:v>
                </c:pt>
                <c:pt idx="290">
                  <c:v>45510</c:v>
                </c:pt>
                <c:pt idx="291">
                  <c:v>45509</c:v>
                </c:pt>
                <c:pt idx="292">
                  <c:v>45506</c:v>
                </c:pt>
                <c:pt idx="293">
                  <c:v>45505</c:v>
                </c:pt>
                <c:pt idx="294">
                  <c:v>45504</c:v>
                </c:pt>
                <c:pt idx="295">
                  <c:v>45503</c:v>
                </c:pt>
                <c:pt idx="296">
                  <c:v>45502</c:v>
                </c:pt>
                <c:pt idx="297">
                  <c:v>45499</c:v>
                </c:pt>
                <c:pt idx="298">
                  <c:v>45498</c:v>
                </c:pt>
                <c:pt idx="299">
                  <c:v>45497</c:v>
                </c:pt>
                <c:pt idx="300">
                  <c:v>45496</c:v>
                </c:pt>
                <c:pt idx="301">
                  <c:v>45495</c:v>
                </c:pt>
                <c:pt idx="302">
                  <c:v>45492</c:v>
                </c:pt>
                <c:pt idx="303">
                  <c:v>45491</c:v>
                </c:pt>
                <c:pt idx="304">
                  <c:v>45490</c:v>
                </c:pt>
                <c:pt idx="305">
                  <c:v>45489</c:v>
                </c:pt>
                <c:pt idx="306">
                  <c:v>45488</c:v>
                </c:pt>
                <c:pt idx="307">
                  <c:v>45485</c:v>
                </c:pt>
                <c:pt idx="308">
                  <c:v>45484</c:v>
                </c:pt>
                <c:pt idx="309">
                  <c:v>45483</c:v>
                </c:pt>
                <c:pt idx="310">
                  <c:v>45482</c:v>
                </c:pt>
                <c:pt idx="311">
                  <c:v>45481</c:v>
                </c:pt>
                <c:pt idx="312">
                  <c:v>45478</c:v>
                </c:pt>
                <c:pt idx="313">
                  <c:v>45476</c:v>
                </c:pt>
                <c:pt idx="314">
                  <c:v>45475</c:v>
                </c:pt>
                <c:pt idx="315">
                  <c:v>45474</c:v>
                </c:pt>
                <c:pt idx="316">
                  <c:v>45471</c:v>
                </c:pt>
                <c:pt idx="317">
                  <c:v>45470</c:v>
                </c:pt>
                <c:pt idx="318">
                  <c:v>45469</c:v>
                </c:pt>
                <c:pt idx="319">
                  <c:v>45468</c:v>
                </c:pt>
                <c:pt idx="320">
                  <c:v>45467</c:v>
                </c:pt>
                <c:pt idx="321">
                  <c:v>45464</c:v>
                </c:pt>
                <c:pt idx="322">
                  <c:v>45463</c:v>
                </c:pt>
                <c:pt idx="323">
                  <c:v>45461</c:v>
                </c:pt>
                <c:pt idx="324">
                  <c:v>45460</c:v>
                </c:pt>
                <c:pt idx="325">
                  <c:v>45457</c:v>
                </c:pt>
                <c:pt idx="326">
                  <c:v>45456</c:v>
                </c:pt>
                <c:pt idx="327">
                  <c:v>45455</c:v>
                </c:pt>
                <c:pt idx="328">
                  <c:v>45454</c:v>
                </c:pt>
                <c:pt idx="329">
                  <c:v>45453</c:v>
                </c:pt>
                <c:pt idx="330">
                  <c:v>45450</c:v>
                </c:pt>
                <c:pt idx="331">
                  <c:v>45449</c:v>
                </c:pt>
                <c:pt idx="332">
                  <c:v>45448</c:v>
                </c:pt>
                <c:pt idx="333">
                  <c:v>45447</c:v>
                </c:pt>
                <c:pt idx="334">
                  <c:v>45446</c:v>
                </c:pt>
                <c:pt idx="335">
                  <c:v>45443</c:v>
                </c:pt>
                <c:pt idx="336">
                  <c:v>45442</c:v>
                </c:pt>
                <c:pt idx="337">
                  <c:v>45441</c:v>
                </c:pt>
                <c:pt idx="338">
                  <c:v>45440</c:v>
                </c:pt>
                <c:pt idx="339">
                  <c:v>45436</c:v>
                </c:pt>
                <c:pt idx="340">
                  <c:v>45435</c:v>
                </c:pt>
                <c:pt idx="341">
                  <c:v>45434</c:v>
                </c:pt>
                <c:pt idx="342">
                  <c:v>45433</c:v>
                </c:pt>
                <c:pt idx="343">
                  <c:v>45432</c:v>
                </c:pt>
                <c:pt idx="344">
                  <c:v>45429</c:v>
                </c:pt>
                <c:pt idx="345">
                  <c:v>45428</c:v>
                </c:pt>
                <c:pt idx="346">
                  <c:v>45427</c:v>
                </c:pt>
                <c:pt idx="347">
                  <c:v>45426</c:v>
                </c:pt>
                <c:pt idx="348">
                  <c:v>45425</c:v>
                </c:pt>
                <c:pt idx="349">
                  <c:v>45422</c:v>
                </c:pt>
                <c:pt idx="350">
                  <c:v>45421</c:v>
                </c:pt>
                <c:pt idx="351">
                  <c:v>45420</c:v>
                </c:pt>
                <c:pt idx="352">
                  <c:v>45419</c:v>
                </c:pt>
                <c:pt idx="353">
                  <c:v>45418</c:v>
                </c:pt>
                <c:pt idx="354">
                  <c:v>45415</c:v>
                </c:pt>
                <c:pt idx="355">
                  <c:v>45414</c:v>
                </c:pt>
                <c:pt idx="356">
                  <c:v>45413</c:v>
                </c:pt>
                <c:pt idx="357">
                  <c:v>45412</c:v>
                </c:pt>
                <c:pt idx="358">
                  <c:v>45411</c:v>
                </c:pt>
                <c:pt idx="359">
                  <c:v>45408</c:v>
                </c:pt>
                <c:pt idx="360">
                  <c:v>45407</c:v>
                </c:pt>
                <c:pt idx="361">
                  <c:v>45406</c:v>
                </c:pt>
                <c:pt idx="362">
                  <c:v>45405</c:v>
                </c:pt>
                <c:pt idx="363">
                  <c:v>45404</c:v>
                </c:pt>
                <c:pt idx="364">
                  <c:v>45401</c:v>
                </c:pt>
                <c:pt idx="365">
                  <c:v>45400</c:v>
                </c:pt>
                <c:pt idx="366">
                  <c:v>45399</c:v>
                </c:pt>
                <c:pt idx="367">
                  <c:v>45398</c:v>
                </c:pt>
                <c:pt idx="368">
                  <c:v>45397</c:v>
                </c:pt>
                <c:pt idx="369">
                  <c:v>45394</c:v>
                </c:pt>
                <c:pt idx="370">
                  <c:v>45393</c:v>
                </c:pt>
                <c:pt idx="371">
                  <c:v>45392</c:v>
                </c:pt>
                <c:pt idx="372">
                  <c:v>45391</c:v>
                </c:pt>
                <c:pt idx="373">
                  <c:v>45390</c:v>
                </c:pt>
                <c:pt idx="374">
                  <c:v>45387</c:v>
                </c:pt>
                <c:pt idx="375">
                  <c:v>45386</c:v>
                </c:pt>
                <c:pt idx="376">
                  <c:v>45385</c:v>
                </c:pt>
                <c:pt idx="377">
                  <c:v>45384</c:v>
                </c:pt>
                <c:pt idx="378">
                  <c:v>45383</c:v>
                </c:pt>
                <c:pt idx="379">
                  <c:v>45379</c:v>
                </c:pt>
                <c:pt idx="380">
                  <c:v>45378</c:v>
                </c:pt>
                <c:pt idx="381">
                  <c:v>45377</c:v>
                </c:pt>
                <c:pt idx="382">
                  <c:v>45376</c:v>
                </c:pt>
                <c:pt idx="383">
                  <c:v>45373</c:v>
                </c:pt>
                <c:pt idx="384">
                  <c:v>45372</c:v>
                </c:pt>
                <c:pt idx="385">
                  <c:v>45371</c:v>
                </c:pt>
                <c:pt idx="386">
                  <c:v>45370</c:v>
                </c:pt>
                <c:pt idx="387">
                  <c:v>45369</c:v>
                </c:pt>
                <c:pt idx="388">
                  <c:v>45366</c:v>
                </c:pt>
                <c:pt idx="389">
                  <c:v>45365</c:v>
                </c:pt>
                <c:pt idx="390">
                  <c:v>45364</c:v>
                </c:pt>
                <c:pt idx="391">
                  <c:v>45363</c:v>
                </c:pt>
                <c:pt idx="392">
                  <c:v>45362</c:v>
                </c:pt>
                <c:pt idx="393">
                  <c:v>45359</c:v>
                </c:pt>
                <c:pt idx="394">
                  <c:v>45358</c:v>
                </c:pt>
                <c:pt idx="395">
                  <c:v>45357</c:v>
                </c:pt>
                <c:pt idx="396">
                  <c:v>45356</c:v>
                </c:pt>
                <c:pt idx="397">
                  <c:v>45355</c:v>
                </c:pt>
                <c:pt idx="398">
                  <c:v>45352</c:v>
                </c:pt>
                <c:pt idx="399">
                  <c:v>45351</c:v>
                </c:pt>
                <c:pt idx="400">
                  <c:v>45350</c:v>
                </c:pt>
                <c:pt idx="401">
                  <c:v>45349</c:v>
                </c:pt>
                <c:pt idx="402">
                  <c:v>45348</c:v>
                </c:pt>
                <c:pt idx="403">
                  <c:v>45345</c:v>
                </c:pt>
                <c:pt idx="404">
                  <c:v>45344</c:v>
                </c:pt>
                <c:pt idx="405">
                  <c:v>45343</c:v>
                </c:pt>
                <c:pt idx="406">
                  <c:v>45342</c:v>
                </c:pt>
                <c:pt idx="407">
                  <c:v>45338</c:v>
                </c:pt>
                <c:pt idx="408">
                  <c:v>45337</c:v>
                </c:pt>
                <c:pt idx="409">
                  <c:v>45336</c:v>
                </c:pt>
                <c:pt idx="410">
                  <c:v>45335</c:v>
                </c:pt>
                <c:pt idx="411">
                  <c:v>45334</c:v>
                </c:pt>
                <c:pt idx="412">
                  <c:v>45331</c:v>
                </c:pt>
                <c:pt idx="413">
                  <c:v>45330</c:v>
                </c:pt>
                <c:pt idx="414">
                  <c:v>45329</c:v>
                </c:pt>
                <c:pt idx="415">
                  <c:v>45328</c:v>
                </c:pt>
                <c:pt idx="416">
                  <c:v>45327</c:v>
                </c:pt>
                <c:pt idx="417">
                  <c:v>45324</c:v>
                </c:pt>
                <c:pt idx="418">
                  <c:v>45323</c:v>
                </c:pt>
                <c:pt idx="419">
                  <c:v>45322</c:v>
                </c:pt>
                <c:pt idx="420">
                  <c:v>45321</c:v>
                </c:pt>
                <c:pt idx="421">
                  <c:v>45320</c:v>
                </c:pt>
                <c:pt idx="422">
                  <c:v>45317</c:v>
                </c:pt>
                <c:pt idx="423">
                  <c:v>45316</c:v>
                </c:pt>
                <c:pt idx="424">
                  <c:v>45315</c:v>
                </c:pt>
                <c:pt idx="425">
                  <c:v>45314</c:v>
                </c:pt>
                <c:pt idx="426">
                  <c:v>45313</c:v>
                </c:pt>
                <c:pt idx="427">
                  <c:v>45310</c:v>
                </c:pt>
                <c:pt idx="428">
                  <c:v>45309</c:v>
                </c:pt>
                <c:pt idx="429">
                  <c:v>45308</c:v>
                </c:pt>
                <c:pt idx="430">
                  <c:v>45307</c:v>
                </c:pt>
                <c:pt idx="431">
                  <c:v>45303</c:v>
                </c:pt>
                <c:pt idx="432">
                  <c:v>45302</c:v>
                </c:pt>
                <c:pt idx="433">
                  <c:v>45301</c:v>
                </c:pt>
                <c:pt idx="434">
                  <c:v>45300</c:v>
                </c:pt>
                <c:pt idx="435">
                  <c:v>45299</c:v>
                </c:pt>
                <c:pt idx="436">
                  <c:v>45296</c:v>
                </c:pt>
                <c:pt idx="437">
                  <c:v>45295</c:v>
                </c:pt>
                <c:pt idx="438">
                  <c:v>45294</c:v>
                </c:pt>
                <c:pt idx="439">
                  <c:v>45293</c:v>
                </c:pt>
                <c:pt idx="440">
                  <c:v>45289</c:v>
                </c:pt>
                <c:pt idx="441">
                  <c:v>45288</c:v>
                </c:pt>
                <c:pt idx="442">
                  <c:v>45287</c:v>
                </c:pt>
                <c:pt idx="443">
                  <c:v>45286</c:v>
                </c:pt>
                <c:pt idx="444">
                  <c:v>45282</c:v>
                </c:pt>
                <c:pt idx="445">
                  <c:v>45281</c:v>
                </c:pt>
                <c:pt idx="446">
                  <c:v>45280</c:v>
                </c:pt>
                <c:pt idx="447">
                  <c:v>45279</c:v>
                </c:pt>
                <c:pt idx="448">
                  <c:v>45278</c:v>
                </c:pt>
                <c:pt idx="449">
                  <c:v>45275</c:v>
                </c:pt>
                <c:pt idx="450">
                  <c:v>45274</c:v>
                </c:pt>
                <c:pt idx="451">
                  <c:v>45273</c:v>
                </c:pt>
                <c:pt idx="452">
                  <c:v>45272</c:v>
                </c:pt>
                <c:pt idx="453">
                  <c:v>45271</c:v>
                </c:pt>
                <c:pt idx="454">
                  <c:v>45268</c:v>
                </c:pt>
                <c:pt idx="455">
                  <c:v>45267</c:v>
                </c:pt>
                <c:pt idx="456">
                  <c:v>45266</c:v>
                </c:pt>
                <c:pt idx="457">
                  <c:v>45265</c:v>
                </c:pt>
                <c:pt idx="458">
                  <c:v>45264</c:v>
                </c:pt>
                <c:pt idx="459">
                  <c:v>45261</c:v>
                </c:pt>
                <c:pt idx="460">
                  <c:v>45260</c:v>
                </c:pt>
                <c:pt idx="461">
                  <c:v>45259</c:v>
                </c:pt>
                <c:pt idx="462">
                  <c:v>45258</c:v>
                </c:pt>
                <c:pt idx="463">
                  <c:v>45257</c:v>
                </c:pt>
                <c:pt idx="464">
                  <c:v>45254</c:v>
                </c:pt>
                <c:pt idx="465">
                  <c:v>45252</c:v>
                </c:pt>
                <c:pt idx="466">
                  <c:v>45251</c:v>
                </c:pt>
                <c:pt idx="467">
                  <c:v>45250</c:v>
                </c:pt>
                <c:pt idx="468">
                  <c:v>45247</c:v>
                </c:pt>
                <c:pt idx="469">
                  <c:v>45246</c:v>
                </c:pt>
                <c:pt idx="470">
                  <c:v>45245</c:v>
                </c:pt>
                <c:pt idx="471">
                  <c:v>45244</c:v>
                </c:pt>
                <c:pt idx="472">
                  <c:v>45243</c:v>
                </c:pt>
                <c:pt idx="473">
                  <c:v>45240</c:v>
                </c:pt>
                <c:pt idx="474">
                  <c:v>45239</c:v>
                </c:pt>
                <c:pt idx="475">
                  <c:v>45238</c:v>
                </c:pt>
                <c:pt idx="476">
                  <c:v>45237</c:v>
                </c:pt>
                <c:pt idx="477">
                  <c:v>45236</c:v>
                </c:pt>
                <c:pt idx="478">
                  <c:v>45233</c:v>
                </c:pt>
                <c:pt idx="479">
                  <c:v>45232</c:v>
                </c:pt>
                <c:pt idx="480">
                  <c:v>45231</c:v>
                </c:pt>
                <c:pt idx="481">
                  <c:v>45230</c:v>
                </c:pt>
                <c:pt idx="482">
                  <c:v>45229</c:v>
                </c:pt>
                <c:pt idx="483">
                  <c:v>45226</c:v>
                </c:pt>
                <c:pt idx="484">
                  <c:v>45225</c:v>
                </c:pt>
                <c:pt idx="485">
                  <c:v>45224</c:v>
                </c:pt>
                <c:pt idx="486">
                  <c:v>45223</c:v>
                </c:pt>
                <c:pt idx="487">
                  <c:v>45222</c:v>
                </c:pt>
                <c:pt idx="488">
                  <c:v>45219</c:v>
                </c:pt>
                <c:pt idx="489">
                  <c:v>45218</c:v>
                </c:pt>
                <c:pt idx="490">
                  <c:v>45217</c:v>
                </c:pt>
                <c:pt idx="491">
                  <c:v>45216</c:v>
                </c:pt>
                <c:pt idx="492">
                  <c:v>45215</c:v>
                </c:pt>
                <c:pt idx="493">
                  <c:v>45212</c:v>
                </c:pt>
                <c:pt idx="494">
                  <c:v>45211</c:v>
                </c:pt>
                <c:pt idx="495">
                  <c:v>45210</c:v>
                </c:pt>
                <c:pt idx="496">
                  <c:v>45209</c:v>
                </c:pt>
                <c:pt idx="497">
                  <c:v>45208</c:v>
                </c:pt>
                <c:pt idx="498">
                  <c:v>45205</c:v>
                </c:pt>
                <c:pt idx="499">
                  <c:v>45204</c:v>
                </c:pt>
                <c:pt idx="500">
                  <c:v>45203</c:v>
                </c:pt>
                <c:pt idx="501">
                  <c:v>45202</c:v>
                </c:pt>
                <c:pt idx="502">
                  <c:v>45201</c:v>
                </c:pt>
                <c:pt idx="503">
                  <c:v>45198</c:v>
                </c:pt>
                <c:pt idx="504">
                  <c:v>45197</c:v>
                </c:pt>
                <c:pt idx="505">
                  <c:v>45196</c:v>
                </c:pt>
                <c:pt idx="506">
                  <c:v>45195</c:v>
                </c:pt>
                <c:pt idx="507">
                  <c:v>45194</c:v>
                </c:pt>
                <c:pt idx="508">
                  <c:v>45191</c:v>
                </c:pt>
                <c:pt idx="509">
                  <c:v>45190</c:v>
                </c:pt>
                <c:pt idx="510">
                  <c:v>45189</c:v>
                </c:pt>
                <c:pt idx="511">
                  <c:v>45188</c:v>
                </c:pt>
                <c:pt idx="512">
                  <c:v>45187</c:v>
                </c:pt>
                <c:pt idx="513">
                  <c:v>45184</c:v>
                </c:pt>
                <c:pt idx="514">
                  <c:v>45183</c:v>
                </c:pt>
                <c:pt idx="515">
                  <c:v>45182</c:v>
                </c:pt>
                <c:pt idx="516">
                  <c:v>45181</c:v>
                </c:pt>
                <c:pt idx="517">
                  <c:v>45180</c:v>
                </c:pt>
                <c:pt idx="518">
                  <c:v>45177</c:v>
                </c:pt>
                <c:pt idx="519">
                  <c:v>45176</c:v>
                </c:pt>
                <c:pt idx="520">
                  <c:v>45175</c:v>
                </c:pt>
                <c:pt idx="521">
                  <c:v>45174</c:v>
                </c:pt>
                <c:pt idx="522">
                  <c:v>45170</c:v>
                </c:pt>
                <c:pt idx="523">
                  <c:v>45169</c:v>
                </c:pt>
                <c:pt idx="524">
                  <c:v>45168</c:v>
                </c:pt>
                <c:pt idx="525">
                  <c:v>45167</c:v>
                </c:pt>
                <c:pt idx="526">
                  <c:v>45166</c:v>
                </c:pt>
                <c:pt idx="527">
                  <c:v>45163</c:v>
                </c:pt>
                <c:pt idx="528">
                  <c:v>45162</c:v>
                </c:pt>
                <c:pt idx="529">
                  <c:v>45161</c:v>
                </c:pt>
                <c:pt idx="530">
                  <c:v>45160</c:v>
                </c:pt>
                <c:pt idx="531">
                  <c:v>45159</c:v>
                </c:pt>
                <c:pt idx="532">
                  <c:v>45156</c:v>
                </c:pt>
                <c:pt idx="533">
                  <c:v>45155</c:v>
                </c:pt>
                <c:pt idx="534">
                  <c:v>45154</c:v>
                </c:pt>
                <c:pt idx="535">
                  <c:v>45153</c:v>
                </c:pt>
                <c:pt idx="536">
                  <c:v>45152</c:v>
                </c:pt>
                <c:pt idx="537">
                  <c:v>45149</c:v>
                </c:pt>
                <c:pt idx="538">
                  <c:v>45148</c:v>
                </c:pt>
                <c:pt idx="539">
                  <c:v>45147</c:v>
                </c:pt>
                <c:pt idx="540">
                  <c:v>45146</c:v>
                </c:pt>
                <c:pt idx="541">
                  <c:v>45145</c:v>
                </c:pt>
                <c:pt idx="542">
                  <c:v>45142</c:v>
                </c:pt>
                <c:pt idx="543">
                  <c:v>45141</c:v>
                </c:pt>
                <c:pt idx="544">
                  <c:v>45140</c:v>
                </c:pt>
                <c:pt idx="545">
                  <c:v>45139</c:v>
                </c:pt>
                <c:pt idx="546">
                  <c:v>45138</c:v>
                </c:pt>
                <c:pt idx="547">
                  <c:v>45135</c:v>
                </c:pt>
                <c:pt idx="548">
                  <c:v>45134</c:v>
                </c:pt>
                <c:pt idx="549">
                  <c:v>45133</c:v>
                </c:pt>
                <c:pt idx="550">
                  <c:v>45132</c:v>
                </c:pt>
                <c:pt idx="551">
                  <c:v>45131</c:v>
                </c:pt>
                <c:pt idx="552">
                  <c:v>45128</c:v>
                </c:pt>
                <c:pt idx="553">
                  <c:v>45127</c:v>
                </c:pt>
                <c:pt idx="554">
                  <c:v>45126</c:v>
                </c:pt>
                <c:pt idx="555">
                  <c:v>45125</c:v>
                </c:pt>
                <c:pt idx="556">
                  <c:v>45124</c:v>
                </c:pt>
                <c:pt idx="557">
                  <c:v>45121</c:v>
                </c:pt>
                <c:pt idx="558">
                  <c:v>45120</c:v>
                </c:pt>
                <c:pt idx="559">
                  <c:v>45119</c:v>
                </c:pt>
                <c:pt idx="560">
                  <c:v>45118</c:v>
                </c:pt>
                <c:pt idx="561">
                  <c:v>45117</c:v>
                </c:pt>
                <c:pt idx="562">
                  <c:v>45114</c:v>
                </c:pt>
                <c:pt idx="563">
                  <c:v>45113</c:v>
                </c:pt>
                <c:pt idx="564">
                  <c:v>45112</c:v>
                </c:pt>
                <c:pt idx="565">
                  <c:v>45110</c:v>
                </c:pt>
                <c:pt idx="566">
                  <c:v>45107</c:v>
                </c:pt>
                <c:pt idx="567">
                  <c:v>45106</c:v>
                </c:pt>
                <c:pt idx="568">
                  <c:v>45105</c:v>
                </c:pt>
                <c:pt idx="569">
                  <c:v>45104</c:v>
                </c:pt>
                <c:pt idx="570">
                  <c:v>45103</c:v>
                </c:pt>
                <c:pt idx="571">
                  <c:v>45100</c:v>
                </c:pt>
                <c:pt idx="572">
                  <c:v>45099</c:v>
                </c:pt>
                <c:pt idx="573">
                  <c:v>45098</c:v>
                </c:pt>
                <c:pt idx="574">
                  <c:v>45097</c:v>
                </c:pt>
                <c:pt idx="575">
                  <c:v>45093</c:v>
                </c:pt>
                <c:pt idx="576">
                  <c:v>45092</c:v>
                </c:pt>
                <c:pt idx="577">
                  <c:v>45091</c:v>
                </c:pt>
                <c:pt idx="578">
                  <c:v>45090</c:v>
                </c:pt>
                <c:pt idx="579">
                  <c:v>45089</c:v>
                </c:pt>
                <c:pt idx="580">
                  <c:v>45086</c:v>
                </c:pt>
                <c:pt idx="581">
                  <c:v>45085</c:v>
                </c:pt>
                <c:pt idx="582">
                  <c:v>45084</c:v>
                </c:pt>
                <c:pt idx="583">
                  <c:v>45083</c:v>
                </c:pt>
                <c:pt idx="584">
                  <c:v>45082</c:v>
                </c:pt>
                <c:pt idx="585">
                  <c:v>45079</c:v>
                </c:pt>
                <c:pt idx="586">
                  <c:v>45078</c:v>
                </c:pt>
                <c:pt idx="587">
                  <c:v>45077</c:v>
                </c:pt>
                <c:pt idx="588">
                  <c:v>45076</c:v>
                </c:pt>
                <c:pt idx="589">
                  <c:v>45072</c:v>
                </c:pt>
                <c:pt idx="590">
                  <c:v>45071</c:v>
                </c:pt>
                <c:pt idx="591">
                  <c:v>45070</c:v>
                </c:pt>
                <c:pt idx="592">
                  <c:v>45069</c:v>
                </c:pt>
                <c:pt idx="593">
                  <c:v>45068</c:v>
                </c:pt>
                <c:pt idx="594">
                  <c:v>45065</c:v>
                </c:pt>
                <c:pt idx="595">
                  <c:v>45064</c:v>
                </c:pt>
                <c:pt idx="596">
                  <c:v>45063</c:v>
                </c:pt>
                <c:pt idx="597">
                  <c:v>45062</c:v>
                </c:pt>
                <c:pt idx="598">
                  <c:v>45061</c:v>
                </c:pt>
                <c:pt idx="599">
                  <c:v>45058</c:v>
                </c:pt>
                <c:pt idx="600">
                  <c:v>45057</c:v>
                </c:pt>
                <c:pt idx="601">
                  <c:v>45056</c:v>
                </c:pt>
                <c:pt idx="602">
                  <c:v>45055</c:v>
                </c:pt>
                <c:pt idx="603">
                  <c:v>45054</c:v>
                </c:pt>
                <c:pt idx="604">
                  <c:v>45051</c:v>
                </c:pt>
                <c:pt idx="605">
                  <c:v>45050</c:v>
                </c:pt>
                <c:pt idx="606">
                  <c:v>45049</c:v>
                </c:pt>
                <c:pt idx="607">
                  <c:v>45048</c:v>
                </c:pt>
                <c:pt idx="608">
                  <c:v>45047</c:v>
                </c:pt>
                <c:pt idx="609">
                  <c:v>45044</c:v>
                </c:pt>
                <c:pt idx="610">
                  <c:v>45043</c:v>
                </c:pt>
                <c:pt idx="611">
                  <c:v>45042</c:v>
                </c:pt>
                <c:pt idx="612">
                  <c:v>45041</c:v>
                </c:pt>
                <c:pt idx="613">
                  <c:v>45040</c:v>
                </c:pt>
                <c:pt idx="614">
                  <c:v>45037</c:v>
                </c:pt>
                <c:pt idx="615">
                  <c:v>45036</c:v>
                </c:pt>
                <c:pt idx="616">
                  <c:v>45035</c:v>
                </c:pt>
                <c:pt idx="617">
                  <c:v>45034</c:v>
                </c:pt>
                <c:pt idx="618">
                  <c:v>45033</c:v>
                </c:pt>
                <c:pt idx="619">
                  <c:v>45030</c:v>
                </c:pt>
                <c:pt idx="620">
                  <c:v>45029</c:v>
                </c:pt>
                <c:pt idx="621">
                  <c:v>45028</c:v>
                </c:pt>
                <c:pt idx="622">
                  <c:v>45027</c:v>
                </c:pt>
                <c:pt idx="623">
                  <c:v>45026</c:v>
                </c:pt>
                <c:pt idx="624">
                  <c:v>45022</c:v>
                </c:pt>
                <c:pt idx="625">
                  <c:v>45021</c:v>
                </c:pt>
                <c:pt idx="626">
                  <c:v>45020</c:v>
                </c:pt>
                <c:pt idx="627">
                  <c:v>45019</c:v>
                </c:pt>
                <c:pt idx="628">
                  <c:v>45016</c:v>
                </c:pt>
                <c:pt idx="629">
                  <c:v>45015</c:v>
                </c:pt>
                <c:pt idx="630">
                  <c:v>45014</c:v>
                </c:pt>
                <c:pt idx="631">
                  <c:v>45013</c:v>
                </c:pt>
                <c:pt idx="632">
                  <c:v>45012</c:v>
                </c:pt>
                <c:pt idx="633">
                  <c:v>45009</c:v>
                </c:pt>
                <c:pt idx="634">
                  <c:v>45008</c:v>
                </c:pt>
                <c:pt idx="635">
                  <c:v>45007</c:v>
                </c:pt>
                <c:pt idx="636">
                  <c:v>45006</c:v>
                </c:pt>
                <c:pt idx="637">
                  <c:v>45005</c:v>
                </c:pt>
                <c:pt idx="638">
                  <c:v>45002</c:v>
                </c:pt>
                <c:pt idx="639">
                  <c:v>45001</c:v>
                </c:pt>
                <c:pt idx="640">
                  <c:v>45000</c:v>
                </c:pt>
                <c:pt idx="641">
                  <c:v>44999</c:v>
                </c:pt>
                <c:pt idx="642">
                  <c:v>44998</c:v>
                </c:pt>
                <c:pt idx="643">
                  <c:v>44995</c:v>
                </c:pt>
                <c:pt idx="644">
                  <c:v>44994</c:v>
                </c:pt>
                <c:pt idx="645">
                  <c:v>44993</c:v>
                </c:pt>
                <c:pt idx="646">
                  <c:v>44992</c:v>
                </c:pt>
                <c:pt idx="647">
                  <c:v>44991</c:v>
                </c:pt>
                <c:pt idx="648">
                  <c:v>44988</c:v>
                </c:pt>
                <c:pt idx="649">
                  <c:v>44987</c:v>
                </c:pt>
                <c:pt idx="650">
                  <c:v>44986</c:v>
                </c:pt>
                <c:pt idx="651">
                  <c:v>44985</c:v>
                </c:pt>
                <c:pt idx="652">
                  <c:v>44984</c:v>
                </c:pt>
                <c:pt idx="653">
                  <c:v>44981</c:v>
                </c:pt>
                <c:pt idx="654">
                  <c:v>44980</c:v>
                </c:pt>
                <c:pt idx="655">
                  <c:v>44979</c:v>
                </c:pt>
                <c:pt idx="656">
                  <c:v>44978</c:v>
                </c:pt>
                <c:pt idx="657">
                  <c:v>44974</c:v>
                </c:pt>
                <c:pt idx="658">
                  <c:v>44973</c:v>
                </c:pt>
                <c:pt idx="659">
                  <c:v>44972</c:v>
                </c:pt>
                <c:pt idx="660">
                  <c:v>44971</c:v>
                </c:pt>
                <c:pt idx="661">
                  <c:v>44970</c:v>
                </c:pt>
                <c:pt idx="662">
                  <c:v>44967</c:v>
                </c:pt>
                <c:pt idx="663">
                  <c:v>44966</c:v>
                </c:pt>
                <c:pt idx="664">
                  <c:v>44965</c:v>
                </c:pt>
                <c:pt idx="665">
                  <c:v>44964</c:v>
                </c:pt>
                <c:pt idx="666">
                  <c:v>44963</c:v>
                </c:pt>
                <c:pt idx="667">
                  <c:v>44960</c:v>
                </c:pt>
                <c:pt idx="668">
                  <c:v>44959</c:v>
                </c:pt>
                <c:pt idx="669">
                  <c:v>44958</c:v>
                </c:pt>
                <c:pt idx="670">
                  <c:v>44957</c:v>
                </c:pt>
                <c:pt idx="671">
                  <c:v>44956</c:v>
                </c:pt>
                <c:pt idx="672">
                  <c:v>44953</c:v>
                </c:pt>
                <c:pt idx="673">
                  <c:v>44952</c:v>
                </c:pt>
                <c:pt idx="674">
                  <c:v>44951</c:v>
                </c:pt>
                <c:pt idx="675">
                  <c:v>44950</c:v>
                </c:pt>
                <c:pt idx="676">
                  <c:v>44949</c:v>
                </c:pt>
                <c:pt idx="677">
                  <c:v>44946</c:v>
                </c:pt>
                <c:pt idx="678">
                  <c:v>44945</c:v>
                </c:pt>
                <c:pt idx="679">
                  <c:v>44944</c:v>
                </c:pt>
                <c:pt idx="680">
                  <c:v>44943</c:v>
                </c:pt>
                <c:pt idx="681">
                  <c:v>44939</c:v>
                </c:pt>
                <c:pt idx="682">
                  <c:v>44938</c:v>
                </c:pt>
                <c:pt idx="683">
                  <c:v>44937</c:v>
                </c:pt>
                <c:pt idx="684">
                  <c:v>44936</c:v>
                </c:pt>
                <c:pt idx="685">
                  <c:v>44935</c:v>
                </c:pt>
                <c:pt idx="686">
                  <c:v>44932</c:v>
                </c:pt>
                <c:pt idx="687">
                  <c:v>44931</c:v>
                </c:pt>
                <c:pt idx="688">
                  <c:v>44930</c:v>
                </c:pt>
                <c:pt idx="689">
                  <c:v>44929</c:v>
                </c:pt>
                <c:pt idx="690">
                  <c:v>44925</c:v>
                </c:pt>
                <c:pt idx="691">
                  <c:v>44924</c:v>
                </c:pt>
                <c:pt idx="692">
                  <c:v>44923</c:v>
                </c:pt>
                <c:pt idx="693">
                  <c:v>44922</c:v>
                </c:pt>
                <c:pt idx="694">
                  <c:v>44918</c:v>
                </c:pt>
                <c:pt idx="695">
                  <c:v>44917</c:v>
                </c:pt>
                <c:pt idx="696">
                  <c:v>44916</c:v>
                </c:pt>
                <c:pt idx="697">
                  <c:v>44915</c:v>
                </c:pt>
                <c:pt idx="698">
                  <c:v>44914</c:v>
                </c:pt>
                <c:pt idx="699">
                  <c:v>44911</c:v>
                </c:pt>
                <c:pt idx="700">
                  <c:v>44910</c:v>
                </c:pt>
                <c:pt idx="701">
                  <c:v>44909</c:v>
                </c:pt>
                <c:pt idx="702">
                  <c:v>44908</c:v>
                </c:pt>
                <c:pt idx="703">
                  <c:v>44907</c:v>
                </c:pt>
                <c:pt idx="704">
                  <c:v>44904</c:v>
                </c:pt>
                <c:pt idx="705">
                  <c:v>44903</c:v>
                </c:pt>
                <c:pt idx="706">
                  <c:v>44902</c:v>
                </c:pt>
                <c:pt idx="707">
                  <c:v>44901</c:v>
                </c:pt>
                <c:pt idx="708">
                  <c:v>44900</c:v>
                </c:pt>
                <c:pt idx="709">
                  <c:v>44897</c:v>
                </c:pt>
                <c:pt idx="710">
                  <c:v>44896</c:v>
                </c:pt>
                <c:pt idx="711">
                  <c:v>44895</c:v>
                </c:pt>
                <c:pt idx="712">
                  <c:v>44894</c:v>
                </c:pt>
                <c:pt idx="713">
                  <c:v>44893</c:v>
                </c:pt>
                <c:pt idx="714">
                  <c:v>44890</c:v>
                </c:pt>
                <c:pt idx="715">
                  <c:v>44888</c:v>
                </c:pt>
                <c:pt idx="716">
                  <c:v>44887</c:v>
                </c:pt>
                <c:pt idx="717">
                  <c:v>44886</c:v>
                </c:pt>
                <c:pt idx="718">
                  <c:v>44883</c:v>
                </c:pt>
                <c:pt idx="719">
                  <c:v>44882</c:v>
                </c:pt>
                <c:pt idx="720">
                  <c:v>44881</c:v>
                </c:pt>
                <c:pt idx="721">
                  <c:v>44880</c:v>
                </c:pt>
                <c:pt idx="722">
                  <c:v>44879</c:v>
                </c:pt>
                <c:pt idx="723">
                  <c:v>44876</c:v>
                </c:pt>
                <c:pt idx="724">
                  <c:v>44875</c:v>
                </c:pt>
                <c:pt idx="725">
                  <c:v>44874</c:v>
                </c:pt>
                <c:pt idx="726">
                  <c:v>44873</c:v>
                </c:pt>
                <c:pt idx="727">
                  <c:v>44872</c:v>
                </c:pt>
                <c:pt idx="728">
                  <c:v>44869</c:v>
                </c:pt>
                <c:pt idx="729">
                  <c:v>44868</c:v>
                </c:pt>
                <c:pt idx="730">
                  <c:v>44867</c:v>
                </c:pt>
                <c:pt idx="731">
                  <c:v>44866</c:v>
                </c:pt>
                <c:pt idx="732">
                  <c:v>44865</c:v>
                </c:pt>
                <c:pt idx="733">
                  <c:v>44862</c:v>
                </c:pt>
                <c:pt idx="734">
                  <c:v>44861</c:v>
                </c:pt>
                <c:pt idx="735">
                  <c:v>44860</c:v>
                </c:pt>
                <c:pt idx="736">
                  <c:v>44859</c:v>
                </c:pt>
                <c:pt idx="737">
                  <c:v>44858</c:v>
                </c:pt>
                <c:pt idx="738">
                  <c:v>44855</c:v>
                </c:pt>
                <c:pt idx="739">
                  <c:v>44854</c:v>
                </c:pt>
                <c:pt idx="740">
                  <c:v>44853</c:v>
                </c:pt>
                <c:pt idx="741">
                  <c:v>44852</c:v>
                </c:pt>
                <c:pt idx="742">
                  <c:v>44851</c:v>
                </c:pt>
                <c:pt idx="743">
                  <c:v>44848</c:v>
                </c:pt>
                <c:pt idx="744">
                  <c:v>44847</c:v>
                </c:pt>
                <c:pt idx="745">
                  <c:v>44846</c:v>
                </c:pt>
                <c:pt idx="746">
                  <c:v>44845</c:v>
                </c:pt>
                <c:pt idx="747">
                  <c:v>44844</c:v>
                </c:pt>
                <c:pt idx="748">
                  <c:v>44841</c:v>
                </c:pt>
                <c:pt idx="749">
                  <c:v>44840</c:v>
                </c:pt>
                <c:pt idx="750">
                  <c:v>44839</c:v>
                </c:pt>
                <c:pt idx="751">
                  <c:v>44838</c:v>
                </c:pt>
                <c:pt idx="752">
                  <c:v>44837</c:v>
                </c:pt>
                <c:pt idx="753">
                  <c:v>44834</c:v>
                </c:pt>
                <c:pt idx="754">
                  <c:v>44833</c:v>
                </c:pt>
                <c:pt idx="755">
                  <c:v>44832</c:v>
                </c:pt>
                <c:pt idx="756">
                  <c:v>44831</c:v>
                </c:pt>
                <c:pt idx="757">
                  <c:v>44830</c:v>
                </c:pt>
                <c:pt idx="758">
                  <c:v>44827</c:v>
                </c:pt>
                <c:pt idx="759">
                  <c:v>44826</c:v>
                </c:pt>
                <c:pt idx="760">
                  <c:v>44825</c:v>
                </c:pt>
                <c:pt idx="761">
                  <c:v>44824</c:v>
                </c:pt>
                <c:pt idx="762">
                  <c:v>44823</c:v>
                </c:pt>
                <c:pt idx="763">
                  <c:v>44820</c:v>
                </c:pt>
                <c:pt idx="764">
                  <c:v>44819</c:v>
                </c:pt>
                <c:pt idx="765">
                  <c:v>44818</c:v>
                </c:pt>
                <c:pt idx="766">
                  <c:v>44817</c:v>
                </c:pt>
                <c:pt idx="767">
                  <c:v>44816</c:v>
                </c:pt>
                <c:pt idx="768">
                  <c:v>44813</c:v>
                </c:pt>
                <c:pt idx="769">
                  <c:v>44812</c:v>
                </c:pt>
                <c:pt idx="770">
                  <c:v>44811</c:v>
                </c:pt>
                <c:pt idx="771">
                  <c:v>44810</c:v>
                </c:pt>
                <c:pt idx="772">
                  <c:v>44806</c:v>
                </c:pt>
                <c:pt idx="773">
                  <c:v>44805</c:v>
                </c:pt>
                <c:pt idx="774">
                  <c:v>44804</c:v>
                </c:pt>
                <c:pt idx="775">
                  <c:v>44803</c:v>
                </c:pt>
                <c:pt idx="776">
                  <c:v>44802</c:v>
                </c:pt>
                <c:pt idx="777">
                  <c:v>44799</c:v>
                </c:pt>
                <c:pt idx="778">
                  <c:v>44798</c:v>
                </c:pt>
                <c:pt idx="779">
                  <c:v>44797</c:v>
                </c:pt>
                <c:pt idx="780">
                  <c:v>44796</c:v>
                </c:pt>
                <c:pt idx="781">
                  <c:v>44795</c:v>
                </c:pt>
                <c:pt idx="782">
                  <c:v>44792</c:v>
                </c:pt>
                <c:pt idx="783">
                  <c:v>44791</c:v>
                </c:pt>
                <c:pt idx="784">
                  <c:v>44790</c:v>
                </c:pt>
                <c:pt idx="785">
                  <c:v>44789</c:v>
                </c:pt>
                <c:pt idx="786">
                  <c:v>44788</c:v>
                </c:pt>
                <c:pt idx="787">
                  <c:v>44785</c:v>
                </c:pt>
                <c:pt idx="788">
                  <c:v>44784</c:v>
                </c:pt>
                <c:pt idx="789">
                  <c:v>44783</c:v>
                </c:pt>
                <c:pt idx="790">
                  <c:v>44782</c:v>
                </c:pt>
                <c:pt idx="791">
                  <c:v>44781</c:v>
                </c:pt>
                <c:pt idx="792">
                  <c:v>44778</c:v>
                </c:pt>
                <c:pt idx="793">
                  <c:v>44777</c:v>
                </c:pt>
                <c:pt idx="794">
                  <c:v>44776</c:v>
                </c:pt>
                <c:pt idx="795">
                  <c:v>44775</c:v>
                </c:pt>
                <c:pt idx="796">
                  <c:v>44774</c:v>
                </c:pt>
                <c:pt idx="797">
                  <c:v>44771</c:v>
                </c:pt>
                <c:pt idx="798">
                  <c:v>44770</c:v>
                </c:pt>
                <c:pt idx="799">
                  <c:v>44769</c:v>
                </c:pt>
                <c:pt idx="800">
                  <c:v>44768</c:v>
                </c:pt>
                <c:pt idx="801">
                  <c:v>44767</c:v>
                </c:pt>
                <c:pt idx="802">
                  <c:v>44764</c:v>
                </c:pt>
                <c:pt idx="803">
                  <c:v>44763</c:v>
                </c:pt>
                <c:pt idx="804">
                  <c:v>44762</c:v>
                </c:pt>
                <c:pt idx="805">
                  <c:v>44761</c:v>
                </c:pt>
                <c:pt idx="806">
                  <c:v>44760</c:v>
                </c:pt>
                <c:pt idx="807">
                  <c:v>44757</c:v>
                </c:pt>
                <c:pt idx="808">
                  <c:v>44756</c:v>
                </c:pt>
                <c:pt idx="809">
                  <c:v>44755</c:v>
                </c:pt>
                <c:pt idx="810">
                  <c:v>44754</c:v>
                </c:pt>
                <c:pt idx="811">
                  <c:v>44753</c:v>
                </c:pt>
                <c:pt idx="812">
                  <c:v>44750</c:v>
                </c:pt>
                <c:pt idx="813">
                  <c:v>44749</c:v>
                </c:pt>
                <c:pt idx="814">
                  <c:v>44748</c:v>
                </c:pt>
                <c:pt idx="815">
                  <c:v>44747</c:v>
                </c:pt>
                <c:pt idx="816">
                  <c:v>44743</c:v>
                </c:pt>
                <c:pt idx="817">
                  <c:v>44742</c:v>
                </c:pt>
                <c:pt idx="818">
                  <c:v>44741</c:v>
                </c:pt>
                <c:pt idx="819">
                  <c:v>44740</c:v>
                </c:pt>
                <c:pt idx="820">
                  <c:v>44739</c:v>
                </c:pt>
                <c:pt idx="821">
                  <c:v>44736</c:v>
                </c:pt>
                <c:pt idx="822">
                  <c:v>44735</c:v>
                </c:pt>
                <c:pt idx="823">
                  <c:v>44734</c:v>
                </c:pt>
                <c:pt idx="824">
                  <c:v>44733</c:v>
                </c:pt>
                <c:pt idx="825">
                  <c:v>44729</c:v>
                </c:pt>
                <c:pt idx="826">
                  <c:v>44728</c:v>
                </c:pt>
                <c:pt idx="827">
                  <c:v>44727</c:v>
                </c:pt>
                <c:pt idx="828">
                  <c:v>44726</c:v>
                </c:pt>
                <c:pt idx="829">
                  <c:v>44725</c:v>
                </c:pt>
                <c:pt idx="830">
                  <c:v>44722</c:v>
                </c:pt>
                <c:pt idx="831">
                  <c:v>44721</c:v>
                </c:pt>
                <c:pt idx="832">
                  <c:v>44720</c:v>
                </c:pt>
                <c:pt idx="833">
                  <c:v>44719</c:v>
                </c:pt>
                <c:pt idx="834">
                  <c:v>44718</c:v>
                </c:pt>
                <c:pt idx="835">
                  <c:v>44715</c:v>
                </c:pt>
                <c:pt idx="836">
                  <c:v>44714</c:v>
                </c:pt>
                <c:pt idx="837">
                  <c:v>44713</c:v>
                </c:pt>
                <c:pt idx="838">
                  <c:v>44712</c:v>
                </c:pt>
                <c:pt idx="839">
                  <c:v>44708</c:v>
                </c:pt>
                <c:pt idx="840">
                  <c:v>44707</c:v>
                </c:pt>
                <c:pt idx="841">
                  <c:v>44706</c:v>
                </c:pt>
                <c:pt idx="842">
                  <c:v>44705</c:v>
                </c:pt>
                <c:pt idx="843">
                  <c:v>44704</c:v>
                </c:pt>
                <c:pt idx="844">
                  <c:v>44701</c:v>
                </c:pt>
                <c:pt idx="845">
                  <c:v>44700</c:v>
                </c:pt>
                <c:pt idx="846">
                  <c:v>44699</c:v>
                </c:pt>
                <c:pt idx="847">
                  <c:v>44698</c:v>
                </c:pt>
                <c:pt idx="848">
                  <c:v>44697</c:v>
                </c:pt>
                <c:pt idx="849">
                  <c:v>44694</c:v>
                </c:pt>
                <c:pt idx="850">
                  <c:v>44693</c:v>
                </c:pt>
                <c:pt idx="851">
                  <c:v>44692</c:v>
                </c:pt>
                <c:pt idx="852">
                  <c:v>44691</c:v>
                </c:pt>
                <c:pt idx="853">
                  <c:v>44690</c:v>
                </c:pt>
                <c:pt idx="854">
                  <c:v>44687</c:v>
                </c:pt>
                <c:pt idx="855">
                  <c:v>44686</c:v>
                </c:pt>
                <c:pt idx="856">
                  <c:v>44685</c:v>
                </c:pt>
                <c:pt idx="857">
                  <c:v>44684</c:v>
                </c:pt>
                <c:pt idx="858">
                  <c:v>44683</c:v>
                </c:pt>
                <c:pt idx="859">
                  <c:v>44680</c:v>
                </c:pt>
                <c:pt idx="860">
                  <c:v>44679</c:v>
                </c:pt>
                <c:pt idx="861">
                  <c:v>44678</c:v>
                </c:pt>
                <c:pt idx="862">
                  <c:v>44677</c:v>
                </c:pt>
                <c:pt idx="863">
                  <c:v>44676</c:v>
                </c:pt>
                <c:pt idx="864">
                  <c:v>44673</c:v>
                </c:pt>
                <c:pt idx="865">
                  <c:v>44672</c:v>
                </c:pt>
                <c:pt idx="866">
                  <c:v>44671</c:v>
                </c:pt>
                <c:pt idx="867">
                  <c:v>44670</c:v>
                </c:pt>
                <c:pt idx="868">
                  <c:v>44669</c:v>
                </c:pt>
                <c:pt idx="869">
                  <c:v>44665</c:v>
                </c:pt>
                <c:pt idx="870">
                  <c:v>44664</c:v>
                </c:pt>
                <c:pt idx="871">
                  <c:v>44663</c:v>
                </c:pt>
                <c:pt idx="872">
                  <c:v>44662</c:v>
                </c:pt>
                <c:pt idx="873">
                  <c:v>44659</c:v>
                </c:pt>
                <c:pt idx="874">
                  <c:v>44658</c:v>
                </c:pt>
                <c:pt idx="875">
                  <c:v>44657</c:v>
                </c:pt>
                <c:pt idx="876">
                  <c:v>44656</c:v>
                </c:pt>
                <c:pt idx="877">
                  <c:v>44655</c:v>
                </c:pt>
                <c:pt idx="878">
                  <c:v>44652</c:v>
                </c:pt>
                <c:pt idx="879">
                  <c:v>44651</c:v>
                </c:pt>
                <c:pt idx="880">
                  <c:v>44650</c:v>
                </c:pt>
                <c:pt idx="881">
                  <c:v>44649</c:v>
                </c:pt>
                <c:pt idx="882">
                  <c:v>44648</c:v>
                </c:pt>
                <c:pt idx="883">
                  <c:v>44645</c:v>
                </c:pt>
                <c:pt idx="884">
                  <c:v>44644</c:v>
                </c:pt>
                <c:pt idx="885">
                  <c:v>44643</c:v>
                </c:pt>
                <c:pt idx="886">
                  <c:v>44642</c:v>
                </c:pt>
                <c:pt idx="887">
                  <c:v>44641</c:v>
                </c:pt>
                <c:pt idx="888">
                  <c:v>44638</c:v>
                </c:pt>
                <c:pt idx="889">
                  <c:v>44637</c:v>
                </c:pt>
                <c:pt idx="890">
                  <c:v>44636</c:v>
                </c:pt>
                <c:pt idx="891">
                  <c:v>44635</c:v>
                </c:pt>
                <c:pt idx="892">
                  <c:v>44634</c:v>
                </c:pt>
                <c:pt idx="893">
                  <c:v>44631</c:v>
                </c:pt>
                <c:pt idx="894">
                  <c:v>44630</c:v>
                </c:pt>
                <c:pt idx="895">
                  <c:v>44629</c:v>
                </c:pt>
                <c:pt idx="896">
                  <c:v>44628</c:v>
                </c:pt>
                <c:pt idx="897">
                  <c:v>44627</c:v>
                </c:pt>
                <c:pt idx="898">
                  <c:v>44624</c:v>
                </c:pt>
                <c:pt idx="899">
                  <c:v>44623</c:v>
                </c:pt>
                <c:pt idx="900">
                  <c:v>44622</c:v>
                </c:pt>
                <c:pt idx="901">
                  <c:v>44621</c:v>
                </c:pt>
                <c:pt idx="902">
                  <c:v>44620</c:v>
                </c:pt>
                <c:pt idx="903">
                  <c:v>44617</c:v>
                </c:pt>
                <c:pt idx="904">
                  <c:v>44616</c:v>
                </c:pt>
                <c:pt idx="905">
                  <c:v>44615</c:v>
                </c:pt>
                <c:pt idx="906">
                  <c:v>44614</c:v>
                </c:pt>
                <c:pt idx="907">
                  <c:v>44610</c:v>
                </c:pt>
                <c:pt idx="908">
                  <c:v>44609</c:v>
                </c:pt>
                <c:pt idx="909">
                  <c:v>44608</c:v>
                </c:pt>
                <c:pt idx="910">
                  <c:v>44607</c:v>
                </c:pt>
                <c:pt idx="911">
                  <c:v>44606</c:v>
                </c:pt>
                <c:pt idx="912">
                  <c:v>44603</c:v>
                </c:pt>
                <c:pt idx="913">
                  <c:v>44602</c:v>
                </c:pt>
                <c:pt idx="914">
                  <c:v>44601</c:v>
                </c:pt>
                <c:pt idx="915">
                  <c:v>44600</c:v>
                </c:pt>
                <c:pt idx="916">
                  <c:v>44599</c:v>
                </c:pt>
                <c:pt idx="917">
                  <c:v>44596</c:v>
                </c:pt>
                <c:pt idx="918">
                  <c:v>44595</c:v>
                </c:pt>
                <c:pt idx="919">
                  <c:v>44594</c:v>
                </c:pt>
                <c:pt idx="920">
                  <c:v>44593</c:v>
                </c:pt>
                <c:pt idx="921">
                  <c:v>44592</c:v>
                </c:pt>
                <c:pt idx="922">
                  <c:v>44589</c:v>
                </c:pt>
                <c:pt idx="923">
                  <c:v>44588</c:v>
                </c:pt>
                <c:pt idx="924">
                  <c:v>44587</c:v>
                </c:pt>
                <c:pt idx="925">
                  <c:v>44586</c:v>
                </c:pt>
                <c:pt idx="926">
                  <c:v>44585</c:v>
                </c:pt>
                <c:pt idx="927">
                  <c:v>44582</c:v>
                </c:pt>
                <c:pt idx="928">
                  <c:v>44581</c:v>
                </c:pt>
                <c:pt idx="929">
                  <c:v>44580</c:v>
                </c:pt>
                <c:pt idx="930">
                  <c:v>44579</c:v>
                </c:pt>
                <c:pt idx="931">
                  <c:v>44575</c:v>
                </c:pt>
                <c:pt idx="932">
                  <c:v>44574</c:v>
                </c:pt>
                <c:pt idx="933">
                  <c:v>44573</c:v>
                </c:pt>
                <c:pt idx="934">
                  <c:v>44572</c:v>
                </c:pt>
                <c:pt idx="935">
                  <c:v>44571</c:v>
                </c:pt>
                <c:pt idx="936">
                  <c:v>44568</c:v>
                </c:pt>
                <c:pt idx="937">
                  <c:v>44567</c:v>
                </c:pt>
                <c:pt idx="938">
                  <c:v>44566</c:v>
                </c:pt>
                <c:pt idx="939">
                  <c:v>44565</c:v>
                </c:pt>
                <c:pt idx="940">
                  <c:v>44564</c:v>
                </c:pt>
                <c:pt idx="941">
                  <c:v>44561</c:v>
                </c:pt>
                <c:pt idx="942">
                  <c:v>44560</c:v>
                </c:pt>
                <c:pt idx="943">
                  <c:v>44559</c:v>
                </c:pt>
                <c:pt idx="944">
                  <c:v>44558</c:v>
                </c:pt>
                <c:pt idx="945">
                  <c:v>44557</c:v>
                </c:pt>
                <c:pt idx="946">
                  <c:v>44553</c:v>
                </c:pt>
                <c:pt idx="947">
                  <c:v>44552</c:v>
                </c:pt>
                <c:pt idx="948">
                  <c:v>44551</c:v>
                </c:pt>
                <c:pt idx="949">
                  <c:v>44550</c:v>
                </c:pt>
                <c:pt idx="950">
                  <c:v>44547</c:v>
                </c:pt>
                <c:pt idx="951">
                  <c:v>44546</c:v>
                </c:pt>
                <c:pt idx="952">
                  <c:v>44545</c:v>
                </c:pt>
                <c:pt idx="953">
                  <c:v>44544</c:v>
                </c:pt>
                <c:pt idx="954">
                  <c:v>44543</c:v>
                </c:pt>
                <c:pt idx="955">
                  <c:v>44540</c:v>
                </c:pt>
                <c:pt idx="956">
                  <c:v>44539</c:v>
                </c:pt>
                <c:pt idx="957">
                  <c:v>44538</c:v>
                </c:pt>
                <c:pt idx="958">
                  <c:v>44537</c:v>
                </c:pt>
                <c:pt idx="959">
                  <c:v>44536</c:v>
                </c:pt>
                <c:pt idx="960">
                  <c:v>44533</c:v>
                </c:pt>
                <c:pt idx="961">
                  <c:v>44532</c:v>
                </c:pt>
                <c:pt idx="962">
                  <c:v>44531</c:v>
                </c:pt>
                <c:pt idx="963">
                  <c:v>44530</c:v>
                </c:pt>
                <c:pt idx="964">
                  <c:v>44529</c:v>
                </c:pt>
                <c:pt idx="965">
                  <c:v>44526</c:v>
                </c:pt>
                <c:pt idx="966">
                  <c:v>44524</c:v>
                </c:pt>
                <c:pt idx="967">
                  <c:v>44523</c:v>
                </c:pt>
                <c:pt idx="968">
                  <c:v>44522</c:v>
                </c:pt>
                <c:pt idx="969">
                  <c:v>44519</c:v>
                </c:pt>
                <c:pt idx="970">
                  <c:v>44518</c:v>
                </c:pt>
                <c:pt idx="971">
                  <c:v>44517</c:v>
                </c:pt>
                <c:pt idx="972">
                  <c:v>44516</c:v>
                </c:pt>
                <c:pt idx="973">
                  <c:v>44515</c:v>
                </c:pt>
                <c:pt idx="974">
                  <c:v>44512</c:v>
                </c:pt>
                <c:pt idx="975">
                  <c:v>44511</c:v>
                </c:pt>
                <c:pt idx="976">
                  <c:v>44510</c:v>
                </c:pt>
                <c:pt idx="977">
                  <c:v>44509</c:v>
                </c:pt>
                <c:pt idx="978">
                  <c:v>44508</c:v>
                </c:pt>
                <c:pt idx="979">
                  <c:v>44505</c:v>
                </c:pt>
                <c:pt idx="980">
                  <c:v>44504</c:v>
                </c:pt>
                <c:pt idx="981">
                  <c:v>44503</c:v>
                </c:pt>
                <c:pt idx="982">
                  <c:v>44502</c:v>
                </c:pt>
                <c:pt idx="983">
                  <c:v>44501</c:v>
                </c:pt>
                <c:pt idx="984">
                  <c:v>44498</c:v>
                </c:pt>
                <c:pt idx="985">
                  <c:v>44497</c:v>
                </c:pt>
                <c:pt idx="986">
                  <c:v>44496</c:v>
                </c:pt>
                <c:pt idx="987">
                  <c:v>44495</c:v>
                </c:pt>
                <c:pt idx="988">
                  <c:v>44494</c:v>
                </c:pt>
                <c:pt idx="989">
                  <c:v>44491</c:v>
                </c:pt>
                <c:pt idx="990">
                  <c:v>44490</c:v>
                </c:pt>
                <c:pt idx="991">
                  <c:v>44489</c:v>
                </c:pt>
                <c:pt idx="992">
                  <c:v>44488</c:v>
                </c:pt>
                <c:pt idx="993">
                  <c:v>44487</c:v>
                </c:pt>
                <c:pt idx="994">
                  <c:v>44484</c:v>
                </c:pt>
                <c:pt idx="995">
                  <c:v>44483</c:v>
                </c:pt>
                <c:pt idx="996">
                  <c:v>44482</c:v>
                </c:pt>
                <c:pt idx="997">
                  <c:v>44481</c:v>
                </c:pt>
                <c:pt idx="998">
                  <c:v>44480</c:v>
                </c:pt>
                <c:pt idx="999">
                  <c:v>44477</c:v>
                </c:pt>
                <c:pt idx="1000">
                  <c:v>44476</c:v>
                </c:pt>
                <c:pt idx="1001">
                  <c:v>44475</c:v>
                </c:pt>
                <c:pt idx="1002">
                  <c:v>44474</c:v>
                </c:pt>
                <c:pt idx="1003">
                  <c:v>44473</c:v>
                </c:pt>
                <c:pt idx="1004">
                  <c:v>44470</c:v>
                </c:pt>
                <c:pt idx="1005">
                  <c:v>44469</c:v>
                </c:pt>
                <c:pt idx="1006">
                  <c:v>44468</c:v>
                </c:pt>
                <c:pt idx="1007">
                  <c:v>44467</c:v>
                </c:pt>
                <c:pt idx="1008">
                  <c:v>44466</c:v>
                </c:pt>
                <c:pt idx="1009">
                  <c:v>44463</c:v>
                </c:pt>
                <c:pt idx="1010">
                  <c:v>44462</c:v>
                </c:pt>
                <c:pt idx="1011">
                  <c:v>44461</c:v>
                </c:pt>
                <c:pt idx="1012">
                  <c:v>44460</c:v>
                </c:pt>
                <c:pt idx="1013">
                  <c:v>44459</c:v>
                </c:pt>
                <c:pt idx="1014">
                  <c:v>44456</c:v>
                </c:pt>
                <c:pt idx="1015">
                  <c:v>44455</c:v>
                </c:pt>
                <c:pt idx="1016">
                  <c:v>44454</c:v>
                </c:pt>
                <c:pt idx="1017">
                  <c:v>44453</c:v>
                </c:pt>
                <c:pt idx="1018">
                  <c:v>44452</c:v>
                </c:pt>
                <c:pt idx="1019">
                  <c:v>44449</c:v>
                </c:pt>
                <c:pt idx="1020">
                  <c:v>44448</c:v>
                </c:pt>
                <c:pt idx="1021">
                  <c:v>44447</c:v>
                </c:pt>
                <c:pt idx="1022">
                  <c:v>44446</c:v>
                </c:pt>
                <c:pt idx="1023">
                  <c:v>44442</c:v>
                </c:pt>
                <c:pt idx="1024">
                  <c:v>44441</c:v>
                </c:pt>
                <c:pt idx="1025">
                  <c:v>44440</c:v>
                </c:pt>
                <c:pt idx="1026">
                  <c:v>44439</c:v>
                </c:pt>
                <c:pt idx="1027">
                  <c:v>44438</c:v>
                </c:pt>
                <c:pt idx="1028">
                  <c:v>44435</c:v>
                </c:pt>
                <c:pt idx="1029">
                  <c:v>44434</c:v>
                </c:pt>
                <c:pt idx="1030">
                  <c:v>44433</c:v>
                </c:pt>
                <c:pt idx="1031">
                  <c:v>44432</c:v>
                </c:pt>
                <c:pt idx="1032">
                  <c:v>44431</c:v>
                </c:pt>
                <c:pt idx="1033">
                  <c:v>44428</c:v>
                </c:pt>
                <c:pt idx="1034">
                  <c:v>44427</c:v>
                </c:pt>
                <c:pt idx="1035">
                  <c:v>44426</c:v>
                </c:pt>
                <c:pt idx="1036">
                  <c:v>44425</c:v>
                </c:pt>
                <c:pt idx="1037">
                  <c:v>44424</c:v>
                </c:pt>
                <c:pt idx="1038">
                  <c:v>44421</c:v>
                </c:pt>
                <c:pt idx="1039">
                  <c:v>44420</c:v>
                </c:pt>
                <c:pt idx="1040">
                  <c:v>44419</c:v>
                </c:pt>
                <c:pt idx="1041">
                  <c:v>44418</c:v>
                </c:pt>
                <c:pt idx="1042">
                  <c:v>44417</c:v>
                </c:pt>
                <c:pt idx="1043">
                  <c:v>44414</c:v>
                </c:pt>
                <c:pt idx="1044">
                  <c:v>44413</c:v>
                </c:pt>
                <c:pt idx="1045">
                  <c:v>44412</c:v>
                </c:pt>
                <c:pt idx="1046">
                  <c:v>44411</c:v>
                </c:pt>
                <c:pt idx="1047">
                  <c:v>44410</c:v>
                </c:pt>
                <c:pt idx="1048">
                  <c:v>44407</c:v>
                </c:pt>
                <c:pt idx="1049">
                  <c:v>44406</c:v>
                </c:pt>
                <c:pt idx="1050">
                  <c:v>44405</c:v>
                </c:pt>
                <c:pt idx="1051">
                  <c:v>44404</c:v>
                </c:pt>
                <c:pt idx="1052">
                  <c:v>44403</c:v>
                </c:pt>
                <c:pt idx="1053">
                  <c:v>44400</c:v>
                </c:pt>
                <c:pt idx="1054">
                  <c:v>44399</c:v>
                </c:pt>
                <c:pt idx="1055">
                  <c:v>44398</c:v>
                </c:pt>
                <c:pt idx="1056">
                  <c:v>44397</c:v>
                </c:pt>
                <c:pt idx="1057">
                  <c:v>44396</c:v>
                </c:pt>
                <c:pt idx="1058">
                  <c:v>44393</c:v>
                </c:pt>
                <c:pt idx="1059">
                  <c:v>44392</c:v>
                </c:pt>
                <c:pt idx="1060">
                  <c:v>44391</c:v>
                </c:pt>
                <c:pt idx="1061">
                  <c:v>44390</c:v>
                </c:pt>
                <c:pt idx="1062">
                  <c:v>44389</c:v>
                </c:pt>
                <c:pt idx="1063">
                  <c:v>44386</c:v>
                </c:pt>
                <c:pt idx="1064">
                  <c:v>44385</c:v>
                </c:pt>
                <c:pt idx="1065">
                  <c:v>44384</c:v>
                </c:pt>
                <c:pt idx="1066">
                  <c:v>44383</c:v>
                </c:pt>
                <c:pt idx="1067">
                  <c:v>44379</c:v>
                </c:pt>
                <c:pt idx="1068">
                  <c:v>44378</c:v>
                </c:pt>
                <c:pt idx="1069">
                  <c:v>44377</c:v>
                </c:pt>
                <c:pt idx="1070">
                  <c:v>44376</c:v>
                </c:pt>
                <c:pt idx="1071">
                  <c:v>44375</c:v>
                </c:pt>
                <c:pt idx="1072">
                  <c:v>44372</c:v>
                </c:pt>
                <c:pt idx="1073">
                  <c:v>44371</c:v>
                </c:pt>
                <c:pt idx="1074">
                  <c:v>44370</c:v>
                </c:pt>
                <c:pt idx="1075">
                  <c:v>44369</c:v>
                </c:pt>
                <c:pt idx="1076">
                  <c:v>44368</c:v>
                </c:pt>
                <c:pt idx="1077">
                  <c:v>44365</c:v>
                </c:pt>
                <c:pt idx="1078">
                  <c:v>44364</c:v>
                </c:pt>
                <c:pt idx="1079">
                  <c:v>44363</c:v>
                </c:pt>
                <c:pt idx="1080">
                  <c:v>44362</c:v>
                </c:pt>
                <c:pt idx="1081">
                  <c:v>44361</c:v>
                </c:pt>
                <c:pt idx="1082">
                  <c:v>44358</c:v>
                </c:pt>
                <c:pt idx="1083">
                  <c:v>44357</c:v>
                </c:pt>
                <c:pt idx="1084">
                  <c:v>44356</c:v>
                </c:pt>
                <c:pt idx="1085">
                  <c:v>44355</c:v>
                </c:pt>
                <c:pt idx="1086">
                  <c:v>44354</c:v>
                </c:pt>
                <c:pt idx="1087">
                  <c:v>44351</c:v>
                </c:pt>
                <c:pt idx="1088">
                  <c:v>44350</c:v>
                </c:pt>
                <c:pt idx="1089">
                  <c:v>44349</c:v>
                </c:pt>
                <c:pt idx="1090">
                  <c:v>44348</c:v>
                </c:pt>
                <c:pt idx="1091">
                  <c:v>44344</c:v>
                </c:pt>
                <c:pt idx="1092">
                  <c:v>44343</c:v>
                </c:pt>
                <c:pt idx="1093">
                  <c:v>44342</c:v>
                </c:pt>
                <c:pt idx="1094">
                  <c:v>44341</c:v>
                </c:pt>
                <c:pt idx="1095">
                  <c:v>44340</c:v>
                </c:pt>
                <c:pt idx="1096">
                  <c:v>44337</c:v>
                </c:pt>
                <c:pt idx="1097">
                  <c:v>44336</c:v>
                </c:pt>
                <c:pt idx="1098">
                  <c:v>44335</c:v>
                </c:pt>
                <c:pt idx="1099">
                  <c:v>44334</c:v>
                </c:pt>
                <c:pt idx="1100">
                  <c:v>44333</c:v>
                </c:pt>
                <c:pt idx="1101">
                  <c:v>44330</c:v>
                </c:pt>
                <c:pt idx="1102">
                  <c:v>44329</c:v>
                </c:pt>
                <c:pt idx="1103">
                  <c:v>44328</c:v>
                </c:pt>
                <c:pt idx="1104">
                  <c:v>44327</c:v>
                </c:pt>
                <c:pt idx="1105">
                  <c:v>44326</c:v>
                </c:pt>
                <c:pt idx="1106">
                  <c:v>44323</c:v>
                </c:pt>
                <c:pt idx="1107">
                  <c:v>44322</c:v>
                </c:pt>
                <c:pt idx="1108">
                  <c:v>44321</c:v>
                </c:pt>
                <c:pt idx="1109">
                  <c:v>44320</c:v>
                </c:pt>
                <c:pt idx="1110">
                  <c:v>44319</c:v>
                </c:pt>
                <c:pt idx="1111">
                  <c:v>44316</c:v>
                </c:pt>
                <c:pt idx="1112">
                  <c:v>44315</c:v>
                </c:pt>
                <c:pt idx="1113">
                  <c:v>44314</c:v>
                </c:pt>
                <c:pt idx="1114">
                  <c:v>44313</c:v>
                </c:pt>
                <c:pt idx="1115">
                  <c:v>44312</c:v>
                </c:pt>
                <c:pt idx="1116">
                  <c:v>44309</c:v>
                </c:pt>
                <c:pt idx="1117">
                  <c:v>44308</c:v>
                </c:pt>
                <c:pt idx="1118">
                  <c:v>44307</c:v>
                </c:pt>
                <c:pt idx="1119">
                  <c:v>44306</c:v>
                </c:pt>
                <c:pt idx="1120">
                  <c:v>44305</c:v>
                </c:pt>
                <c:pt idx="1121">
                  <c:v>44302</c:v>
                </c:pt>
                <c:pt idx="1122">
                  <c:v>44301</c:v>
                </c:pt>
                <c:pt idx="1123">
                  <c:v>44300</c:v>
                </c:pt>
                <c:pt idx="1124">
                  <c:v>44299</c:v>
                </c:pt>
                <c:pt idx="1125">
                  <c:v>44298</c:v>
                </c:pt>
                <c:pt idx="1126">
                  <c:v>44295</c:v>
                </c:pt>
                <c:pt idx="1127">
                  <c:v>44294</c:v>
                </c:pt>
                <c:pt idx="1128">
                  <c:v>44293</c:v>
                </c:pt>
                <c:pt idx="1129">
                  <c:v>44292</c:v>
                </c:pt>
                <c:pt idx="1130">
                  <c:v>44291</c:v>
                </c:pt>
                <c:pt idx="1131">
                  <c:v>44287</c:v>
                </c:pt>
                <c:pt idx="1132">
                  <c:v>44286</c:v>
                </c:pt>
                <c:pt idx="1133">
                  <c:v>44285</c:v>
                </c:pt>
                <c:pt idx="1134">
                  <c:v>44284</c:v>
                </c:pt>
                <c:pt idx="1135">
                  <c:v>44281</c:v>
                </c:pt>
                <c:pt idx="1136">
                  <c:v>44280</c:v>
                </c:pt>
                <c:pt idx="1137">
                  <c:v>44279</c:v>
                </c:pt>
                <c:pt idx="1138">
                  <c:v>44278</c:v>
                </c:pt>
                <c:pt idx="1139">
                  <c:v>44277</c:v>
                </c:pt>
                <c:pt idx="1140">
                  <c:v>44274</c:v>
                </c:pt>
                <c:pt idx="1141">
                  <c:v>44273</c:v>
                </c:pt>
                <c:pt idx="1142">
                  <c:v>44272</c:v>
                </c:pt>
                <c:pt idx="1143">
                  <c:v>44271</c:v>
                </c:pt>
                <c:pt idx="1144">
                  <c:v>44270</c:v>
                </c:pt>
                <c:pt idx="1145">
                  <c:v>44267</c:v>
                </c:pt>
                <c:pt idx="1146">
                  <c:v>44266</c:v>
                </c:pt>
                <c:pt idx="1147">
                  <c:v>44265</c:v>
                </c:pt>
                <c:pt idx="1148">
                  <c:v>44264</c:v>
                </c:pt>
                <c:pt idx="1149">
                  <c:v>44263</c:v>
                </c:pt>
                <c:pt idx="1150">
                  <c:v>44260</c:v>
                </c:pt>
                <c:pt idx="1151">
                  <c:v>44259</c:v>
                </c:pt>
                <c:pt idx="1152">
                  <c:v>44258</c:v>
                </c:pt>
                <c:pt idx="1153">
                  <c:v>44257</c:v>
                </c:pt>
                <c:pt idx="1154">
                  <c:v>44256</c:v>
                </c:pt>
                <c:pt idx="1155">
                  <c:v>44253</c:v>
                </c:pt>
                <c:pt idx="1156">
                  <c:v>44252</c:v>
                </c:pt>
                <c:pt idx="1157">
                  <c:v>44251</c:v>
                </c:pt>
                <c:pt idx="1158">
                  <c:v>44250</c:v>
                </c:pt>
                <c:pt idx="1159">
                  <c:v>44249</c:v>
                </c:pt>
                <c:pt idx="1160">
                  <c:v>44246</c:v>
                </c:pt>
                <c:pt idx="1161">
                  <c:v>44245</c:v>
                </c:pt>
                <c:pt idx="1162">
                  <c:v>44244</c:v>
                </c:pt>
                <c:pt idx="1163">
                  <c:v>44243</c:v>
                </c:pt>
                <c:pt idx="1164">
                  <c:v>44239</c:v>
                </c:pt>
                <c:pt idx="1165">
                  <c:v>44238</c:v>
                </c:pt>
                <c:pt idx="1166">
                  <c:v>44237</c:v>
                </c:pt>
                <c:pt idx="1167">
                  <c:v>44236</c:v>
                </c:pt>
                <c:pt idx="1168">
                  <c:v>44235</c:v>
                </c:pt>
                <c:pt idx="1169">
                  <c:v>44232</c:v>
                </c:pt>
                <c:pt idx="1170">
                  <c:v>44231</c:v>
                </c:pt>
                <c:pt idx="1171">
                  <c:v>44230</c:v>
                </c:pt>
                <c:pt idx="1172">
                  <c:v>44229</c:v>
                </c:pt>
                <c:pt idx="1173">
                  <c:v>44228</c:v>
                </c:pt>
                <c:pt idx="1174">
                  <c:v>44225</c:v>
                </c:pt>
                <c:pt idx="1175">
                  <c:v>44224</c:v>
                </c:pt>
                <c:pt idx="1176">
                  <c:v>44223</c:v>
                </c:pt>
                <c:pt idx="1177">
                  <c:v>44222</c:v>
                </c:pt>
                <c:pt idx="1178">
                  <c:v>44221</c:v>
                </c:pt>
                <c:pt idx="1179">
                  <c:v>44218</c:v>
                </c:pt>
                <c:pt idx="1180">
                  <c:v>44217</c:v>
                </c:pt>
                <c:pt idx="1181">
                  <c:v>44216</c:v>
                </c:pt>
                <c:pt idx="1182">
                  <c:v>44215</c:v>
                </c:pt>
                <c:pt idx="1183">
                  <c:v>44211</c:v>
                </c:pt>
                <c:pt idx="1184">
                  <c:v>44210</c:v>
                </c:pt>
                <c:pt idx="1185">
                  <c:v>44209</c:v>
                </c:pt>
                <c:pt idx="1186">
                  <c:v>44208</c:v>
                </c:pt>
                <c:pt idx="1187">
                  <c:v>44207</c:v>
                </c:pt>
                <c:pt idx="1188">
                  <c:v>44204</c:v>
                </c:pt>
                <c:pt idx="1189">
                  <c:v>44203</c:v>
                </c:pt>
                <c:pt idx="1190">
                  <c:v>44202</c:v>
                </c:pt>
                <c:pt idx="1191">
                  <c:v>44201</c:v>
                </c:pt>
                <c:pt idx="1192">
                  <c:v>44200</c:v>
                </c:pt>
                <c:pt idx="1193">
                  <c:v>44196</c:v>
                </c:pt>
                <c:pt idx="1194">
                  <c:v>44195</c:v>
                </c:pt>
                <c:pt idx="1195">
                  <c:v>44194</c:v>
                </c:pt>
                <c:pt idx="1196">
                  <c:v>44193</c:v>
                </c:pt>
                <c:pt idx="1197">
                  <c:v>44189</c:v>
                </c:pt>
                <c:pt idx="1198">
                  <c:v>44188</c:v>
                </c:pt>
                <c:pt idx="1199">
                  <c:v>44187</c:v>
                </c:pt>
                <c:pt idx="1200">
                  <c:v>44186</c:v>
                </c:pt>
                <c:pt idx="1201">
                  <c:v>44183</c:v>
                </c:pt>
                <c:pt idx="1202">
                  <c:v>44182</c:v>
                </c:pt>
                <c:pt idx="1203">
                  <c:v>44181</c:v>
                </c:pt>
                <c:pt idx="1204">
                  <c:v>44180</c:v>
                </c:pt>
                <c:pt idx="1205">
                  <c:v>44179</c:v>
                </c:pt>
                <c:pt idx="1206">
                  <c:v>44176</c:v>
                </c:pt>
                <c:pt idx="1207">
                  <c:v>44175</c:v>
                </c:pt>
                <c:pt idx="1208">
                  <c:v>44174</c:v>
                </c:pt>
                <c:pt idx="1209">
                  <c:v>44173</c:v>
                </c:pt>
                <c:pt idx="1210">
                  <c:v>44172</c:v>
                </c:pt>
                <c:pt idx="1211">
                  <c:v>44169</c:v>
                </c:pt>
                <c:pt idx="1212">
                  <c:v>44168</c:v>
                </c:pt>
                <c:pt idx="1213">
                  <c:v>44167</c:v>
                </c:pt>
                <c:pt idx="1214">
                  <c:v>44166</c:v>
                </c:pt>
                <c:pt idx="1215">
                  <c:v>44165</c:v>
                </c:pt>
                <c:pt idx="1216">
                  <c:v>44162</c:v>
                </c:pt>
                <c:pt idx="1217">
                  <c:v>44160</c:v>
                </c:pt>
                <c:pt idx="1218">
                  <c:v>44159</c:v>
                </c:pt>
                <c:pt idx="1219">
                  <c:v>44158</c:v>
                </c:pt>
                <c:pt idx="1220">
                  <c:v>44155</c:v>
                </c:pt>
                <c:pt idx="1221">
                  <c:v>44154</c:v>
                </c:pt>
                <c:pt idx="1222">
                  <c:v>44153</c:v>
                </c:pt>
                <c:pt idx="1223">
                  <c:v>44152</c:v>
                </c:pt>
                <c:pt idx="1224">
                  <c:v>44151</c:v>
                </c:pt>
                <c:pt idx="1225">
                  <c:v>44148</c:v>
                </c:pt>
                <c:pt idx="1226">
                  <c:v>44147</c:v>
                </c:pt>
                <c:pt idx="1227">
                  <c:v>44146</c:v>
                </c:pt>
                <c:pt idx="1228">
                  <c:v>44145</c:v>
                </c:pt>
                <c:pt idx="1229">
                  <c:v>44144</c:v>
                </c:pt>
                <c:pt idx="1230">
                  <c:v>44141</c:v>
                </c:pt>
                <c:pt idx="1231">
                  <c:v>44140</c:v>
                </c:pt>
                <c:pt idx="1232">
                  <c:v>44139</c:v>
                </c:pt>
                <c:pt idx="1233">
                  <c:v>44138</c:v>
                </c:pt>
                <c:pt idx="1234">
                  <c:v>44137</c:v>
                </c:pt>
                <c:pt idx="1235">
                  <c:v>44134</c:v>
                </c:pt>
                <c:pt idx="1236">
                  <c:v>44133</c:v>
                </c:pt>
                <c:pt idx="1237">
                  <c:v>44132</c:v>
                </c:pt>
                <c:pt idx="1238">
                  <c:v>44131</c:v>
                </c:pt>
                <c:pt idx="1239">
                  <c:v>44130</c:v>
                </c:pt>
                <c:pt idx="1240">
                  <c:v>44127</c:v>
                </c:pt>
                <c:pt idx="1241">
                  <c:v>44126</c:v>
                </c:pt>
                <c:pt idx="1242">
                  <c:v>44125</c:v>
                </c:pt>
                <c:pt idx="1243">
                  <c:v>44124</c:v>
                </c:pt>
                <c:pt idx="1244">
                  <c:v>44123</c:v>
                </c:pt>
                <c:pt idx="1245">
                  <c:v>44120</c:v>
                </c:pt>
                <c:pt idx="1246">
                  <c:v>44119</c:v>
                </c:pt>
                <c:pt idx="1247">
                  <c:v>44118</c:v>
                </c:pt>
                <c:pt idx="1248">
                  <c:v>44117</c:v>
                </c:pt>
                <c:pt idx="1249">
                  <c:v>44116</c:v>
                </c:pt>
                <c:pt idx="1250">
                  <c:v>44113</c:v>
                </c:pt>
                <c:pt idx="1251">
                  <c:v>44112</c:v>
                </c:pt>
                <c:pt idx="1252">
                  <c:v>44111</c:v>
                </c:pt>
                <c:pt idx="1253">
                  <c:v>44110</c:v>
                </c:pt>
                <c:pt idx="1254">
                  <c:v>44109</c:v>
                </c:pt>
                <c:pt idx="1255">
                  <c:v>44106</c:v>
                </c:pt>
                <c:pt idx="1256">
                  <c:v>44105</c:v>
                </c:pt>
                <c:pt idx="1257">
                  <c:v>44104</c:v>
                </c:pt>
                <c:pt idx="1258">
                  <c:v>44103</c:v>
                </c:pt>
                <c:pt idx="1259">
                  <c:v>44102</c:v>
                </c:pt>
                <c:pt idx="1260">
                  <c:v>44099</c:v>
                </c:pt>
                <c:pt idx="1261">
                  <c:v>44098</c:v>
                </c:pt>
                <c:pt idx="1262">
                  <c:v>44097</c:v>
                </c:pt>
                <c:pt idx="1263">
                  <c:v>44096</c:v>
                </c:pt>
                <c:pt idx="1264">
                  <c:v>44095</c:v>
                </c:pt>
                <c:pt idx="1265">
                  <c:v>44092</c:v>
                </c:pt>
                <c:pt idx="1266">
                  <c:v>44091</c:v>
                </c:pt>
                <c:pt idx="1267">
                  <c:v>44090</c:v>
                </c:pt>
                <c:pt idx="1268">
                  <c:v>44089</c:v>
                </c:pt>
                <c:pt idx="1269">
                  <c:v>44088</c:v>
                </c:pt>
                <c:pt idx="1270">
                  <c:v>44085</c:v>
                </c:pt>
                <c:pt idx="1271">
                  <c:v>44084</c:v>
                </c:pt>
                <c:pt idx="1272">
                  <c:v>44083</c:v>
                </c:pt>
                <c:pt idx="1273">
                  <c:v>44082</c:v>
                </c:pt>
                <c:pt idx="1274">
                  <c:v>44078</c:v>
                </c:pt>
                <c:pt idx="1275">
                  <c:v>44077</c:v>
                </c:pt>
                <c:pt idx="1276">
                  <c:v>44076</c:v>
                </c:pt>
                <c:pt idx="1277">
                  <c:v>44075</c:v>
                </c:pt>
                <c:pt idx="1278">
                  <c:v>44074</c:v>
                </c:pt>
                <c:pt idx="1279">
                  <c:v>44071</c:v>
                </c:pt>
                <c:pt idx="1280">
                  <c:v>44070</c:v>
                </c:pt>
                <c:pt idx="1281">
                  <c:v>44069</c:v>
                </c:pt>
                <c:pt idx="1282">
                  <c:v>44068</c:v>
                </c:pt>
                <c:pt idx="1283">
                  <c:v>44067</c:v>
                </c:pt>
                <c:pt idx="1284">
                  <c:v>44064</c:v>
                </c:pt>
                <c:pt idx="1285">
                  <c:v>44063</c:v>
                </c:pt>
                <c:pt idx="1286">
                  <c:v>44062</c:v>
                </c:pt>
                <c:pt idx="1287">
                  <c:v>44061</c:v>
                </c:pt>
                <c:pt idx="1288">
                  <c:v>44060</c:v>
                </c:pt>
                <c:pt idx="1289">
                  <c:v>44057</c:v>
                </c:pt>
                <c:pt idx="1290">
                  <c:v>44056</c:v>
                </c:pt>
                <c:pt idx="1291">
                  <c:v>44055</c:v>
                </c:pt>
                <c:pt idx="1292">
                  <c:v>44054</c:v>
                </c:pt>
                <c:pt idx="1293">
                  <c:v>44053</c:v>
                </c:pt>
                <c:pt idx="1294">
                  <c:v>44050</c:v>
                </c:pt>
                <c:pt idx="1295">
                  <c:v>44049</c:v>
                </c:pt>
                <c:pt idx="1296">
                  <c:v>44048</c:v>
                </c:pt>
                <c:pt idx="1297">
                  <c:v>44047</c:v>
                </c:pt>
                <c:pt idx="1298">
                  <c:v>44046</c:v>
                </c:pt>
                <c:pt idx="1299">
                  <c:v>44043</c:v>
                </c:pt>
                <c:pt idx="1300">
                  <c:v>44042</c:v>
                </c:pt>
                <c:pt idx="1301">
                  <c:v>44041</c:v>
                </c:pt>
                <c:pt idx="1302">
                  <c:v>44040</c:v>
                </c:pt>
                <c:pt idx="1303">
                  <c:v>44039</c:v>
                </c:pt>
                <c:pt idx="1304">
                  <c:v>44036</c:v>
                </c:pt>
                <c:pt idx="1305">
                  <c:v>44035</c:v>
                </c:pt>
                <c:pt idx="1306">
                  <c:v>44034</c:v>
                </c:pt>
                <c:pt idx="1307">
                  <c:v>44033</c:v>
                </c:pt>
                <c:pt idx="1308">
                  <c:v>44032</c:v>
                </c:pt>
                <c:pt idx="1309">
                  <c:v>44029</c:v>
                </c:pt>
                <c:pt idx="1310">
                  <c:v>44028</c:v>
                </c:pt>
                <c:pt idx="1311">
                  <c:v>44027</c:v>
                </c:pt>
                <c:pt idx="1312">
                  <c:v>44026</c:v>
                </c:pt>
                <c:pt idx="1313">
                  <c:v>44025</c:v>
                </c:pt>
                <c:pt idx="1314">
                  <c:v>44022</c:v>
                </c:pt>
                <c:pt idx="1315">
                  <c:v>44021</c:v>
                </c:pt>
                <c:pt idx="1316">
                  <c:v>44020</c:v>
                </c:pt>
                <c:pt idx="1317">
                  <c:v>44019</c:v>
                </c:pt>
                <c:pt idx="1318">
                  <c:v>44018</c:v>
                </c:pt>
                <c:pt idx="1319">
                  <c:v>44014</c:v>
                </c:pt>
                <c:pt idx="1320">
                  <c:v>44013</c:v>
                </c:pt>
                <c:pt idx="1321">
                  <c:v>44012</c:v>
                </c:pt>
                <c:pt idx="1322">
                  <c:v>44011</c:v>
                </c:pt>
                <c:pt idx="1323">
                  <c:v>44008</c:v>
                </c:pt>
                <c:pt idx="1324">
                  <c:v>44007</c:v>
                </c:pt>
                <c:pt idx="1325">
                  <c:v>44006</c:v>
                </c:pt>
                <c:pt idx="1326">
                  <c:v>44005</c:v>
                </c:pt>
                <c:pt idx="1327">
                  <c:v>44004</c:v>
                </c:pt>
                <c:pt idx="1328">
                  <c:v>44001</c:v>
                </c:pt>
                <c:pt idx="1329">
                  <c:v>44000</c:v>
                </c:pt>
                <c:pt idx="1330">
                  <c:v>43999</c:v>
                </c:pt>
                <c:pt idx="1331">
                  <c:v>43998</c:v>
                </c:pt>
                <c:pt idx="1332">
                  <c:v>43997</c:v>
                </c:pt>
                <c:pt idx="1333">
                  <c:v>43994</c:v>
                </c:pt>
                <c:pt idx="1334">
                  <c:v>43993</c:v>
                </c:pt>
                <c:pt idx="1335">
                  <c:v>43992</c:v>
                </c:pt>
                <c:pt idx="1336">
                  <c:v>43991</c:v>
                </c:pt>
                <c:pt idx="1337">
                  <c:v>43990</c:v>
                </c:pt>
                <c:pt idx="1338">
                  <c:v>43987</c:v>
                </c:pt>
                <c:pt idx="1339">
                  <c:v>43986</c:v>
                </c:pt>
                <c:pt idx="1340">
                  <c:v>43985</c:v>
                </c:pt>
                <c:pt idx="1341">
                  <c:v>43984</c:v>
                </c:pt>
                <c:pt idx="1342">
                  <c:v>43983</c:v>
                </c:pt>
                <c:pt idx="1343">
                  <c:v>43980</c:v>
                </c:pt>
                <c:pt idx="1344">
                  <c:v>43979</c:v>
                </c:pt>
                <c:pt idx="1345">
                  <c:v>43978</c:v>
                </c:pt>
                <c:pt idx="1346">
                  <c:v>43977</c:v>
                </c:pt>
                <c:pt idx="1347">
                  <c:v>43973</c:v>
                </c:pt>
                <c:pt idx="1348">
                  <c:v>43972</c:v>
                </c:pt>
                <c:pt idx="1349">
                  <c:v>43971</c:v>
                </c:pt>
                <c:pt idx="1350">
                  <c:v>43970</c:v>
                </c:pt>
                <c:pt idx="1351">
                  <c:v>43969</c:v>
                </c:pt>
                <c:pt idx="1352">
                  <c:v>43966</c:v>
                </c:pt>
                <c:pt idx="1353">
                  <c:v>43965</c:v>
                </c:pt>
                <c:pt idx="1354">
                  <c:v>43964</c:v>
                </c:pt>
                <c:pt idx="1355">
                  <c:v>43963</c:v>
                </c:pt>
                <c:pt idx="1356">
                  <c:v>43962</c:v>
                </c:pt>
                <c:pt idx="1357">
                  <c:v>43959</c:v>
                </c:pt>
                <c:pt idx="1358">
                  <c:v>43958</c:v>
                </c:pt>
                <c:pt idx="1359">
                  <c:v>43957</c:v>
                </c:pt>
                <c:pt idx="1360">
                  <c:v>43956</c:v>
                </c:pt>
                <c:pt idx="1361">
                  <c:v>43955</c:v>
                </c:pt>
                <c:pt idx="1362">
                  <c:v>43952</c:v>
                </c:pt>
                <c:pt idx="1363">
                  <c:v>43951</c:v>
                </c:pt>
                <c:pt idx="1364">
                  <c:v>43950</c:v>
                </c:pt>
                <c:pt idx="1365">
                  <c:v>43949</c:v>
                </c:pt>
                <c:pt idx="1366">
                  <c:v>43948</c:v>
                </c:pt>
                <c:pt idx="1367">
                  <c:v>43945</c:v>
                </c:pt>
                <c:pt idx="1368">
                  <c:v>43944</c:v>
                </c:pt>
                <c:pt idx="1369">
                  <c:v>43943</c:v>
                </c:pt>
                <c:pt idx="1370">
                  <c:v>43942</c:v>
                </c:pt>
                <c:pt idx="1371">
                  <c:v>43941</c:v>
                </c:pt>
                <c:pt idx="1372">
                  <c:v>43938</c:v>
                </c:pt>
                <c:pt idx="1373">
                  <c:v>43937</c:v>
                </c:pt>
                <c:pt idx="1374">
                  <c:v>43936</c:v>
                </c:pt>
                <c:pt idx="1375">
                  <c:v>43935</c:v>
                </c:pt>
                <c:pt idx="1376">
                  <c:v>43934</c:v>
                </c:pt>
                <c:pt idx="1377">
                  <c:v>43930</c:v>
                </c:pt>
                <c:pt idx="1378">
                  <c:v>43929</c:v>
                </c:pt>
                <c:pt idx="1379">
                  <c:v>43928</c:v>
                </c:pt>
                <c:pt idx="1380">
                  <c:v>43927</c:v>
                </c:pt>
                <c:pt idx="1381">
                  <c:v>43924</c:v>
                </c:pt>
                <c:pt idx="1382">
                  <c:v>43923</c:v>
                </c:pt>
                <c:pt idx="1383">
                  <c:v>43922</c:v>
                </c:pt>
                <c:pt idx="1384">
                  <c:v>43921</c:v>
                </c:pt>
                <c:pt idx="1385">
                  <c:v>43920</c:v>
                </c:pt>
                <c:pt idx="1386">
                  <c:v>43917</c:v>
                </c:pt>
                <c:pt idx="1387">
                  <c:v>43916</c:v>
                </c:pt>
                <c:pt idx="1388">
                  <c:v>43915</c:v>
                </c:pt>
                <c:pt idx="1389">
                  <c:v>43914</c:v>
                </c:pt>
                <c:pt idx="1390">
                  <c:v>43913</c:v>
                </c:pt>
                <c:pt idx="1391">
                  <c:v>43910</c:v>
                </c:pt>
                <c:pt idx="1392">
                  <c:v>43909</c:v>
                </c:pt>
                <c:pt idx="1393">
                  <c:v>43908</c:v>
                </c:pt>
                <c:pt idx="1394">
                  <c:v>43907</c:v>
                </c:pt>
                <c:pt idx="1395">
                  <c:v>43906</c:v>
                </c:pt>
                <c:pt idx="1396">
                  <c:v>43903</c:v>
                </c:pt>
                <c:pt idx="1397">
                  <c:v>43902</c:v>
                </c:pt>
                <c:pt idx="1398">
                  <c:v>43901</c:v>
                </c:pt>
                <c:pt idx="1399">
                  <c:v>43900</c:v>
                </c:pt>
                <c:pt idx="1400">
                  <c:v>43899</c:v>
                </c:pt>
                <c:pt idx="1401">
                  <c:v>43896</c:v>
                </c:pt>
                <c:pt idx="1402">
                  <c:v>43895</c:v>
                </c:pt>
                <c:pt idx="1403">
                  <c:v>43894</c:v>
                </c:pt>
                <c:pt idx="1404">
                  <c:v>43893</c:v>
                </c:pt>
                <c:pt idx="1405">
                  <c:v>43892</c:v>
                </c:pt>
                <c:pt idx="1406">
                  <c:v>43889</c:v>
                </c:pt>
                <c:pt idx="1407">
                  <c:v>43888</c:v>
                </c:pt>
                <c:pt idx="1408">
                  <c:v>43887</c:v>
                </c:pt>
                <c:pt idx="1409">
                  <c:v>43886</c:v>
                </c:pt>
                <c:pt idx="1410">
                  <c:v>43885</c:v>
                </c:pt>
                <c:pt idx="1411">
                  <c:v>43882</c:v>
                </c:pt>
                <c:pt idx="1412">
                  <c:v>43881</c:v>
                </c:pt>
                <c:pt idx="1413">
                  <c:v>43880</c:v>
                </c:pt>
                <c:pt idx="1414">
                  <c:v>43879</c:v>
                </c:pt>
                <c:pt idx="1415">
                  <c:v>43875</c:v>
                </c:pt>
                <c:pt idx="1416">
                  <c:v>43874</c:v>
                </c:pt>
                <c:pt idx="1417">
                  <c:v>43873</c:v>
                </c:pt>
                <c:pt idx="1418">
                  <c:v>43872</c:v>
                </c:pt>
                <c:pt idx="1419">
                  <c:v>43871</c:v>
                </c:pt>
                <c:pt idx="1420">
                  <c:v>43868</c:v>
                </c:pt>
                <c:pt idx="1421">
                  <c:v>43867</c:v>
                </c:pt>
                <c:pt idx="1422">
                  <c:v>43866</c:v>
                </c:pt>
                <c:pt idx="1423">
                  <c:v>43865</c:v>
                </c:pt>
                <c:pt idx="1424">
                  <c:v>43864</c:v>
                </c:pt>
                <c:pt idx="1425">
                  <c:v>43861</c:v>
                </c:pt>
                <c:pt idx="1426">
                  <c:v>43860</c:v>
                </c:pt>
                <c:pt idx="1427">
                  <c:v>43859</c:v>
                </c:pt>
                <c:pt idx="1428">
                  <c:v>43858</c:v>
                </c:pt>
                <c:pt idx="1429">
                  <c:v>43857</c:v>
                </c:pt>
                <c:pt idx="1430">
                  <c:v>43854</c:v>
                </c:pt>
                <c:pt idx="1431">
                  <c:v>43853</c:v>
                </c:pt>
                <c:pt idx="1432">
                  <c:v>43852</c:v>
                </c:pt>
                <c:pt idx="1433">
                  <c:v>43851</c:v>
                </c:pt>
                <c:pt idx="1434">
                  <c:v>43847</c:v>
                </c:pt>
                <c:pt idx="1435">
                  <c:v>43846</c:v>
                </c:pt>
                <c:pt idx="1436">
                  <c:v>43845</c:v>
                </c:pt>
                <c:pt idx="1437">
                  <c:v>43844</c:v>
                </c:pt>
                <c:pt idx="1438">
                  <c:v>43843</c:v>
                </c:pt>
                <c:pt idx="1439">
                  <c:v>43840</c:v>
                </c:pt>
                <c:pt idx="1440">
                  <c:v>43839</c:v>
                </c:pt>
                <c:pt idx="1441">
                  <c:v>43838</c:v>
                </c:pt>
                <c:pt idx="1442">
                  <c:v>43837</c:v>
                </c:pt>
                <c:pt idx="1443">
                  <c:v>43836</c:v>
                </c:pt>
                <c:pt idx="1444">
                  <c:v>43833</c:v>
                </c:pt>
                <c:pt idx="1445">
                  <c:v>43832</c:v>
                </c:pt>
                <c:pt idx="1446">
                  <c:v>43830</c:v>
                </c:pt>
                <c:pt idx="1447">
                  <c:v>43829</c:v>
                </c:pt>
                <c:pt idx="1448">
                  <c:v>43826</c:v>
                </c:pt>
                <c:pt idx="1449">
                  <c:v>43825</c:v>
                </c:pt>
                <c:pt idx="1450">
                  <c:v>43823</c:v>
                </c:pt>
                <c:pt idx="1451">
                  <c:v>43822</c:v>
                </c:pt>
                <c:pt idx="1452">
                  <c:v>43819</c:v>
                </c:pt>
                <c:pt idx="1453">
                  <c:v>43818</c:v>
                </c:pt>
                <c:pt idx="1454">
                  <c:v>43817</c:v>
                </c:pt>
                <c:pt idx="1455">
                  <c:v>43816</c:v>
                </c:pt>
                <c:pt idx="1456">
                  <c:v>43815</c:v>
                </c:pt>
                <c:pt idx="1457">
                  <c:v>43812</c:v>
                </c:pt>
                <c:pt idx="1458">
                  <c:v>43811</c:v>
                </c:pt>
                <c:pt idx="1459">
                  <c:v>43810</c:v>
                </c:pt>
                <c:pt idx="1460">
                  <c:v>43809</c:v>
                </c:pt>
                <c:pt idx="1461">
                  <c:v>43808</c:v>
                </c:pt>
                <c:pt idx="1462">
                  <c:v>43805</c:v>
                </c:pt>
                <c:pt idx="1463">
                  <c:v>43804</c:v>
                </c:pt>
                <c:pt idx="1464">
                  <c:v>43803</c:v>
                </c:pt>
                <c:pt idx="1465">
                  <c:v>43802</c:v>
                </c:pt>
                <c:pt idx="1466">
                  <c:v>43801</c:v>
                </c:pt>
                <c:pt idx="1467">
                  <c:v>43798</c:v>
                </c:pt>
                <c:pt idx="1468">
                  <c:v>43796</c:v>
                </c:pt>
                <c:pt idx="1469">
                  <c:v>43795</c:v>
                </c:pt>
                <c:pt idx="1470">
                  <c:v>43794</c:v>
                </c:pt>
                <c:pt idx="1471">
                  <c:v>43791</c:v>
                </c:pt>
                <c:pt idx="1472">
                  <c:v>43790</c:v>
                </c:pt>
                <c:pt idx="1473">
                  <c:v>43789</c:v>
                </c:pt>
                <c:pt idx="1474">
                  <c:v>43788</c:v>
                </c:pt>
                <c:pt idx="1475">
                  <c:v>43787</c:v>
                </c:pt>
                <c:pt idx="1476">
                  <c:v>43784</c:v>
                </c:pt>
                <c:pt idx="1477">
                  <c:v>43783</c:v>
                </c:pt>
                <c:pt idx="1478">
                  <c:v>43782</c:v>
                </c:pt>
                <c:pt idx="1479">
                  <c:v>43781</c:v>
                </c:pt>
                <c:pt idx="1480">
                  <c:v>43780</c:v>
                </c:pt>
                <c:pt idx="1481">
                  <c:v>43777</c:v>
                </c:pt>
                <c:pt idx="1482">
                  <c:v>43776</c:v>
                </c:pt>
                <c:pt idx="1483">
                  <c:v>43775</c:v>
                </c:pt>
                <c:pt idx="1484">
                  <c:v>43774</c:v>
                </c:pt>
                <c:pt idx="1485">
                  <c:v>43773</c:v>
                </c:pt>
                <c:pt idx="1486">
                  <c:v>43770</c:v>
                </c:pt>
                <c:pt idx="1487">
                  <c:v>43769</c:v>
                </c:pt>
                <c:pt idx="1488">
                  <c:v>43768</c:v>
                </c:pt>
                <c:pt idx="1489">
                  <c:v>43767</c:v>
                </c:pt>
                <c:pt idx="1490">
                  <c:v>43766</c:v>
                </c:pt>
                <c:pt idx="1491">
                  <c:v>43763</c:v>
                </c:pt>
                <c:pt idx="1492">
                  <c:v>43762</c:v>
                </c:pt>
                <c:pt idx="1493">
                  <c:v>43761</c:v>
                </c:pt>
                <c:pt idx="1494">
                  <c:v>43760</c:v>
                </c:pt>
                <c:pt idx="1495">
                  <c:v>43759</c:v>
                </c:pt>
                <c:pt idx="1496">
                  <c:v>43756</c:v>
                </c:pt>
                <c:pt idx="1497">
                  <c:v>43755</c:v>
                </c:pt>
                <c:pt idx="1498">
                  <c:v>43754</c:v>
                </c:pt>
                <c:pt idx="1499">
                  <c:v>43753</c:v>
                </c:pt>
                <c:pt idx="1500">
                  <c:v>43752</c:v>
                </c:pt>
                <c:pt idx="1501">
                  <c:v>43749</c:v>
                </c:pt>
                <c:pt idx="1502">
                  <c:v>43748</c:v>
                </c:pt>
                <c:pt idx="1503">
                  <c:v>43747</c:v>
                </c:pt>
                <c:pt idx="1504">
                  <c:v>43746</c:v>
                </c:pt>
                <c:pt idx="1505">
                  <c:v>43745</c:v>
                </c:pt>
                <c:pt idx="1506">
                  <c:v>43742</c:v>
                </c:pt>
                <c:pt idx="1507">
                  <c:v>43741</c:v>
                </c:pt>
                <c:pt idx="1508">
                  <c:v>43740</c:v>
                </c:pt>
                <c:pt idx="1509">
                  <c:v>43739</c:v>
                </c:pt>
                <c:pt idx="1510">
                  <c:v>43738</c:v>
                </c:pt>
                <c:pt idx="1511">
                  <c:v>43735</c:v>
                </c:pt>
                <c:pt idx="1512">
                  <c:v>43734</c:v>
                </c:pt>
                <c:pt idx="1513">
                  <c:v>43733</c:v>
                </c:pt>
                <c:pt idx="1514">
                  <c:v>43732</c:v>
                </c:pt>
                <c:pt idx="1515">
                  <c:v>43731</c:v>
                </c:pt>
                <c:pt idx="1516">
                  <c:v>43728</c:v>
                </c:pt>
                <c:pt idx="1517">
                  <c:v>43727</c:v>
                </c:pt>
                <c:pt idx="1518">
                  <c:v>43726</c:v>
                </c:pt>
                <c:pt idx="1519">
                  <c:v>43725</c:v>
                </c:pt>
                <c:pt idx="1520">
                  <c:v>43724</c:v>
                </c:pt>
                <c:pt idx="1521">
                  <c:v>43721</c:v>
                </c:pt>
                <c:pt idx="1522">
                  <c:v>43720</c:v>
                </c:pt>
                <c:pt idx="1523">
                  <c:v>43719</c:v>
                </c:pt>
                <c:pt idx="1524">
                  <c:v>43718</c:v>
                </c:pt>
                <c:pt idx="1525">
                  <c:v>43717</c:v>
                </c:pt>
                <c:pt idx="1526">
                  <c:v>43714</c:v>
                </c:pt>
                <c:pt idx="1527">
                  <c:v>43713</c:v>
                </c:pt>
                <c:pt idx="1528">
                  <c:v>43712</c:v>
                </c:pt>
                <c:pt idx="1529">
                  <c:v>43711</c:v>
                </c:pt>
                <c:pt idx="1530">
                  <c:v>43707</c:v>
                </c:pt>
                <c:pt idx="1531">
                  <c:v>43706</c:v>
                </c:pt>
                <c:pt idx="1532">
                  <c:v>43705</c:v>
                </c:pt>
                <c:pt idx="1533">
                  <c:v>43704</c:v>
                </c:pt>
                <c:pt idx="1534">
                  <c:v>43703</c:v>
                </c:pt>
                <c:pt idx="1535">
                  <c:v>43700</c:v>
                </c:pt>
                <c:pt idx="1536">
                  <c:v>43699</c:v>
                </c:pt>
                <c:pt idx="1537">
                  <c:v>43698</c:v>
                </c:pt>
                <c:pt idx="1538">
                  <c:v>43697</c:v>
                </c:pt>
                <c:pt idx="1539">
                  <c:v>43696</c:v>
                </c:pt>
                <c:pt idx="1540">
                  <c:v>43693</c:v>
                </c:pt>
                <c:pt idx="1541">
                  <c:v>43692</c:v>
                </c:pt>
                <c:pt idx="1542">
                  <c:v>43691</c:v>
                </c:pt>
                <c:pt idx="1543">
                  <c:v>43690</c:v>
                </c:pt>
                <c:pt idx="1544">
                  <c:v>43689</c:v>
                </c:pt>
                <c:pt idx="1545">
                  <c:v>43686</c:v>
                </c:pt>
                <c:pt idx="1546">
                  <c:v>43685</c:v>
                </c:pt>
                <c:pt idx="1547">
                  <c:v>43684</c:v>
                </c:pt>
                <c:pt idx="1548">
                  <c:v>43683</c:v>
                </c:pt>
                <c:pt idx="1549">
                  <c:v>43682</c:v>
                </c:pt>
                <c:pt idx="1550">
                  <c:v>43679</c:v>
                </c:pt>
                <c:pt idx="1551">
                  <c:v>43678</c:v>
                </c:pt>
                <c:pt idx="1552">
                  <c:v>43677</c:v>
                </c:pt>
                <c:pt idx="1553">
                  <c:v>43676</c:v>
                </c:pt>
                <c:pt idx="1554">
                  <c:v>43675</c:v>
                </c:pt>
                <c:pt idx="1555">
                  <c:v>43672</c:v>
                </c:pt>
                <c:pt idx="1556">
                  <c:v>43671</c:v>
                </c:pt>
                <c:pt idx="1557">
                  <c:v>43670</c:v>
                </c:pt>
                <c:pt idx="1558">
                  <c:v>43669</c:v>
                </c:pt>
                <c:pt idx="1559">
                  <c:v>43668</c:v>
                </c:pt>
                <c:pt idx="1560">
                  <c:v>43665</c:v>
                </c:pt>
                <c:pt idx="1561">
                  <c:v>43664</c:v>
                </c:pt>
                <c:pt idx="1562">
                  <c:v>43663</c:v>
                </c:pt>
                <c:pt idx="1563">
                  <c:v>43662</c:v>
                </c:pt>
                <c:pt idx="1564">
                  <c:v>43661</c:v>
                </c:pt>
                <c:pt idx="1565">
                  <c:v>43658</c:v>
                </c:pt>
                <c:pt idx="1566">
                  <c:v>43657</c:v>
                </c:pt>
                <c:pt idx="1567">
                  <c:v>43656</c:v>
                </c:pt>
                <c:pt idx="1568">
                  <c:v>43655</c:v>
                </c:pt>
                <c:pt idx="1569">
                  <c:v>43654</c:v>
                </c:pt>
                <c:pt idx="1570">
                  <c:v>43651</c:v>
                </c:pt>
                <c:pt idx="1571">
                  <c:v>43649</c:v>
                </c:pt>
                <c:pt idx="1572">
                  <c:v>43648</c:v>
                </c:pt>
                <c:pt idx="1573">
                  <c:v>43647</c:v>
                </c:pt>
                <c:pt idx="1574">
                  <c:v>43644</c:v>
                </c:pt>
                <c:pt idx="1575">
                  <c:v>43643</c:v>
                </c:pt>
                <c:pt idx="1576">
                  <c:v>43642</c:v>
                </c:pt>
                <c:pt idx="1577">
                  <c:v>43641</c:v>
                </c:pt>
                <c:pt idx="1578">
                  <c:v>43640</c:v>
                </c:pt>
                <c:pt idx="1579">
                  <c:v>43637</c:v>
                </c:pt>
                <c:pt idx="1580">
                  <c:v>43636</c:v>
                </c:pt>
                <c:pt idx="1581">
                  <c:v>43635</c:v>
                </c:pt>
                <c:pt idx="1582">
                  <c:v>43634</c:v>
                </c:pt>
                <c:pt idx="1583">
                  <c:v>43633</c:v>
                </c:pt>
                <c:pt idx="1584">
                  <c:v>43630</c:v>
                </c:pt>
                <c:pt idx="1585">
                  <c:v>43629</c:v>
                </c:pt>
                <c:pt idx="1586">
                  <c:v>43628</c:v>
                </c:pt>
                <c:pt idx="1587">
                  <c:v>43627</c:v>
                </c:pt>
                <c:pt idx="1588">
                  <c:v>43626</c:v>
                </c:pt>
                <c:pt idx="1589">
                  <c:v>43623</c:v>
                </c:pt>
                <c:pt idx="1590">
                  <c:v>43622</c:v>
                </c:pt>
                <c:pt idx="1591">
                  <c:v>43621</c:v>
                </c:pt>
                <c:pt idx="1592">
                  <c:v>43620</c:v>
                </c:pt>
                <c:pt idx="1593">
                  <c:v>43619</c:v>
                </c:pt>
                <c:pt idx="1594">
                  <c:v>43616</c:v>
                </c:pt>
                <c:pt idx="1595">
                  <c:v>43615</c:v>
                </c:pt>
                <c:pt idx="1596">
                  <c:v>43614</c:v>
                </c:pt>
                <c:pt idx="1597">
                  <c:v>43613</c:v>
                </c:pt>
                <c:pt idx="1598">
                  <c:v>43609</c:v>
                </c:pt>
                <c:pt idx="1599">
                  <c:v>43608</c:v>
                </c:pt>
                <c:pt idx="1600">
                  <c:v>43607</c:v>
                </c:pt>
                <c:pt idx="1601">
                  <c:v>43606</c:v>
                </c:pt>
                <c:pt idx="1602">
                  <c:v>43605</c:v>
                </c:pt>
                <c:pt idx="1603">
                  <c:v>43602</c:v>
                </c:pt>
                <c:pt idx="1604">
                  <c:v>43601</c:v>
                </c:pt>
                <c:pt idx="1605">
                  <c:v>43600</c:v>
                </c:pt>
                <c:pt idx="1606">
                  <c:v>43599</c:v>
                </c:pt>
                <c:pt idx="1607">
                  <c:v>43598</c:v>
                </c:pt>
                <c:pt idx="1608">
                  <c:v>43595</c:v>
                </c:pt>
                <c:pt idx="1609">
                  <c:v>43594</c:v>
                </c:pt>
                <c:pt idx="1610">
                  <c:v>43593</c:v>
                </c:pt>
                <c:pt idx="1611">
                  <c:v>43592</c:v>
                </c:pt>
                <c:pt idx="1612">
                  <c:v>43591</c:v>
                </c:pt>
                <c:pt idx="1613">
                  <c:v>43588</c:v>
                </c:pt>
                <c:pt idx="1614">
                  <c:v>43587</c:v>
                </c:pt>
                <c:pt idx="1615">
                  <c:v>43586</c:v>
                </c:pt>
                <c:pt idx="1616">
                  <c:v>43585</c:v>
                </c:pt>
                <c:pt idx="1617">
                  <c:v>43584</c:v>
                </c:pt>
                <c:pt idx="1618">
                  <c:v>43581</c:v>
                </c:pt>
                <c:pt idx="1619">
                  <c:v>43580</c:v>
                </c:pt>
                <c:pt idx="1620">
                  <c:v>43579</c:v>
                </c:pt>
                <c:pt idx="1621">
                  <c:v>43578</c:v>
                </c:pt>
                <c:pt idx="1622">
                  <c:v>43577</c:v>
                </c:pt>
                <c:pt idx="1623">
                  <c:v>43573</c:v>
                </c:pt>
                <c:pt idx="1624">
                  <c:v>43572</c:v>
                </c:pt>
                <c:pt idx="1625">
                  <c:v>43571</c:v>
                </c:pt>
                <c:pt idx="1626">
                  <c:v>43570</c:v>
                </c:pt>
                <c:pt idx="1627">
                  <c:v>43567</c:v>
                </c:pt>
                <c:pt idx="1628">
                  <c:v>43566</c:v>
                </c:pt>
                <c:pt idx="1629">
                  <c:v>43565</c:v>
                </c:pt>
                <c:pt idx="1630">
                  <c:v>43564</c:v>
                </c:pt>
                <c:pt idx="1631">
                  <c:v>43563</c:v>
                </c:pt>
                <c:pt idx="1632">
                  <c:v>43560</c:v>
                </c:pt>
                <c:pt idx="1633">
                  <c:v>43559</c:v>
                </c:pt>
                <c:pt idx="1634">
                  <c:v>43558</c:v>
                </c:pt>
                <c:pt idx="1635">
                  <c:v>43557</c:v>
                </c:pt>
                <c:pt idx="1636">
                  <c:v>43556</c:v>
                </c:pt>
                <c:pt idx="1637">
                  <c:v>43553</c:v>
                </c:pt>
                <c:pt idx="1638">
                  <c:v>43552</c:v>
                </c:pt>
                <c:pt idx="1639">
                  <c:v>43551</c:v>
                </c:pt>
                <c:pt idx="1640">
                  <c:v>43550</c:v>
                </c:pt>
                <c:pt idx="1641">
                  <c:v>43549</c:v>
                </c:pt>
                <c:pt idx="1642">
                  <c:v>43546</c:v>
                </c:pt>
                <c:pt idx="1643">
                  <c:v>43545</c:v>
                </c:pt>
                <c:pt idx="1644">
                  <c:v>43544</c:v>
                </c:pt>
                <c:pt idx="1645">
                  <c:v>43543</c:v>
                </c:pt>
                <c:pt idx="1646">
                  <c:v>43542</c:v>
                </c:pt>
                <c:pt idx="1647">
                  <c:v>43539</c:v>
                </c:pt>
                <c:pt idx="1648">
                  <c:v>43538</c:v>
                </c:pt>
                <c:pt idx="1649">
                  <c:v>43537</c:v>
                </c:pt>
                <c:pt idx="1650">
                  <c:v>43536</c:v>
                </c:pt>
                <c:pt idx="1651">
                  <c:v>43535</c:v>
                </c:pt>
                <c:pt idx="1652">
                  <c:v>43532</c:v>
                </c:pt>
                <c:pt idx="1653">
                  <c:v>43531</c:v>
                </c:pt>
                <c:pt idx="1654">
                  <c:v>43530</c:v>
                </c:pt>
                <c:pt idx="1655">
                  <c:v>43529</c:v>
                </c:pt>
                <c:pt idx="1656">
                  <c:v>43528</c:v>
                </c:pt>
                <c:pt idx="1657">
                  <c:v>43525</c:v>
                </c:pt>
                <c:pt idx="1658">
                  <c:v>43524</c:v>
                </c:pt>
                <c:pt idx="1659">
                  <c:v>43523</c:v>
                </c:pt>
                <c:pt idx="1660">
                  <c:v>43522</c:v>
                </c:pt>
                <c:pt idx="1661">
                  <c:v>43521</c:v>
                </c:pt>
                <c:pt idx="1662">
                  <c:v>43518</c:v>
                </c:pt>
                <c:pt idx="1663">
                  <c:v>43517</c:v>
                </c:pt>
                <c:pt idx="1664">
                  <c:v>43516</c:v>
                </c:pt>
                <c:pt idx="1665">
                  <c:v>43515</c:v>
                </c:pt>
                <c:pt idx="1666">
                  <c:v>43511</c:v>
                </c:pt>
                <c:pt idx="1667">
                  <c:v>43510</c:v>
                </c:pt>
                <c:pt idx="1668">
                  <c:v>43509</c:v>
                </c:pt>
                <c:pt idx="1669">
                  <c:v>43508</c:v>
                </c:pt>
                <c:pt idx="1670">
                  <c:v>43507</c:v>
                </c:pt>
                <c:pt idx="1671">
                  <c:v>43504</c:v>
                </c:pt>
                <c:pt idx="1672">
                  <c:v>43503</c:v>
                </c:pt>
                <c:pt idx="1673">
                  <c:v>43502</c:v>
                </c:pt>
                <c:pt idx="1674">
                  <c:v>43501</c:v>
                </c:pt>
                <c:pt idx="1675">
                  <c:v>43500</c:v>
                </c:pt>
                <c:pt idx="1676">
                  <c:v>43497</c:v>
                </c:pt>
                <c:pt idx="1677">
                  <c:v>43496</c:v>
                </c:pt>
                <c:pt idx="1678">
                  <c:v>43495</c:v>
                </c:pt>
                <c:pt idx="1679">
                  <c:v>43494</c:v>
                </c:pt>
                <c:pt idx="1680">
                  <c:v>43493</c:v>
                </c:pt>
                <c:pt idx="1681">
                  <c:v>43490</c:v>
                </c:pt>
                <c:pt idx="1682">
                  <c:v>43489</c:v>
                </c:pt>
                <c:pt idx="1683">
                  <c:v>43488</c:v>
                </c:pt>
                <c:pt idx="1684">
                  <c:v>43487</c:v>
                </c:pt>
                <c:pt idx="1685">
                  <c:v>43483</c:v>
                </c:pt>
                <c:pt idx="1686">
                  <c:v>43482</c:v>
                </c:pt>
                <c:pt idx="1687">
                  <c:v>43481</c:v>
                </c:pt>
                <c:pt idx="1688">
                  <c:v>43480</c:v>
                </c:pt>
                <c:pt idx="1689">
                  <c:v>43479</c:v>
                </c:pt>
                <c:pt idx="1690">
                  <c:v>43476</c:v>
                </c:pt>
                <c:pt idx="1691">
                  <c:v>43475</c:v>
                </c:pt>
                <c:pt idx="1692">
                  <c:v>43474</c:v>
                </c:pt>
                <c:pt idx="1693">
                  <c:v>43473</c:v>
                </c:pt>
                <c:pt idx="1694">
                  <c:v>43472</c:v>
                </c:pt>
                <c:pt idx="1695">
                  <c:v>43469</c:v>
                </c:pt>
                <c:pt idx="1696">
                  <c:v>43468</c:v>
                </c:pt>
                <c:pt idx="1697">
                  <c:v>43467</c:v>
                </c:pt>
                <c:pt idx="1698">
                  <c:v>43465</c:v>
                </c:pt>
                <c:pt idx="1699">
                  <c:v>43462</c:v>
                </c:pt>
                <c:pt idx="1700">
                  <c:v>43461</c:v>
                </c:pt>
                <c:pt idx="1701">
                  <c:v>43460</c:v>
                </c:pt>
                <c:pt idx="1702">
                  <c:v>43458</c:v>
                </c:pt>
                <c:pt idx="1703">
                  <c:v>43455</c:v>
                </c:pt>
                <c:pt idx="1704">
                  <c:v>43454</c:v>
                </c:pt>
                <c:pt idx="1705">
                  <c:v>43453</c:v>
                </c:pt>
                <c:pt idx="1706">
                  <c:v>43452</c:v>
                </c:pt>
                <c:pt idx="1707">
                  <c:v>43451</c:v>
                </c:pt>
                <c:pt idx="1708">
                  <c:v>43448</c:v>
                </c:pt>
                <c:pt idx="1709">
                  <c:v>43447</c:v>
                </c:pt>
                <c:pt idx="1710">
                  <c:v>43446</c:v>
                </c:pt>
                <c:pt idx="1711">
                  <c:v>43445</c:v>
                </c:pt>
                <c:pt idx="1712">
                  <c:v>43444</c:v>
                </c:pt>
                <c:pt idx="1713">
                  <c:v>43441</c:v>
                </c:pt>
                <c:pt idx="1714">
                  <c:v>43440</c:v>
                </c:pt>
                <c:pt idx="1715">
                  <c:v>43438</c:v>
                </c:pt>
                <c:pt idx="1716">
                  <c:v>43437</c:v>
                </c:pt>
                <c:pt idx="1717">
                  <c:v>43434</c:v>
                </c:pt>
                <c:pt idx="1718">
                  <c:v>43433</c:v>
                </c:pt>
                <c:pt idx="1719">
                  <c:v>43432</c:v>
                </c:pt>
                <c:pt idx="1720">
                  <c:v>43431</c:v>
                </c:pt>
                <c:pt idx="1721">
                  <c:v>43430</c:v>
                </c:pt>
                <c:pt idx="1722">
                  <c:v>43427</c:v>
                </c:pt>
                <c:pt idx="1723">
                  <c:v>43425</c:v>
                </c:pt>
                <c:pt idx="1724">
                  <c:v>43424</c:v>
                </c:pt>
                <c:pt idx="1725">
                  <c:v>43423</c:v>
                </c:pt>
                <c:pt idx="1726">
                  <c:v>43420</c:v>
                </c:pt>
                <c:pt idx="1727">
                  <c:v>43419</c:v>
                </c:pt>
                <c:pt idx="1728">
                  <c:v>43418</c:v>
                </c:pt>
                <c:pt idx="1729">
                  <c:v>43417</c:v>
                </c:pt>
                <c:pt idx="1730">
                  <c:v>43416</c:v>
                </c:pt>
                <c:pt idx="1731">
                  <c:v>43413</c:v>
                </c:pt>
                <c:pt idx="1732">
                  <c:v>43412</c:v>
                </c:pt>
                <c:pt idx="1733">
                  <c:v>43411</c:v>
                </c:pt>
                <c:pt idx="1734">
                  <c:v>43410</c:v>
                </c:pt>
                <c:pt idx="1735">
                  <c:v>43409</c:v>
                </c:pt>
                <c:pt idx="1736">
                  <c:v>43406</c:v>
                </c:pt>
                <c:pt idx="1737">
                  <c:v>43405</c:v>
                </c:pt>
                <c:pt idx="1738">
                  <c:v>43404</c:v>
                </c:pt>
                <c:pt idx="1739">
                  <c:v>43403</c:v>
                </c:pt>
                <c:pt idx="1740">
                  <c:v>43402</c:v>
                </c:pt>
                <c:pt idx="1741">
                  <c:v>43399</c:v>
                </c:pt>
                <c:pt idx="1742">
                  <c:v>43398</c:v>
                </c:pt>
                <c:pt idx="1743">
                  <c:v>43397</c:v>
                </c:pt>
                <c:pt idx="1744">
                  <c:v>43396</c:v>
                </c:pt>
                <c:pt idx="1745">
                  <c:v>43395</c:v>
                </c:pt>
                <c:pt idx="1746">
                  <c:v>43392</c:v>
                </c:pt>
                <c:pt idx="1747">
                  <c:v>43391</c:v>
                </c:pt>
                <c:pt idx="1748">
                  <c:v>43390</c:v>
                </c:pt>
                <c:pt idx="1749">
                  <c:v>43389</c:v>
                </c:pt>
                <c:pt idx="1750">
                  <c:v>43388</c:v>
                </c:pt>
                <c:pt idx="1751">
                  <c:v>43385</c:v>
                </c:pt>
                <c:pt idx="1752">
                  <c:v>43384</c:v>
                </c:pt>
                <c:pt idx="1753">
                  <c:v>43383</c:v>
                </c:pt>
                <c:pt idx="1754">
                  <c:v>43382</c:v>
                </c:pt>
                <c:pt idx="1755">
                  <c:v>43381</c:v>
                </c:pt>
                <c:pt idx="1756">
                  <c:v>43378</c:v>
                </c:pt>
                <c:pt idx="1757">
                  <c:v>43377</c:v>
                </c:pt>
                <c:pt idx="1758">
                  <c:v>43376</c:v>
                </c:pt>
                <c:pt idx="1759">
                  <c:v>43375</c:v>
                </c:pt>
                <c:pt idx="1760">
                  <c:v>43374</c:v>
                </c:pt>
                <c:pt idx="1761">
                  <c:v>43371</c:v>
                </c:pt>
                <c:pt idx="1762">
                  <c:v>43370</c:v>
                </c:pt>
                <c:pt idx="1763">
                  <c:v>43369</c:v>
                </c:pt>
                <c:pt idx="1764">
                  <c:v>43368</c:v>
                </c:pt>
                <c:pt idx="1765">
                  <c:v>43367</c:v>
                </c:pt>
                <c:pt idx="1766">
                  <c:v>43364</c:v>
                </c:pt>
                <c:pt idx="1767">
                  <c:v>43363</c:v>
                </c:pt>
                <c:pt idx="1768">
                  <c:v>43362</c:v>
                </c:pt>
                <c:pt idx="1769">
                  <c:v>43361</c:v>
                </c:pt>
                <c:pt idx="1770">
                  <c:v>43360</c:v>
                </c:pt>
                <c:pt idx="1771">
                  <c:v>43357</c:v>
                </c:pt>
                <c:pt idx="1772">
                  <c:v>43356</c:v>
                </c:pt>
                <c:pt idx="1773">
                  <c:v>43355</c:v>
                </c:pt>
                <c:pt idx="1774">
                  <c:v>43354</c:v>
                </c:pt>
                <c:pt idx="1775">
                  <c:v>43353</c:v>
                </c:pt>
                <c:pt idx="1776">
                  <c:v>43350</c:v>
                </c:pt>
                <c:pt idx="1777">
                  <c:v>43349</c:v>
                </c:pt>
                <c:pt idx="1778">
                  <c:v>43348</c:v>
                </c:pt>
                <c:pt idx="1779">
                  <c:v>43347</c:v>
                </c:pt>
                <c:pt idx="1780">
                  <c:v>43343</c:v>
                </c:pt>
                <c:pt idx="1781">
                  <c:v>43342</c:v>
                </c:pt>
                <c:pt idx="1782">
                  <c:v>43341</c:v>
                </c:pt>
                <c:pt idx="1783">
                  <c:v>43340</c:v>
                </c:pt>
                <c:pt idx="1784">
                  <c:v>43339</c:v>
                </c:pt>
                <c:pt idx="1785">
                  <c:v>43336</c:v>
                </c:pt>
                <c:pt idx="1786">
                  <c:v>43335</c:v>
                </c:pt>
                <c:pt idx="1787">
                  <c:v>43334</c:v>
                </c:pt>
                <c:pt idx="1788">
                  <c:v>43333</c:v>
                </c:pt>
                <c:pt idx="1789">
                  <c:v>43332</c:v>
                </c:pt>
                <c:pt idx="1790">
                  <c:v>43329</c:v>
                </c:pt>
                <c:pt idx="1791">
                  <c:v>43328</c:v>
                </c:pt>
                <c:pt idx="1792">
                  <c:v>43327</c:v>
                </c:pt>
                <c:pt idx="1793">
                  <c:v>43326</c:v>
                </c:pt>
                <c:pt idx="1794">
                  <c:v>43325</c:v>
                </c:pt>
                <c:pt idx="1795">
                  <c:v>43322</c:v>
                </c:pt>
                <c:pt idx="1796">
                  <c:v>43321</c:v>
                </c:pt>
                <c:pt idx="1797">
                  <c:v>43320</c:v>
                </c:pt>
                <c:pt idx="1798">
                  <c:v>43319</c:v>
                </c:pt>
                <c:pt idx="1799">
                  <c:v>43318</c:v>
                </c:pt>
                <c:pt idx="1800">
                  <c:v>43315</c:v>
                </c:pt>
                <c:pt idx="1801">
                  <c:v>43314</c:v>
                </c:pt>
                <c:pt idx="1802">
                  <c:v>43313</c:v>
                </c:pt>
                <c:pt idx="1803">
                  <c:v>43312</c:v>
                </c:pt>
                <c:pt idx="1804">
                  <c:v>43311</c:v>
                </c:pt>
                <c:pt idx="1805">
                  <c:v>43308</c:v>
                </c:pt>
                <c:pt idx="1806">
                  <c:v>43307</c:v>
                </c:pt>
                <c:pt idx="1807">
                  <c:v>43306</c:v>
                </c:pt>
                <c:pt idx="1808">
                  <c:v>43305</c:v>
                </c:pt>
                <c:pt idx="1809">
                  <c:v>43304</c:v>
                </c:pt>
                <c:pt idx="1810">
                  <c:v>43301</c:v>
                </c:pt>
                <c:pt idx="1811">
                  <c:v>43300</c:v>
                </c:pt>
                <c:pt idx="1812">
                  <c:v>43299</c:v>
                </c:pt>
                <c:pt idx="1813">
                  <c:v>43298</c:v>
                </c:pt>
                <c:pt idx="1814">
                  <c:v>43297</c:v>
                </c:pt>
                <c:pt idx="1815">
                  <c:v>43294</c:v>
                </c:pt>
                <c:pt idx="1816">
                  <c:v>43293</c:v>
                </c:pt>
                <c:pt idx="1817">
                  <c:v>43292</c:v>
                </c:pt>
                <c:pt idx="1818">
                  <c:v>43291</c:v>
                </c:pt>
                <c:pt idx="1819">
                  <c:v>43290</c:v>
                </c:pt>
                <c:pt idx="1820">
                  <c:v>43287</c:v>
                </c:pt>
                <c:pt idx="1821">
                  <c:v>43286</c:v>
                </c:pt>
                <c:pt idx="1822">
                  <c:v>43284</c:v>
                </c:pt>
                <c:pt idx="1823">
                  <c:v>43283</c:v>
                </c:pt>
                <c:pt idx="1824">
                  <c:v>43280</c:v>
                </c:pt>
                <c:pt idx="1825">
                  <c:v>43279</c:v>
                </c:pt>
                <c:pt idx="1826">
                  <c:v>43278</c:v>
                </c:pt>
                <c:pt idx="1827">
                  <c:v>43277</c:v>
                </c:pt>
                <c:pt idx="1828">
                  <c:v>43276</c:v>
                </c:pt>
                <c:pt idx="1829">
                  <c:v>43273</c:v>
                </c:pt>
                <c:pt idx="1830">
                  <c:v>43272</c:v>
                </c:pt>
                <c:pt idx="1831">
                  <c:v>43271</c:v>
                </c:pt>
                <c:pt idx="1832">
                  <c:v>43270</c:v>
                </c:pt>
                <c:pt idx="1833">
                  <c:v>43269</c:v>
                </c:pt>
                <c:pt idx="1834">
                  <c:v>43266</c:v>
                </c:pt>
                <c:pt idx="1835">
                  <c:v>43265</c:v>
                </c:pt>
                <c:pt idx="1836">
                  <c:v>43264</c:v>
                </c:pt>
                <c:pt idx="1837">
                  <c:v>43263</c:v>
                </c:pt>
                <c:pt idx="1838">
                  <c:v>43262</c:v>
                </c:pt>
                <c:pt idx="1839">
                  <c:v>43259</c:v>
                </c:pt>
                <c:pt idx="1840">
                  <c:v>43258</c:v>
                </c:pt>
                <c:pt idx="1841">
                  <c:v>43257</c:v>
                </c:pt>
                <c:pt idx="1842">
                  <c:v>43256</c:v>
                </c:pt>
                <c:pt idx="1843">
                  <c:v>43255</c:v>
                </c:pt>
                <c:pt idx="1844">
                  <c:v>43252</c:v>
                </c:pt>
                <c:pt idx="1845">
                  <c:v>43251</c:v>
                </c:pt>
                <c:pt idx="1846">
                  <c:v>43250</c:v>
                </c:pt>
                <c:pt idx="1847">
                  <c:v>43249</c:v>
                </c:pt>
                <c:pt idx="1848">
                  <c:v>43245</c:v>
                </c:pt>
                <c:pt idx="1849">
                  <c:v>43244</c:v>
                </c:pt>
                <c:pt idx="1850">
                  <c:v>43243</c:v>
                </c:pt>
                <c:pt idx="1851">
                  <c:v>43242</c:v>
                </c:pt>
                <c:pt idx="1852">
                  <c:v>43241</c:v>
                </c:pt>
                <c:pt idx="1853">
                  <c:v>43238</c:v>
                </c:pt>
                <c:pt idx="1854">
                  <c:v>43237</c:v>
                </c:pt>
                <c:pt idx="1855">
                  <c:v>43236</c:v>
                </c:pt>
                <c:pt idx="1856">
                  <c:v>43235</c:v>
                </c:pt>
                <c:pt idx="1857">
                  <c:v>43234</c:v>
                </c:pt>
                <c:pt idx="1858">
                  <c:v>43231</c:v>
                </c:pt>
                <c:pt idx="1859">
                  <c:v>43230</c:v>
                </c:pt>
                <c:pt idx="1860">
                  <c:v>43229</c:v>
                </c:pt>
                <c:pt idx="1861">
                  <c:v>43228</c:v>
                </c:pt>
                <c:pt idx="1862">
                  <c:v>43227</c:v>
                </c:pt>
                <c:pt idx="1863">
                  <c:v>43224</c:v>
                </c:pt>
                <c:pt idx="1864">
                  <c:v>43223</c:v>
                </c:pt>
                <c:pt idx="1865">
                  <c:v>43222</c:v>
                </c:pt>
                <c:pt idx="1866">
                  <c:v>43221</c:v>
                </c:pt>
                <c:pt idx="1867">
                  <c:v>43220</c:v>
                </c:pt>
                <c:pt idx="1868">
                  <c:v>43217</c:v>
                </c:pt>
                <c:pt idx="1869">
                  <c:v>43216</c:v>
                </c:pt>
                <c:pt idx="1870">
                  <c:v>43215</c:v>
                </c:pt>
                <c:pt idx="1871">
                  <c:v>43214</c:v>
                </c:pt>
                <c:pt idx="1872">
                  <c:v>43213</c:v>
                </c:pt>
                <c:pt idx="1873">
                  <c:v>43210</c:v>
                </c:pt>
                <c:pt idx="1874">
                  <c:v>43209</c:v>
                </c:pt>
                <c:pt idx="1875">
                  <c:v>43208</c:v>
                </c:pt>
                <c:pt idx="1876">
                  <c:v>43207</c:v>
                </c:pt>
                <c:pt idx="1877">
                  <c:v>43206</c:v>
                </c:pt>
                <c:pt idx="1878">
                  <c:v>43203</c:v>
                </c:pt>
                <c:pt idx="1879">
                  <c:v>43202</c:v>
                </c:pt>
                <c:pt idx="1880">
                  <c:v>43201</c:v>
                </c:pt>
                <c:pt idx="1881">
                  <c:v>43200</c:v>
                </c:pt>
                <c:pt idx="1882">
                  <c:v>43199</c:v>
                </c:pt>
                <c:pt idx="1883">
                  <c:v>43196</c:v>
                </c:pt>
                <c:pt idx="1884">
                  <c:v>43195</c:v>
                </c:pt>
                <c:pt idx="1885">
                  <c:v>43194</c:v>
                </c:pt>
                <c:pt idx="1886">
                  <c:v>43193</c:v>
                </c:pt>
                <c:pt idx="1887">
                  <c:v>43192</c:v>
                </c:pt>
                <c:pt idx="1888">
                  <c:v>43188</c:v>
                </c:pt>
                <c:pt idx="1889">
                  <c:v>43187</c:v>
                </c:pt>
                <c:pt idx="1890">
                  <c:v>43186</c:v>
                </c:pt>
                <c:pt idx="1891">
                  <c:v>43185</c:v>
                </c:pt>
                <c:pt idx="1892">
                  <c:v>43182</c:v>
                </c:pt>
                <c:pt idx="1893">
                  <c:v>43181</c:v>
                </c:pt>
                <c:pt idx="1894">
                  <c:v>43180</c:v>
                </c:pt>
                <c:pt idx="1895">
                  <c:v>43179</c:v>
                </c:pt>
                <c:pt idx="1896">
                  <c:v>43178</c:v>
                </c:pt>
                <c:pt idx="1897">
                  <c:v>43175</c:v>
                </c:pt>
                <c:pt idx="1898">
                  <c:v>43174</c:v>
                </c:pt>
                <c:pt idx="1899">
                  <c:v>43173</c:v>
                </c:pt>
                <c:pt idx="1900">
                  <c:v>43172</c:v>
                </c:pt>
                <c:pt idx="1901">
                  <c:v>43171</c:v>
                </c:pt>
                <c:pt idx="1902">
                  <c:v>43168</c:v>
                </c:pt>
                <c:pt idx="1903">
                  <c:v>43167</c:v>
                </c:pt>
                <c:pt idx="1904">
                  <c:v>43166</c:v>
                </c:pt>
                <c:pt idx="1905">
                  <c:v>43165</c:v>
                </c:pt>
                <c:pt idx="1906">
                  <c:v>43164</c:v>
                </c:pt>
                <c:pt idx="1907">
                  <c:v>43161</c:v>
                </c:pt>
                <c:pt idx="1908">
                  <c:v>43160</c:v>
                </c:pt>
                <c:pt idx="1909">
                  <c:v>43159</c:v>
                </c:pt>
                <c:pt idx="1910">
                  <c:v>43158</c:v>
                </c:pt>
                <c:pt idx="1911">
                  <c:v>43157</c:v>
                </c:pt>
                <c:pt idx="1912">
                  <c:v>43154</c:v>
                </c:pt>
                <c:pt idx="1913">
                  <c:v>43153</c:v>
                </c:pt>
                <c:pt idx="1914">
                  <c:v>43152</c:v>
                </c:pt>
                <c:pt idx="1915">
                  <c:v>43151</c:v>
                </c:pt>
                <c:pt idx="1916">
                  <c:v>43147</c:v>
                </c:pt>
                <c:pt idx="1917">
                  <c:v>43146</c:v>
                </c:pt>
                <c:pt idx="1918">
                  <c:v>43145</c:v>
                </c:pt>
                <c:pt idx="1919">
                  <c:v>43144</c:v>
                </c:pt>
                <c:pt idx="1920">
                  <c:v>43143</c:v>
                </c:pt>
                <c:pt idx="1921">
                  <c:v>43140</c:v>
                </c:pt>
                <c:pt idx="1922">
                  <c:v>43139</c:v>
                </c:pt>
                <c:pt idx="1923">
                  <c:v>43138</c:v>
                </c:pt>
                <c:pt idx="1924">
                  <c:v>43137</c:v>
                </c:pt>
                <c:pt idx="1925">
                  <c:v>43136</c:v>
                </c:pt>
                <c:pt idx="1926">
                  <c:v>43133</c:v>
                </c:pt>
                <c:pt idx="1927">
                  <c:v>43132</c:v>
                </c:pt>
                <c:pt idx="1928">
                  <c:v>43131</c:v>
                </c:pt>
                <c:pt idx="1929">
                  <c:v>43130</c:v>
                </c:pt>
                <c:pt idx="1930">
                  <c:v>43129</c:v>
                </c:pt>
                <c:pt idx="1931">
                  <c:v>43126</c:v>
                </c:pt>
                <c:pt idx="1932">
                  <c:v>43125</c:v>
                </c:pt>
                <c:pt idx="1933">
                  <c:v>43124</c:v>
                </c:pt>
                <c:pt idx="1934">
                  <c:v>43123</c:v>
                </c:pt>
                <c:pt idx="1935">
                  <c:v>43122</c:v>
                </c:pt>
                <c:pt idx="1936">
                  <c:v>43119</c:v>
                </c:pt>
                <c:pt idx="1937">
                  <c:v>43118</c:v>
                </c:pt>
                <c:pt idx="1938">
                  <c:v>43117</c:v>
                </c:pt>
                <c:pt idx="1939">
                  <c:v>43116</c:v>
                </c:pt>
                <c:pt idx="1940">
                  <c:v>43112</c:v>
                </c:pt>
                <c:pt idx="1941">
                  <c:v>43111</c:v>
                </c:pt>
                <c:pt idx="1942">
                  <c:v>43110</c:v>
                </c:pt>
                <c:pt idx="1943">
                  <c:v>43109</c:v>
                </c:pt>
                <c:pt idx="1944">
                  <c:v>43108</c:v>
                </c:pt>
                <c:pt idx="1945">
                  <c:v>43105</c:v>
                </c:pt>
                <c:pt idx="1946">
                  <c:v>43104</c:v>
                </c:pt>
                <c:pt idx="1947">
                  <c:v>43103</c:v>
                </c:pt>
                <c:pt idx="1948">
                  <c:v>43102</c:v>
                </c:pt>
                <c:pt idx="1949">
                  <c:v>43098</c:v>
                </c:pt>
                <c:pt idx="1950">
                  <c:v>43097</c:v>
                </c:pt>
                <c:pt idx="1951">
                  <c:v>43096</c:v>
                </c:pt>
                <c:pt idx="1952">
                  <c:v>43095</c:v>
                </c:pt>
                <c:pt idx="1953">
                  <c:v>43091</c:v>
                </c:pt>
                <c:pt idx="1954">
                  <c:v>43090</c:v>
                </c:pt>
                <c:pt idx="1955">
                  <c:v>43089</c:v>
                </c:pt>
                <c:pt idx="1956">
                  <c:v>43088</c:v>
                </c:pt>
                <c:pt idx="1957">
                  <c:v>43087</c:v>
                </c:pt>
                <c:pt idx="1958">
                  <c:v>43084</c:v>
                </c:pt>
                <c:pt idx="1959">
                  <c:v>43083</c:v>
                </c:pt>
                <c:pt idx="1960">
                  <c:v>43082</c:v>
                </c:pt>
                <c:pt idx="1961">
                  <c:v>43081</c:v>
                </c:pt>
                <c:pt idx="1962">
                  <c:v>43080</c:v>
                </c:pt>
                <c:pt idx="1963">
                  <c:v>43077</c:v>
                </c:pt>
                <c:pt idx="1964">
                  <c:v>43076</c:v>
                </c:pt>
                <c:pt idx="1965">
                  <c:v>43075</c:v>
                </c:pt>
                <c:pt idx="1966">
                  <c:v>43074</c:v>
                </c:pt>
                <c:pt idx="1967">
                  <c:v>43073</c:v>
                </c:pt>
                <c:pt idx="1968">
                  <c:v>43070</c:v>
                </c:pt>
                <c:pt idx="1969">
                  <c:v>43069</c:v>
                </c:pt>
                <c:pt idx="1970">
                  <c:v>43068</c:v>
                </c:pt>
                <c:pt idx="1971">
                  <c:v>43067</c:v>
                </c:pt>
                <c:pt idx="1972">
                  <c:v>43066</c:v>
                </c:pt>
                <c:pt idx="1973">
                  <c:v>43063</c:v>
                </c:pt>
                <c:pt idx="1974">
                  <c:v>43061</c:v>
                </c:pt>
                <c:pt idx="1975">
                  <c:v>43060</c:v>
                </c:pt>
                <c:pt idx="1976">
                  <c:v>43059</c:v>
                </c:pt>
                <c:pt idx="1977">
                  <c:v>43056</c:v>
                </c:pt>
                <c:pt idx="1978">
                  <c:v>43055</c:v>
                </c:pt>
                <c:pt idx="1979">
                  <c:v>43054</c:v>
                </c:pt>
                <c:pt idx="1980">
                  <c:v>43053</c:v>
                </c:pt>
                <c:pt idx="1981">
                  <c:v>43052</c:v>
                </c:pt>
                <c:pt idx="1982">
                  <c:v>43049</c:v>
                </c:pt>
                <c:pt idx="1983">
                  <c:v>43048</c:v>
                </c:pt>
                <c:pt idx="1984">
                  <c:v>43047</c:v>
                </c:pt>
                <c:pt idx="1985">
                  <c:v>43046</c:v>
                </c:pt>
                <c:pt idx="1986">
                  <c:v>43045</c:v>
                </c:pt>
                <c:pt idx="1987">
                  <c:v>43042</c:v>
                </c:pt>
                <c:pt idx="1988">
                  <c:v>43041</c:v>
                </c:pt>
                <c:pt idx="1989">
                  <c:v>43040</c:v>
                </c:pt>
                <c:pt idx="1990">
                  <c:v>43039</c:v>
                </c:pt>
                <c:pt idx="1991">
                  <c:v>43038</c:v>
                </c:pt>
                <c:pt idx="1992">
                  <c:v>43035</c:v>
                </c:pt>
                <c:pt idx="1993">
                  <c:v>43034</c:v>
                </c:pt>
                <c:pt idx="1994">
                  <c:v>43033</c:v>
                </c:pt>
                <c:pt idx="1995">
                  <c:v>43032</c:v>
                </c:pt>
                <c:pt idx="1996">
                  <c:v>43031</c:v>
                </c:pt>
                <c:pt idx="1997">
                  <c:v>43028</c:v>
                </c:pt>
                <c:pt idx="1998">
                  <c:v>43027</c:v>
                </c:pt>
                <c:pt idx="1999">
                  <c:v>43026</c:v>
                </c:pt>
                <c:pt idx="2000">
                  <c:v>43025</c:v>
                </c:pt>
                <c:pt idx="2001">
                  <c:v>43024</c:v>
                </c:pt>
                <c:pt idx="2002">
                  <c:v>43021</c:v>
                </c:pt>
                <c:pt idx="2003">
                  <c:v>43020</c:v>
                </c:pt>
                <c:pt idx="2004">
                  <c:v>43019</c:v>
                </c:pt>
                <c:pt idx="2005">
                  <c:v>43018</c:v>
                </c:pt>
                <c:pt idx="2006">
                  <c:v>43017</c:v>
                </c:pt>
                <c:pt idx="2007">
                  <c:v>43014</c:v>
                </c:pt>
                <c:pt idx="2008">
                  <c:v>43013</c:v>
                </c:pt>
                <c:pt idx="2009">
                  <c:v>43012</c:v>
                </c:pt>
                <c:pt idx="2010">
                  <c:v>43011</c:v>
                </c:pt>
                <c:pt idx="2011">
                  <c:v>43010</c:v>
                </c:pt>
                <c:pt idx="2012">
                  <c:v>43007</c:v>
                </c:pt>
                <c:pt idx="2013">
                  <c:v>43006</c:v>
                </c:pt>
                <c:pt idx="2014">
                  <c:v>43005</c:v>
                </c:pt>
                <c:pt idx="2015">
                  <c:v>43004</c:v>
                </c:pt>
                <c:pt idx="2016">
                  <c:v>43003</c:v>
                </c:pt>
                <c:pt idx="2017">
                  <c:v>43000</c:v>
                </c:pt>
                <c:pt idx="2018">
                  <c:v>42999</c:v>
                </c:pt>
                <c:pt idx="2019">
                  <c:v>42998</c:v>
                </c:pt>
                <c:pt idx="2020">
                  <c:v>42997</c:v>
                </c:pt>
                <c:pt idx="2021">
                  <c:v>42996</c:v>
                </c:pt>
                <c:pt idx="2022">
                  <c:v>42993</c:v>
                </c:pt>
                <c:pt idx="2023">
                  <c:v>42992</c:v>
                </c:pt>
                <c:pt idx="2024">
                  <c:v>42991</c:v>
                </c:pt>
                <c:pt idx="2025">
                  <c:v>42990</c:v>
                </c:pt>
                <c:pt idx="2026">
                  <c:v>42989</c:v>
                </c:pt>
                <c:pt idx="2027">
                  <c:v>42986</c:v>
                </c:pt>
                <c:pt idx="2028">
                  <c:v>42985</c:v>
                </c:pt>
                <c:pt idx="2029">
                  <c:v>42984</c:v>
                </c:pt>
                <c:pt idx="2030">
                  <c:v>42983</c:v>
                </c:pt>
                <c:pt idx="2031">
                  <c:v>42979</c:v>
                </c:pt>
                <c:pt idx="2032">
                  <c:v>42978</c:v>
                </c:pt>
                <c:pt idx="2033">
                  <c:v>42977</c:v>
                </c:pt>
                <c:pt idx="2034">
                  <c:v>42976</c:v>
                </c:pt>
                <c:pt idx="2035">
                  <c:v>42975</c:v>
                </c:pt>
                <c:pt idx="2036">
                  <c:v>42972</c:v>
                </c:pt>
                <c:pt idx="2037">
                  <c:v>42971</c:v>
                </c:pt>
                <c:pt idx="2038">
                  <c:v>42970</c:v>
                </c:pt>
                <c:pt idx="2039">
                  <c:v>42969</c:v>
                </c:pt>
                <c:pt idx="2040">
                  <c:v>42968</c:v>
                </c:pt>
                <c:pt idx="2041">
                  <c:v>42965</c:v>
                </c:pt>
                <c:pt idx="2042">
                  <c:v>42964</c:v>
                </c:pt>
                <c:pt idx="2043">
                  <c:v>42963</c:v>
                </c:pt>
                <c:pt idx="2044">
                  <c:v>42962</c:v>
                </c:pt>
                <c:pt idx="2045">
                  <c:v>42961</c:v>
                </c:pt>
                <c:pt idx="2046">
                  <c:v>42958</c:v>
                </c:pt>
                <c:pt idx="2047">
                  <c:v>42957</c:v>
                </c:pt>
                <c:pt idx="2048">
                  <c:v>42956</c:v>
                </c:pt>
                <c:pt idx="2049">
                  <c:v>42955</c:v>
                </c:pt>
                <c:pt idx="2050">
                  <c:v>42954</c:v>
                </c:pt>
                <c:pt idx="2051">
                  <c:v>42951</c:v>
                </c:pt>
                <c:pt idx="2052">
                  <c:v>42950</c:v>
                </c:pt>
                <c:pt idx="2053">
                  <c:v>42949</c:v>
                </c:pt>
                <c:pt idx="2054">
                  <c:v>42948</c:v>
                </c:pt>
                <c:pt idx="2055">
                  <c:v>42947</c:v>
                </c:pt>
                <c:pt idx="2056">
                  <c:v>42944</c:v>
                </c:pt>
                <c:pt idx="2057">
                  <c:v>42943</c:v>
                </c:pt>
                <c:pt idx="2058">
                  <c:v>42942</c:v>
                </c:pt>
                <c:pt idx="2059">
                  <c:v>42941</c:v>
                </c:pt>
                <c:pt idx="2060">
                  <c:v>42940</c:v>
                </c:pt>
                <c:pt idx="2061">
                  <c:v>42937</c:v>
                </c:pt>
                <c:pt idx="2062">
                  <c:v>42936</c:v>
                </c:pt>
                <c:pt idx="2063">
                  <c:v>42935</c:v>
                </c:pt>
                <c:pt idx="2064">
                  <c:v>42934</c:v>
                </c:pt>
                <c:pt idx="2065">
                  <c:v>42933</c:v>
                </c:pt>
                <c:pt idx="2066">
                  <c:v>42930</c:v>
                </c:pt>
                <c:pt idx="2067">
                  <c:v>42929</c:v>
                </c:pt>
                <c:pt idx="2068">
                  <c:v>42928</c:v>
                </c:pt>
                <c:pt idx="2069">
                  <c:v>42927</c:v>
                </c:pt>
                <c:pt idx="2070">
                  <c:v>42926</c:v>
                </c:pt>
                <c:pt idx="2071">
                  <c:v>42923</c:v>
                </c:pt>
                <c:pt idx="2072">
                  <c:v>42922</c:v>
                </c:pt>
                <c:pt idx="2073">
                  <c:v>42921</c:v>
                </c:pt>
                <c:pt idx="2074">
                  <c:v>42919</c:v>
                </c:pt>
                <c:pt idx="2075">
                  <c:v>42916</c:v>
                </c:pt>
                <c:pt idx="2076">
                  <c:v>42915</c:v>
                </c:pt>
                <c:pt idx="2077">
                  <c:v>42914</c:v>
                </c:pt>
                <c:pt idx="2078">
                  <c:v>42913</c:v>
                </c:pt>
                <c:pt idx="2079">
                  <c:v>42912</c:v>
                </c:pt>
                <c:pt idx="2080">
                  <c:v>42909</c:v>
                </c:pt>
                <c:pt idx="2081">
                  <c:v>42908</c:v>
                </c:pt>
                <c:pt idx="2082">
                  <c:v>42907</c:v>
                </c:pt>
                <c:pt idx="2083">
                  <c:v>42906</c:v>
                </c:pt>
                <c:pt idx="2084">
                  <c:v>42905</c:v>
                </c:pt>
                <c:pt idx="2085">
                  <c:v>42902</c:v>
                </c:pt>
                <c:pt idx="2086">
                  <c:v>42901</c:v>
                </c:pt>
                <c:pt idx="2087">
                  <c:v>42900</c:v>
                </c:pt>
                <c:pt idx="2088">
                  <c:v>42899</c:v>
                </c:pt>
                <c:pt idx="2089">
                  <c:v>42898</c:v>
                </c:pt>
                <c:pt idx="2090">
                  <c:v>42895</c:v>
                </c:pt>
                <c:pt idx="2091">
                  <c:v>42894</c:v>
                </c:pt>
                <c:pt idx="2092">
                  <c:v>42893</c:v>
                </c:pt>
                <c:pt idx="2093">
                  <c:v>42892</c:v>
                </c:pt>
                <c:pt idx="2094">
                  <c:v>42891</c:v>
                </c:pt>
                <c:pt idx="2095">
                  <c:v>42888</c:v>
                </c:pt>
                <c:pt idx="2096">
                  <c:v>42887</c:v>
                </c:pt>
                <c:pt idx="2097">
                  <c:v>42886</c:v>
                </c:pt>
                <c:pt idx="2098">
                  <c:v>42885</c:v>
                </c:pt>
                <c:pt idx="2099">
                  <c:v>42881</c:v>
                </c:pt>
                <c:pt idx="2100">
                  <c:v>42880</c:v>
                </c:pt>
                <c:pt idx="2101">
                  <c:v>42879</c:v>
                </c:pt>
                <c:pt idx="2102">
                  <c:v>42878</c:v>
                </c:pt>
                <c:pt idx="2103">
                  <c:v>42877</c:v>
                </c:pt>
                <c:pt idx="2104">
                  <c:v>42874</c:v>
                </c:pt>
                <c:pt idx="2105">
                  <c:v>42873</c:v>
                </c:pt>
                <c:pt idx="2106">
                  <c:v>42872</c:v>
                </c:pt>
                <c:pt idx="2107">
                  <c:v>42871</c:v>
                </c:pt>
                <c:pt idx="2108">
                  <c:v>42870</c:v>
                </c:pt>
                <c:pt idx="2109">
                  <c:v>42867</c:v>
                </c:pt>
                <c:pt idx="2110">
                  <c:v>42866</c:v>
                </c:pt>
                <c:pt idx="2111">
                  <c:v>42865</c:v>
                </c:pt>
                <c:pt idx="2112">
                  <c:v>42864</c:v>
                </c:pt>
                <c:pt idx="2113">
                  <c:v>42863</c:v>
                </c:pt>
                <c:pt idx="2114">
                  <c:v>42860</c:v>
                </c:pt>
                <c:pt idx="2115">
                  <c:v>42859</c:v>
                </c:pt>
                <c:pt idx="2116">
                  <c:v>42858</c:v>
                </c:pt>
                <c:pt idx="2117">
                  <c:v>42857</c:v>
                </c:pt>
                <c:pt idx="2118">
                  <c:v>42856</c:v>
                </c:pt>
                <c:pt idx="2119">
                  <c:v>42853</c:v>
                </c:pt>
                <c:pt idx="2120">
                  <c:v>42852</c:v>
                </c:pt>
                <c:pt idx="2121">
                  <c:v>42851</c:v>
                </c:pt>
                <c:pt idx="2122">
                  <c:v>42850</c:v>
                </c:pt>
                <c:pt idx="2123">
                  <c:v>42849</c:v>
                </c:pt>
                <c:pt idx="2124">
                  <c:v>42846</c:v>
                </c:pt>
                <c:pt idx="2125">
                  <c:v>42845</c:v>
                </c:pt>
                <c:pt idx="2126">
                  <c:v>42844</c:v>
                </c:pt>
                <c:pt idx="2127">
                  <c:v>42843</c:v>
                </c:pt>
                <c:pt idx="2128">
                  <c:v>42842</c:v>
                </c:pt>
                <c:pt idx="2129">
                  <c:v>42838</c:v>
                </c:pt>
                <c:pt idx="2130">
                  <c:v>42837</c:v>
                </c:pt>
                <c:pt idx="2131">
                  <c:v>42836</c:v>
                </c:pt>
                <c:pt idx="2132">
                  <c:v>42835</c:v>
                </c:pt>
                <c:pt idx="2133">
                  <c:v>42832</c:v>
                </c:pt>
                <c:pt idx="2134">
                  <c:v>42831</c:v>
                </c:pt>
                <c:pt idx="2135">
                  <c:v>42830</c:v>
                </c:pt>
                <c:pt idx="2136">
                  <c:v>42829</c:v>
                </c:pt>
                <c:pt idx="2137">
                  <c:v>42828</c:v>
                </c:pt>
                <c:pt idx="2138">
                  <c:v>42825</c:v>
                </c:pt>
                <c:pt idx="2139">
                  <c:v>42824</c:v>
                </c:pt>
                <c:pt idx="2140">
                  <c:v>42823</c:v>
                </c:pt>
                <c:pt idx="2141">
                  <c:v>42822</c:v>
                </c:pt>
                <c:pt idx="2142">
                  <c:v>42821</c:v>
                </c:pt>
                <c:pt idx="2143">
                  <c:v>42818</c:v>
                </c:pt>
                <c:pt idx="2144">
                  <c:v>42817</c:v>
                </c:pt>
                <c:pt idx="2145">
                  <c:v>42816</c:v>
                </c:pt>
                <c:pt idx="2146">
                  <c:v>42815</c:v>
                </c:pt>
                <c:pt idx="2147">
                  <c:v>42814</c:v>
                </c:pt>
                <c:pt idx="2148">
                  <c:v>42811</c:v>
                </c:pt>
                <c:pt idx="2149">
                  <c:v>42810</c:v>
                </c:pt>
                <c:pt idx="2150">
                  <c:v>42809</c:v>
                </c:pt>
                <c:pt idx="2151">
                  <c:v>42808</c:v>
                </c:pt>
                <c:pt idx="2152">
                  <c:v>42807</c:v>
                </c:pt>
                <c:pt idx="2153">
                  <c:v>42804</c:v>
                </c:pt>
                <c:pt idx="2154">
                  <c:v>42803</c:v>
                </c:pt>
                <c:pt idx="2155">
                  <c:v>42802</c:v>
                </c:pt>
                <c:pt idx="2156">
                  <c:v>42801</c:v>
                </c:pt>
                <c:pt idx="2157">
                  <c:v>42800</c:v>
                </c:pt>
                <c:pt idx="2158">
                  <c:v>42797</c:v>
                </c:pt>
                <c:pt idx="2159">
                  <c:v>42796</c:v>
                </c:pt>
                <c:pt idx="2160">
                  <c:v>42795</c:v>
                </c:pt>
                <c:pt idx="2161">
                  <c:v>42794</c:v>
                </c:pt>
                <c:pt idx="2162">
                  <c:v>42793</c:v>
                </c:pt>
                <c:pt idx="2163">
                  <c:v>42790</c:v>
                </c:pt>
                <c:pt idx="2164">
                  <c:v>42789</c:v>
                </c:pt>
                <c:pt idx="2165">
                  <c:v>42788</c:v>
                </c:pt>
                <c:pt idx="2166">
                  <c:v>42787</c:v>
                </c:pt>
                <c:pt idx="2167">
                  <c:v>42783</c:v>
                </c:pt>
                <c:pt idx="2168">
                  <c:v>42782</c:v>
                </c:pt>
                <c:pt idx="2169">
                  <c:v>42781</c:v>
                </c:pt>
                <c:pt idx="2170">
                  <c:v>42780</c:v>
                </c:pt>
                <c:pt idx="2171">
                  <c:v>42779</c:v>
                </c:pt>
                <c:pt idx="2172">
                  <c:v>42776</c:v>
                </c:pt>
                <c:pt idx="2173">
                  <c:v>42775</c:v>
                </c:pt>
                <c:pt idx="2174">
                  <c:v>42774</c:v>
                </c:pt>
                <c:pt idx="2175">
                  <c:v>42773</c:v>
                </c:pt>
                <c:pt idx="2176">
                  <c:v>42772</c:v>
                </c:pt>
                <c:pt idx="2177">
                  <c:v>42769</c:v>
                </c:pt>
                <c:pt idx="2178">
                  <c:v>42768</c:v>
                </c:pt>
                <c:pt idx="2179">
                  <c:v>42767</c:v>
                </c:pt>
                <c:pt idx="2180">
                  <c:v>42766</c:v>
                </c:pt>
                <c:pt idx="2181">
                  <c:v>42765</c:v>
                </c:pt>
                <c:pt idx="2182">
                  <c:v>42762</c:v>
                </c:pt>
                <c:pt idx="2183">
                  <c:v>42761</c:v>
                </c:pt>
                <c:pt idx="2184">
                  <c:v>42760</c:v>
                </c:pt>
                <c:pt idx="2185">
                  <c:v>42759</c:v>
                </c:pt>
                <c:pt idx="2186">
                  <c:v>42758</c:v>
                </c:pt>
                <c:pt idx="2187">
                  <c:v>42755</c:v>
                </c:pt>
                <c:pt idx="2188">
                  <c:v>42754</c:v>
                </c:pt>
                <c:pt idx="2189">
                  <c:v>42753</c:v>
                </c:pt>
                <c:pt idx="2190">
                  <c:v>42752</c:v>
                </c:pt>
                <c:pt idx="2191">
                  <c:v>42748</c:v>
                </c:pt>
                <c:pt idx="2192">
                  <c:v>42747</c:v>
                </c:pt>
                <c:pt idx="2193">
                  <c:v>42746</c:v>
                </c:pt>
                <c:pt idx="2194">
                  <c:v>42745</c:v>
                </c:pt>
                <c:pt idx="2195">
                  <c:v>42744</c:v>
                </c:pt>
                <c:pt idx="2196">
                  <c:v>42741</c:v>
                </c:pt>
                <c:pt idx="2197">
                  <c:v>42740</c:v>
                </c:pt>
                <c:pt idx="2198">
                  <c:v>42739</c:v>
                </c:pt>
                <c:pt idx="2199">
                  <c:v>42738</c:v>
                </c:pt>
                <c:pt idx="2200">
                  <c:v>42734</c:v>
                </c:pt>
                <c:pt idx="2201">
                  <c:v>42733</c:v>
                </c:pt>
                <c:pt idx="2202">
                  <c:v>42732</c:v>
                </c:pt>
                <c:pt idx="2203">
                  <c:v>42731</c:v>
                </c:pt>
                <c:pt idx="2204">
                  <c:v>42727</c:v>
                </c:pt>
                <c:pt idx="2205">
                  <c:v>42726</c:v>
                </c:pt>
                <c:pt idx="2206">
                  <c:v>42725</c:v>
                </c:pt>
                <c:pt idx="2207">
                  <c:v>42724</c:v>
                </c:pt>
                <c:pt idx="2208">
                  <c:v>42723</c:v>
                </c:pt>
                <c:pt idx="2209">
                  <c:v>42720</c:v>
                </c:pt>
                <c:pt idx="2210">
                  <c:v>42719</c:v>
                </c:pt>
                <c:pt idx="2211">
                  <c:v>42718</c:v>
                </c:pt>
                <c:pt idx="2212">
                  <c:v>42717</c:v>
                </c:pt>
                <c:pt idx="2213">
                  <c:v>42716</c:v>
                </c:pt>
                <c:pt idx="2214">
                  <c:v>42713</c:v>
                </c:pt>
                <c:pt idx="2215">
                  <c:v>42712</c:v>
                </c:pt>
                <c:pt idx="2216">
                  <c:v>42711</c:v>
                </c:pt>
                <c:pt idx="2217">
                  <c:v>42710</c:v>
                </c:pt>
                <c:pt idx="2218">
                  <c:v>42709</c:v>
                </c:pt>
                <c:pt idx="2219">
                  <c:v>42706</c:v>
                </c:pt>
                <c:pt idx="2220">
                  <c:v>42705</c:v>
                </c:pt>
                <c:pt idx="2221">
                  <c:v>42704</c:v>
                </c:pt>
                <c:pt idx="2222">
                  <c:v>42703</c:v>
                </c:pt>
                <c:pt idx="2223">
                  <c:v>42702</c:v>
                </c:pt>
                <c:pt idx="2224">
                  <c:v>42699</c:v>
                </c:pt>
                <c:pt idx="2225">
                  <c:v>42697</c:v>
                </c:pt>
                <c:pt idx="2226">
                  <c:v>42696</c:v>
                </c:pt>
                <c:pt idx="2227">
                  <c:v>42695</c:v>
                </c:pt>
                <c:pt idx="2228">
                  <c:v>42692</c:v>
                </c:pt>
                <c:pt idx="2229">
                  <c:v>42691</c:v>
                </c:pt>
                <c:pt idx="2230">
                  <c:v>42690</c:v>
                </c:pt>
                <c:pt idx="2231">
                  <c:v>42689</c:v>
                </c:pt>
                <c:pt idx="2232">
                  <c:v>42688</c:v>
                </c:pt>
                <c:pt idx="2233">
                  <c:v>42685</c:v>
                </c:pt>
                <c:pt idx="2234">
                  <c:v>42684</c:v>
                </c:pt>
                <c:pt idx="2235">
                  <c:v>42683</c:v>
                </c:pt>
                <c:pt idx="2236">
                  <c:v>42682</c:v>
                </c:pt>
                <c:pt idx="2237">
                  <c:v>42681</c:v>
                </c:pt>
                <c:pt idx="2238">
                  <c:v>42678</c:v>
                </c:pt>
                <c:pt idx="2239">
                  <c:v>42677</c:v>
                </c:pt>
                <c:pt idx="2240">
                  <c:v>42676</c:v>
                </c:pt>
                <c:pt idx="2241">
                  <c:v>42675</c:v>
                </c:pt>
                <c:pt idx="2242">
                  <c:v>42674</c:v>
                </c:pt>
                <c:pt idx="2243">
                  <c:v>42671</c:v>
                </c:pt>
                <c:pt idx="2244">
                  <c:v>42670</c:v>
                </c:pt>
                <c:pt idx="2245">
                  <c:v>42669</c:v>
                </c:pt>
                <c:pt idx="2246">
                  <c:v>42668</c:v>
                </c:pt>
                <c:pt idx="2247">
                  <c:v>42667</c:v>
                </c:pt>
                <c:pt idx="2248">
                  <c:v>42664</c:v>
                </c:pt>
                <c:pt idx="2249">
                  <c:v>42663</c:v>
                </c:pt>
                <c:pt idx="2250">
                  <c:v>42662</c:v>
                </c:pt>
                <c:pt idx="2251">
                  <c:v>42661</c:v>
                </c:pt>
                <c:pt idx="2252">
                  <c:v>42660</c:v>
                </c:pt>
                <c:pt idx="2253">
                  <c:v>42657</c:v>
                </c:pt>
                <c:pt idx="2254">
                  <c:v>42656</c:v>
                </c:pt>
                <c:pt idx="2255">
                  <c:v>42655</c:v>
                </c:pt>
                <c:pt idx="2256">
                  <c:v>42654</c:v>
                </c:pt>
                <c:pt idx="2257">
                  <c:v>42653</c:v>
                </c:pt>
                <c:pt idx="2258">
                  <c:v>42650</c:v>
                </c:pt>
                <c:pt idx="2259">
                  <c:v>42649</c:v>
                </c:pt>
                <c:pt idx="2260">
                  <c:v>42648</c:v>
                </c:pt>
                <c:pt idx="2261">
                  <c:v>42647</c:v>
                </c:pt>
                <c:pt idx="2262">
                  <c:v>42646</c:v>
                </c:pt>
                <c:pt idx="2263">
                  <c:v>42643</c:v>
                </c:pt>
                <c:pt idx="2264">
                  <c:v>42642</c:v>
                </c:pt>
                <c:pt idx="2265">
                  <c:v>42641</c:v>
                </c:pt>
                <c:pt idx="2266">
                  <c:v>42640</c:v>
                </c:pt>
                <c:pt idx="2267">
                  <c:v>42639</c:v>
                </c:pt>
                <c:pt idx="2268">
                  <c:v>42636</c:v>
                </c:pt>
                <c:pt idx="2269">
                  <c:v>42635</c:v>
                </c:pt>
                <c:pt idx="2270">
                  <c:v>42634</c:v>
                </c:pt>
                <c:pt idx="2271">
                  <c:v>42633</c:v>
                </c:pt>
                <c:pt idx="2272">
                  <c:v>42632</c:v>
                </c:pt>
                <c:pt idx="2273">
                  <c:v>42629</c:v>
                </c:pt>
                <c:pt idx="2274">
                  <c:v>42628</c:v>
                </c:pt>
                <c:pt idx="2275">
                  <c:v>42627</c:v>
                </c:pt>
                <c:pt idx="2276">
                  <c:v>42626</c:v>
                </c:pt>
                <c:pt idx="2277">
                  <c:v>42625</c:v>
                </c:pt>
                <c:pt idx="2278">
                  <c:v>42622</c:v>
                </c:pt>
                <c:pt idx="2279">
                  <c:v>42621</c:v>
                </c:pt>
                <c:pt idx="2280">
                  <c:v>42620</c:v>
                </c:pt>
                <c:pt idx="2281">
                  <c:v>42619</c:v>
                </c:pt>
                <c:pt idx="2282">
                  <c:v>42615</c:v>
                </c:pt>
                <c:pt idx="2283">
                  <c:v>42614</c:v>
                </c:pt>
                <c:pt idx="2284">
                  <c:v>42613</c:v>
                </c:pt>
                <c:pt idx="2285">
                  <c:v>42612</c:v>
                </c:pt>
                <c:pt idx="2286">
                  <c:v>42611</c:v>
                </c:pt>
                <c:pt idx="2287">
                  <c:v>42608</c:v>
                </c:pt>
                <c:pt idx="2288">
                  <c:v>42607</c:v>
                </c:pt>
                <c:pt idx="2289">
                  <c:v>42606</c:v>
                </c:pt>
                <c:pt idx="2290">
                  <c:v>42605</c:v>
                </c:pt>
                <c:pt idx="2291">
                  <c:v>42604</c:v>
                </c:pt>
                <c:pt idx="2292">
                  <c:v>42601</c:v>
                </c:pt>
                <c:pt idx="2293">
                  <c:v>42600</c:v>
                </c:pt>
                <c:pt idx="2294">
                  <c:v>42599</c:v>
                </c:pt>
                <c:pt idx="2295">
                  <c:v>42598</c:v>
                </c:pt>
                <c:pt idx="2296">
                  <c:v>42597</c:v>
                </c:pt>
                <c:pt idx="2297">
                  <c:v>42594</c:v>
                </c:pt>
                <c:pt idx="2298">
                  <c:v>42593</c:v>
                </c:pt>
                <c:pt idx="2299">
                  <c:v>42592</c:v>
                </c:pt>
                <c:pt idx="2300">
                  <c:v>42591</c:v>
                </c:pt>
                <c:pt idx="2301">
                  <c:v>42590</c:v>
                </c:pt>
                <c:pt idx="2302">
                  <c:v>42587</c:v>
                </c:pt>
                <c:pt idx="2303">
                  <c:v>42586</c:v>
                </c:pt>
                <c:pt idx="2304">
                  <c:v>42585</c:v>
                </c:pt>
                <c:pt idx="2305">
                  <c:v>42584</c:v>
                </c:pt>
                <c:pt idx="2306">
                  <c:v>42583</c:v>
                </c:pt>
                <c:pt idx="2307">
                  <c:v>42580</c:v>
                </c:pt>
                <c:pt idx="2308">
                  <c:v>42579</c:v>
                </c:pt>
                <c:pt idx="2309">
                  <c:v>42578</c:v>
                </c:pt>
                <c:pt idx="2310">
                  <c:v>42577</c:v>
                </c:pt>
                <c:pt idx="2311">
                  <c:v>42576</c:v>
                </c:pt>
                <c:pt idx="2312">
                  <c:v>42573</c:v>
                </c:pt>
                <c:pt idx="2313">
                  <c:v>42572</c:v>
                </c:pt>
                <c:pt idx="2314">
                  <c:v>42571</c:v>
                </c:pt>
                <c:pt idx="2315">
                  <c:v>42570</c:v>
                </c:pt>
                <c:pt idx="2316">
                  <c:v>42569</c:v>
                </c:pt>
                <c:pt idx="2317">
                  <c:v>42566</c:v>
                </c:pt>
                <c:pt idx="2318">
                  <c:v>42565</c:v>
                </c:pt>
                <c:pt idx="2319">
                  <c:v>42564</c:v>
                </c:pt>
                <c:pt idx="2320">
                  <c:v>42563</c:v>
                </c:pt>
                <c:pt idx="2321">
                  <c:v>42562</c:v>
                </c:pt>
                <c:pt idx="2322">
                  <c:v>42559</c:v>
                </c:pt>
                <c:pt idx="2323">
                  <c:v>42558</c:v>
                </c:pt>
                <c:pt idx="2324">
                  <c:v>42557</c:v>
                </c:pt>
                <c:pt idx="2325">
                  <c:v>42556</c:v>
                </c:pt>
                <c:pt idx="2326">
                  <c:v>42552</c:v>
                </c:pt>
                <c:pt idx="2327">
                  <c:v>42551</c:v>
                </c:pt>
                <c:pt idx="2328">
                  <c:v>42550</c:v>
                </c:pt>
                <c:pt idx="2329">
                  <c:v>42549</c:v>
                </c:pt>
                <c:pt idx="2330">
                  <c:v>42548</c:v>
                </c:pt>
                <c:pt idx="2331">
                  <c:v>42545</c:v>
                </c:pt>
                <c:pt idx="2332">
                  <c:v>42544</c:v>
                </c:pt>
                <c:pt idx="2333">
                  <c:v>42543</c:v>
                </c:pt>
                <c:pt idx="2334">
                  <c:v>42542</c:v>
                </c:pt>
                <c:pt idx="2335">
                  <c:v>42541</c:v>
                </c:pt>
                <c:pt idx="2336">
                  <c:v>42538</c:v>
                </c:pt>
                <c:pt idx="2337">
                  <c:v>42537</c:v>
                </c:pt>
                <c:pt idx="2338">
                  <c:v>42536</c:v>
                </c:pt>
                <c:pt idx="2339">
                  <c:v>42535</c:v>
                </c:pt>
                <c:pt idx="2340">
                  <c:v>42534</c:v>
                </c:pt>
                <c:pt idx="2341">
                  <c:v>42531</c:v>
                </c:pt>
                <c:pt idx="2342">
                  <c:v>42530</c:v>
                </c:pt>
                <c:pt idx="2343">
                  <c:v>42529</c:v>
                </c:pt>
                <c:pt idx="2344">
                  <c:v>42528</c:v>
                </c:pt>
                <c:pt idx="2345">
                  <c:v>42527</c:v>
                </c:pt>
                <c:pt idx="2346">
                  <c:v>42524</c:v>
                </c:pt>
                <c:pt idx="2347">
                  <c:v>42523</c:v>
                </c:pt>
                <c:pt idx="2348">
                  <c:v>42522</c:v>
                </c:pt>
                <c:pt idx="2349">
                  <c:v>42521</c:v>
                </c:pt>
                <c:pt idx="2350">
                  <c:v>42517</c:v>
                </c:pt>
                <c:pt idx="2351">
                  <c:v>42516</c:v>
                </c:pt>
                <c:pt idx="2352">
                  <c:v>42515</c:v>
                </c:pt>
                <c:pt idx="2353">
                  <c:v>42514</c:v>
                </c:pt>
                <c:pt idx="2354">
                  <c:v>42513</c:v>
                </c:pt>
                <c:pt idx="2355">
                  <c:v>42510</c:v>
                </c:pt>
                <c:pt idx="2356">
                  <c:v>42509</c:v>
                </c:pt>
                <c:pt idx="2357">
                  <c:v>42508</c:v>
                </c:pt>
                <c:pt idx="2358">
                  <c:v>42507</c:v>
                </c:pt>
                <c:pt idx="2359">
                  <c:v>42506</c:v>
                </c:pt>
                <c:pt idx="2360">
                  <c:v>42503</c:v>
                </c:pt>
                <c:pt idx="2361">
                  <c:v>42502</c:v>
                </c:pt>
                <c:pt idx="2362">
                  <c:v>42501</c:v>
                </c:pt>
                <c:pt idx="2363">
                  <c:v>42500</c:v>
                </c:pt>
                <c:pt idx="2364">
                  <c:v>42499</c:v>
                </c:pt>
                <c:pt idx="2365">
                  <c:v>42496</c:v>
                </c:pt>
                <c:pt idx="2366">
                  <c:v>42495</c:v>
                </c:pt>
                <c:pt idx="2367">
                  <c:v>42494</c:v>
                </c:pt>
                <c:pt idx="2368">
                  <c:v>42493</c:v>
                </c:pt>
                <c:pt idx="2369">
                  <c:v>42492</c:v>
                </c:pt>
                <c:pt idx="2370">
                  <c:v>42489</c:v>
                </c:pt>
                <c:pt idx="2371">
                  <c:v>42488</c:v>
                </c:pt>
                <c:pt idx="2372">
                  <c:v>42487</c:v>
                </c:pt>
                <c:pt idx="2373">
                  <c:v>42486</c:v>
                </c:pt>
                <c:pt idx="2374">
                  <c:v>42485</c:v>
                </c:pt>
                <c:pt idx="2375">
                  <c:v>42482</c:v>
                </c:pt>
                <c:pt idx="2376">
                  <c:v>42481</c:v>
                </c:pt>
                <c:pt idx="2377">
                  <c:v>42480</c:v>
                </c:pt>
                <c:pt idx="2378">
                  <c:v>42479</c:v>
                </c:pt>
                <c:pt idx="2379">
                  <c:v>42478</c:v>
                </c:pt>
                <c:pt idx="2380">
                  <c:v>42475</c:v>
                </c:pt>
                <c:pt idx="2381">
                  <c:v>42474</c:v>
                </c:pt>
                <c:pt idx="2382">
                  <c:v>42473</c:v>
                </c:pt>
                <c:pt idx="2383">
                  <c:v>42472</c:v>
                </c:pt>
                <c:pt idx="2384">
                  <c:v>42471</c:v>
                </c:pt>
                <c:pt idx="2385">
                  <c:v>42468</c:v>
                </c:pt>
                <c:pt idx="2386">
                  <c:v>42467</c:v>
                </c:pt>
                <c:pt idx="2387">
                  <c:v>42466</c:v>
                </c:pt>
                <c:pt idx="2388">
                  <c:v>42465</c:v>
                </c:pt>
                <c:pt idx="2389">
                  <c:v>42464</c:v>
                </c:pt>
                <c:pt idx="2390">
                  <c:v>42461</c:v>
                </c:pt>
                <c:pt idx="2391">
                  <c:v>42460</c:v>
                </c:pt>
                <c:pt idx="2392">
                  <c:v>42459</c:v>
                </c:pt>
                <c:pt idx="2393">
                  <c:v>42458</c:v>
                </c:pt>
                <c:pt idx="2394">
                  <c:v>42457</c:v>
                </c:pt>
                <c:pt idx="2395">
                  <c:v>42453</c:v>
                </c:pt>
                <c:pt idx="2396">
                  <c:v>42452</c:v>
                </c:pt>
                <c:pt idx="2397">
                  <c:v>42451</c:v>
                </c:pt>
                <c:pt idx="2398">
                  <c:v>42450</c:v>
                </c:pt>
                <c:pt idx="2399">
                  <c:v>42447</c:v>
                </c:pt>
                <c:pt idx="2400">
                  <c:v>42446</c:v>
                </c:pt>
                <c:pt idx="2401">
                  <c:v>42445</c:v>
                </c:pt>
                <c:pt idx="2402">
                  <c:v>42444</c:v>
                </c:pt>
                <c:pt idx="2403">
                  <c:v>42443</c:v>
                </c:pt>
                <c:pt idx="2404">
                  <c:v>42440</c:v>
                </c:pt>
                <c:pt idx="2405">
                  <c:v>42439</c:v>
                </c:pt>
                <c:pt idx="2406">
                  <c:v>42438</c:v>
                </c:pt>
                <c:pt idx="2407">
                  <c:v>42437</c:v>
                </c:pt>
                <c:pt idx="2408">
                  <c:v>42436</c:v>
                </c:pt>
                <c:pt idx="2409">
                  <c:v>42433</c:v>
                </c:pt>
                <c:pt idx="2410">
                  <c:v>42432</c:v>
                </c:pt>
                <c:pt idx="2411">
                  <c:v>42431</c:v>
                </c:pt>
                <c:pt idx="2412">
                  <c:v>42430</c:v>
                </c:pt>
                <c:pt idx="2413">
                  <c:v>42429</c:v>
                </c:pt>
                <c:pt idx="2414">
                  <c:v>42426</c:v>
                </c:pt>
                <c:pt idx="2415">
                  <c:v>42425</c:v>
                </c:pt>
                <c:pt idx="2416">
                  <c:v>42424</c:v>
                </c:pt>
                <c:pt idx="2417">
                  <c:v>42423</c:v>
                </c:pt>
                <c:pt idx="2418">
                  <c:v>42422</c:v>
                </c:pt>
                <c:pt idx="2419">
                  <c:v>42419</c:v>
                </c:pt>
                <c:pt idx="2420">
                  <c:v>42418</c:v>
                </c:pt>
                <c:pt idx="2421">
                  <c:v>42417</c:v>
                </c:pt>
                <c:pt idx="2422">
                  <c:v>42416</c:v>
                </c:pt>
                <c:pt idx="2423">
                  <c:v>42412</c:v>
                </c:pt>
                <c:pt idx="2424">
                  <c:v>42411</c:v>
                </c:pt>
                <c:pt idx="2425">
                  <c:v>42410</c:v>
                </c:pt>
                <c:pt idx="2426">
                  <c:v>42409</c:v>
                </c:pt>
                <c:pt idx="2427">
                  <c:v>42408</c:v>
                </c:pt>
                <c:pt idx="2428">
                  <c:v>42405</c:v>
                </c:pt>
                <c:pt idx="2429">
                  <c:v>42404</c:v>
                </c:pt>
                <c:pt idx="2430">
                  <c:v>42403</c:v>
                </c:pt>
                <c:pt idx="2431">
                  <c:v>42402</c:v>
                </c:pt>
                <c:pt idx="2432">
                  <c:v>42401</c:v>
                </c:pt>
                <c:pt idx="2433">
                  <c:v>42398</c:v>
                </c:pt>
                <c:pt idx="2434">
                  <c:v>42397</c:v>
                </c:pt>
                <c:pt idx="2435">
                  <c:v>42396</c:v>
                </c:pt>
                <c:pt idx="2436">
                  <c:v>42395</c:v>
                </c:pt>
                <c:pt idx="2437">
                  <c:v>42394</c:v>
                </c:pt>
                <c:pt idx="2438">
                  <c:v>42391</c:v>
                </c:pt>
                <c:pt idx="2439">
                  <c:v>42390</c:v>
                </c:pt>
                <c:pt idx="2440">
                  <c:v>42389</c:v>
                </c:pt>
                <c:pt idx="2441">
                  <c:v>42388</c:v>
                </c:pt>
                <c:pt idx="2442">
                  <c:v>42384</c:v>
                </c:pt>
                <c:pt idx="2443">
                  <c:v>42383</c:v>
                </c:pt>
                <c:pt idx="2444">
                  <c:v>42382</c:v>
                </c:pt>
                <c:pt idx="2445">
                  <c:v>42381</c:v>
                </c:pt>
                <c:pt idx="2446">
                  <c:v>42380</c:v>
                </c:pt>
                <c:pt idx="2447">
                  <c:v>42377</c:v>
                </c:pt>
                <c:pt idx="2448">
                  <c:v>42376</c:v>
                </c:pt>
                <c:pt idx="2449">
                  <c:v>42375</c:v>
                </c:pt>
                <c:pt idx="2450">
                  <c:v>42374</c:v>
                </c:pt>
                <c:pt idx="2451">
                  <c:v>42373</c:v>
                </c:pt>
                <c:pt idx="2452">
                  <c:v>42369</c:v>
                </c:pt>
                <c:pt idx="2453">
                  <c:v>42368</c:v>
                </c:pt>
                <c:pt idx="2454">
                  <c:v>42367</c:v>
                </c:pt>
                <c:pt idx="2455">
                  <c:v>42366</c:v>
                </c:pt>
                <c:pt idx="2456">
                  <c:v>42362</c:v>
                </c:pt>
                <c:pt idx="2457">
                  <c:v>42361</c:v>
                </c:pt>
                <c:pt idx="2458">
                  <c:v>42360</c:v>
                </c:pt>
                <c:pt idx="2459">
                  <c:v>42359</c:v>
                </c:pt>
                <c:pt idx="2460">
                  <c:v>42356</c:v>
                </c:pt>
                <c:pt idx="2461">
                  <c:v>42355</c:v>
                </c:pt>
                <c:pt idx="2462">
                  <c:v>42354</c:v>
                </c:pt>
                <c:pt idx="2463">
                  <c:v>42353</c:v>
                </c:pt>
                <c:pt idx="2464">
                  <c:v>42352</c:v>
                </c:pt>
                <c:pt idx="2465">
                  <c:v>42349</c:v>
                </c:pt>
                <c:pt idx="2466">
                  <c:v>42348</c:v>
                </c:pt>
                <c:pt idx="2467">
                  <c:v>42347</c:v>
                </c:pt>
                <c:pt idx="2468">
                  <c:v>42346</c:v>
                </c:pt>
                <c:pt idx="2469">
                  <c:v>42345</c:v>
                </c:pt>
                <c:pt idx="2470">
                  <c:v>42342</c:v>
                </c:pt>
                <c:pt idx="2471">
                  <c:v>42341</c:v>
                </c:pt>
                <c:pt idx="2472">
                  <c:v>42340</c:v>
                </c:pt>
                <c:pt idx="2473">
                  <c:v>42339</c:v>
                </c:pt>
                <c:pt idx="2474">
                  <c:v>42338</c:v>
                </c:pt>
                <c:pt idx="2475">
                  <c:v>42335</c:v>
                </c:pt>
                <c:pt idx="2476">
                  <c:v>42333</c:v>
                </c:pt>
                <c:pt idx="2477">
                  <c:v>42332</c:v>
                </c:pt>
                <c:pt idx="2478">
                  <c:v>42331</c:v>
                </c:pt>
                <c:pt idx="2479">
                  <c:v>42328</c:v>
                </c:pt>
                <c:pt idx="2480">
                  <c:v>42327</c:v>
                </c:pt>
                <c:pt idx="2481">
                  <c:v>42326</c:v>
                </c:pt>
                <c:pt idx="2482">
                  <c:v>42325</c:v>
                </c:pt>
                <c:pt idx="2483">
                  <c:v>42324</c:v>
                </c:pt>
                <c:pt idx="2484">
                  <c:v>42321</c:v>
                </c:pt>
                <c:pt idx="2485">
                  <c:v>42320</c:v>
                </c:pt>
                <c:pt idx="2486">
                  <c:v>42319</c:v>
                </c:pt>
                <c:pt idx="2487">
                  <c:v>42318</c:v>
                </c:pt>
                <c:pt idx="2488">
                  <c:v>42317</c:v>
                </c:pt>
                <c:pt idx="2489">
                  <c:v>42314</c:v>
                </c:pt>
                <c:pt idx="2490">
                  <c:v>42313</c:v>
                </c:pt>
                <c:pt idx="2491">
                  <c:v>42312</c:v>
                </c:pt>
                <c:pt idx="2492">
                  <c:v>42311</c:v>
                </c:pt>
                <c:pt idx="2493">
                  <c:v>42310</c:v>
                </c:pt>
                <c:pt idx="2494">
                  <c:v>42307</c:v>
                </c:pt>
                <c:pt idx="2495">
                  <c:v>42306</c:v>
                </c:pt>
                <c:pt idx="2496">
                  <c:v>42305</c:v>
                </c:pt>
                <c:pt idx="2497">
                  <c:v>42304</c:v>
                </c:pt>
                <c:pt idx="2498">
                  <c:v>42303</c:v>
                </c:pt>
                <c:pt idx="2499">
                  <c:v>42300</c:v>
                </c:pt>
                <c:pt idx="2500">
                  <c:v>42299</c:v>
                </c:pt>
                <c:pt idx="2501">
                  <c:v>42298</c:v>
                </c:pt>
                <c:pt idx="2502">
                  <c:v>42297</c:v>
                </c:pt>
                <c:pt idx="2503">
                  <c:v>42296</c:v>
                </c:pt>
                <c:pt idx="2504">
                  <c:v>42293</c:v>
                </c:pt>
                <c:pt idx="2505">
                  <c:v>42292</c:v>
                </c:pt>
                <c:pt idx="2506">
                  <c:v>42291</c:v>
                </c:pt>
                <c:pt idx="2507">
                  <c:v>42290</c:v>
                </c:pt>
                <c:pt idx="2508">
                  <c:v>42289</c:v>
                </c:pt>
                <c:pt idx="2509">
                  <c:v>42286</c:v>
                </c:pt>
                <c:pt idx="2510">
                  <c:v>42285</c:v>
                </c:pt>
                <c:pt idx="2511">
                  <c:v>42284</c:v>
                </c:pt>
                <c:pt idx="2512">
                  <c:v>42283</c:v>
                </c:pt>
                <c:pt idx="2513">
                  <c:v>42282</c:v>
                </c:pt>
                <c:pt idx="2514">
                  <c:v>42279</c:v>
                </c:pt>
                <c:pt idx="2515">
                  <c:v>42278</c:v>
                </c:pt>
                <c:pt idx="2516">
                  <c:v>42277</c:v>
                </c:pt>
                <c:pt idx="2517">
                  <c:v>42276</c:v>
                </c:pt>
                <c:pt idx="2518">
                  <c:v>42275</c:v>
                </c:pt>
                <c:pt idx="2519">
                  <c:v>42272</c:v>
                </c:pt>
                <c:pt idx="2520">
                  <c:v>42271</c:v>
                </c:pt>
                <c:pt idx="2521">
                  <c:v>42270</c:v>
                </c:pt>
                <c:pt idx="2522">
                  <c:v>42269</c:v>
                </c:pt>
                <c:pt idx="2523">
                  <c:v>42268</c:v>
                </c:pt>
                <c:pt idx="2524">
                  <c:v>42265</c:v>
                </c:pt>
                <c:pt idx="2525">
                  <c:v>42264</c:v>
                </c:pt>
                <c:pt idx="2526">
                  <c:v>42263</c:v>
                </c:pt>
                <c:pt idx="2527">
                  <c:v>42262</c:v>
                </c:pt>
                <c:pt idx="2528">
                  <c:v>42261</c:v>
                </c:pt>
                <c:pt idx="2529">
                  <c:v>42258</c:v>
                </c:pt>
                <c:pt idx="2530">
                  <c:v>42257</c:v>
                </c:pt>
                <c:pt idx="2531">
                  <c:v>42256</c:v>
                </c:pt>
                <c:pt idx="2532">
                  <c:v>42255</c:v>
                </c:pt>
                <c:pt idx="2533">
                  <c:v>42251</c:v>
                </c:pt>
                <c:pt idx="2534">
                  <c:v>42250</c:v>
                </c:pt>
                <c:pt idx="2535">
                  <c:v>42249</c:v>
                </c:pt>
                <c:pt idx="2536">
                  <c:v>42248</c:v>
                </c:pt>
                <c:pt idx="2537">
                  <c:v>42247</c:v>
                </c:pt>
                <c:pt idx="2538">
                  <c:v>42244</c:v>
                </c:pt>
                <c:pt idx="2539">
                  <c:v>42243</c:v>
                </c:pt>
                <c:pt idx="2540">
                  <c:v>42242</c:v>
                </c:pt>
                <c:pt idx="2541">
                  <c:v>42241</c:v>
                </c:pt>
                <c:pt idx="2542">
                  <c:v>42240</c:v>
                </c:pt>
                <c:pt idx="2543">
                  <c:v>42237</c:v>
                </c:pt>
                <c:pt idx="2544">
                  <c:v>42236</c:v>
                </c:pt>
                <c:pt idx="2545">
                  <c:v>42235</c:v>
                </c:pt>
                <c:pt idx="2546">
                  <c:v>42234</c:v>
                </c:pt>
                <c:pt idx="2547">
                  <c:v>42233</c:v>
                </c:pt>
                <c:pt idx="2548">
                  <c:v>42230</c:v>
                </c:pt>
                <c:pt idx="2549">
                  <c:v>42229</c:v>
                </c:pt>
                <c:pt idx="2550">
                  <c:v>42228</c:v>
                </c:pt>
                <c:pt idx="2551">
                  <c:v>42227</c:v>
                </c:pt>
                <c:pt idx="2552">
                  <c:v>42226</c:v>
                </c:pt>
                <c:pt idx="2553">
                  <c:v>42223</c:v>
                </c:pt>
                <c:pt idx="2554">
                  <c:v>42222</c:v>
                </c:pt>
                <c:pt idx="2555">
                  <c:v>42221</c:v>
                </c:pt>
                <c:pt idx="2556">
                  <c:v>42220</c:v>
                </c:pt>
                <c:pt idx="2557">
                  <c:v>42219</c:v>
                </c:pt>
                <c:pt idx="2558">
                  <c:v>42216</c:v>
                </c:pt>
                <c:pt idx="2559">
                  <c:v>42215</c:v>
                </c:pt>
                <c:pt idx="2560">
                  <c:v>42214</c:v>
                </c:pt>
                <c:pt idx="2561">
                  <c:v>42213</c:v>
                </c:pt>
                <c:pt idx="2562">
                  <c:v>42212</c:v>
                </c:pt>
                <c:pt idx="2563">
                  <c:v>42209</c:v>
                </c:pt>
                <c:pt idx="2564">
                  <c:v>42208</c:v>
                </c:pt>
                <c:pt idx="2565">
                  <c:v>42207</c:v>
                </c:pt>
                <c:pt idx="2566">
                  <c:v>42206</c:v>
                </c:pt>
                <c:pt idx="2567">
                  <c:v>42205</c:v>
                </c:pt>
                <c:pt idx="2568">
                  <c:v>42202</c:v>
                </c:pt>
                <c:pt idx="2569">
                  <c:v>42201</c:v>
                </c:pt>
                <c:pt idx="2570">
                  <c:v>42200</c:v>
                </c:pt>
                <c:pt idx="2571">
                  <c:v>42199</c:v>
                </c:pt>
                <c:pt idx="2572">
                  <c:v>42198</c:v>
                </c:pt>
                <c:pt idx="2573">
                  <c:v>42195</c:v>
                </c:pt>
                <c:pt idx="2574">
                  <c:v>42194</c:v>
                </c:pt>
                <c:pt idx="2575">
                  <c:v>42193</c:v>
                </c:pt>
                <c:pt idx="2576">
                  <c:v>42192</c:v>
                </c:pt>
                <c:pt idx="2577">
                  <c:v>42191</c:v>
                </c:pt>
                <c:pt idx="2578">
                  <c:v>42187</c:v>
                </c:pt>
                <c:pt idx="2579">
                  <c:v>42186</c:v>
                </c:pt>
                <c:pt idx="2580">
                  <c:v>42185</c:v>
                </c:pt>
                <c:pt idx="2581">
                  <c:v>42184</c:v>
                </c:pt>
                <c:pt idx="2582">
                  <c:v>42181</c:v>
                </c:pt>
                <c:pt idx="2583">
                  <c:v>42180</c:v>
                </c:pt>
                <c:pt idx="2584">
                  <c:v>42179</c:v>
                </c:pt>
                <c:pt idx="2585">
                  <c:v>42178</c:v>
                </c:pt>
                <c:pt idx="2586">
                  <c:v>42177</c:v>
                </c:pt>
                <c:pt idx="2587">
                  <c:v>42174</c:v>
                </c:pt>
                <c:pt idx="2588">
                  <c:v>42173</c:v>
                </c:pt>
                <c:pt idx="2589">
                  <c:v>42172</c:v>
                </c:pt>
                <c:pt idx="2590">
                  <c:v>42171</c:v>
                </c:pt>
                <c:pt idx="2591">
                  <c:v>42170</c:v>
                </c:pt>
                <c:pt idx="2592">
                  <c:v>42167</c:v>
                </c:pt>
                <c:pt idx="2593">
                  <c:v>42166</c:v>
                </c:pt>
                <c:pt idx="2594">
                  <c:v>42165</c:v>
                </c:pt>
                <c:pt idx="2595">
                  <c:v>42164</c:v>
                </c:pt>
                <c:pt idx="2596">
                  <c:v>42163</c:v>
                </c:pt>
                <c:pt idx="2597">
                  <c:v>42160</c:v>
                </c:pt>
                <c:pt idx="2598">
                  <c:v>42159</c:v>
                </c:pt>
                <c:pt idx="2599">
                  <c:v>42158</c:v>
                </c:pt>
                <c:pt idx="2600">
                  <c:v>42157</c:v>
                </c:pt>
                <c:pt idx="2601">
                  <c:v>42156</c:v>
                </c:pt>
                <c:pt idx="2602">
                  <c:v>42153</c:v>
                </c:pt>
                <c:pt idx="2603">
                  <c:v>42152</c:v>
                </c:pt>
                <c:pt idx="2604">
                  <c:v>42151</c:v>
                </c:pt>
                <c:pt idx="2605">
                  <c:v>42150</c:v>
                </c:pt>
                <c:pt idx="2606">
                  <c:v>42146</c:v>
                </c:pt>
                <c:pt idx="2607">
                  <c:v>42145</c:v>
                </c:pt>
                <c:pt idx="2608">
                  <c:v>42144</c:v>
                </c:pt>
                <c:pt idx="2609">
                  <c:v>42143</c:v>
                </c:pt>
                <c:pt idx="2610">
                  <c:v>42142</c:v>
                </c:pt>
                <c:pt idx="2611">
                  <c:v>42139</c:v>
                </c:pt>
                <c:pt idx="2612">
                  <c:v>42138</c:v>
                </c:pt>
                <c:pt idx="2613">
                  <c:v>42137</c:v>
                </c:pt>
                <c:pt idx="2614">
                  <c:v>42136</c:v>
                </c:pt>
                <c:pt idx="2615">
                  <c:v>42135</c:v>
                </c:pt>
                <c:pt idx="2616">
                  <c:v>42132</c:v>
                </c:pt>
                <c:pt idx="2617">
                  <c:v>42131</c:v>
                </c:pt>
                <c:pt idx="2618">
                  <c:v>42130</c:v>
                </c:pt>
                <c:pt idx="2619">
                  <c:v>42129</c:v>
                </c:pt>
                <c:pt idx="2620">
                  <c:v>42128</c:v>
                </c:pt>
                <c:pt idx="2621">
                  <c:v>42125</c:v>
                </c:pt>
                <c:pt idx="2622">
                  <c:v>42124</c:v>
                </c:pt>
                <c:pt idx="2623">
                  <c:v>42123</c:v>
                </c:pt>
                <c:pt idx="2624">
                  <c:v>42122</c:v>
                </c:pt>
                <c:pt idx="2625">
                  <c:v>42121</c:v>
                </c:pt>
                <c:pt idx="2626">
                  <c:v>42118</c:v>
                </c:pt>
                <c:pt idx="2627">
                  <c:v>42117</c:v>
                </c:pt>
                <c:pt idx="2628">
                  <c:v>42116</c:v>
                </c:pt>
                <c:pt idx="2629">
                  <c:v>42115</c:v>
                </c:pt>
                <c:pt idx="2630">
                  <c:v>42114</c:v>
                </c:pt>
                <c:pt idx="2631">
                  <c:v>42111</c:v>
                </c:pt>
                <c:pt idx="2632">
                  <c:v>42110</c:v>
                </c:pt>
                <c:pt idx="2633">
                  <c:v>42109</c:v>
                </c:pt>
                <c:pt idx="2634">
                  <c:v>42108</c:v>
                </c:pt>
                <c:pt idx="2635">
                  <c:v>42107</c:v>
                </c:pt>
                <c:pt idx="2636">
                  <c:v>42104</c:v>
                </c:pt>
                <c:pt idx="2637">
                  <c:v>42103</c:v>
                </c:pt>
                <c:pt idx="2638">
                  <c:v>42102</c:v>
                </c:pt>
                <c:pt idx="2639">
                  <c:v>42101</c:v>
                </c:pt>
                <c:pt idx="2640">
                  <c:v>42100</c:v>
                </c:pt>
                <c:pt idx="2641">
                  <c:v>42096</c:v>
                </c:pt>
                <c:pt idx="2642">
                  <c:v>42095</c:v>
                </c:pt>
                <c:pt idx="2643">
                  <c:v>42094</c:v>
                </c:pt>
                <c:pt idx="2644">
                  <c:v>42093</c:v>
                </c:pt>
                <c:pt idx="2645">
                  <c:v>42090</c:v>
                </c:pt>
                <c:pt idx="2646">
                  <c:v>42089</c:v>
                </c:pt>
                <c:pt idx="2647">
                  <c:v>42088</c:v>
                </c:pt>
                <c:pt idx="2648">
                  <c:v>42087</c:v>
                </c:pt>
                <c:pt idx="2649">
                  <c:v>42086</c:v>
                </c:pt>
                <c:pt idx="2650">
                  <c:v>42083</c:v>
                </c:pt>
                <c:pt idx="2651">
                  <c:v>42082</c:v>
                </c:pt>
                <c:pt idx="2652">
                  <c:v>42081</c:v>
                </c:pt>
                <c:pt idx="2653">
                  <c:v>42080</c:v>
                </c:pt>
                <c:pt idx="2654">
                  <c:v>42079</c:v>
                </c:pt>
                <c:pt idx="2655">
                  <c:v>42076</c:v>
                </c:pt>
                <c:pt idx="2656">
                  <c:v>42075</c:v>
                </c:pt>
                <c:pt idx="2657">
                  <c:v>42074</c:v>
                </c:pt>
                <c:pt idx="2658">
                  <c:v>42073</c:v>
                </c:pt>
                <c:pt idx="2659">
                  <c:v>42072</c:v>
                </c:pt>
                <c:pt idx="2660">
                  <c:v>42069</c:v>
                </c:pt>
                <c:pt idx="2661">
                  <c:v>42068</c:v>
                </c:pt>
                <c:pt idx="2662">
                  <c:v>42067</c:v>
                </c:pt>
                <c:pt idx="2663">
                  <c:v>42066</c:v>
                </c:pt>
                <c:pt idx="2664">
                  <c:v>42065</c:v>
                </c:pt>
                <c:pt idx="2665">
                  <c:v>42062</c:v>
                </c:pt>
                <c:pt idx="2666">
                  <c:v>42061</c:v>
                </c:pt>
                <c:pt idx="2667">
                  <c:v>42060</c:v>
                </c:pt>
                <c:pt idx="2668">
                  <c:v>42059</c:v>
                </c:pt>
                <c:pt idx="2669">
                  <c:v>42058</c:v>
                </c:pt>
                <c:pt idx="2670">
                  <c:v>42055</c:v>
                </c:pt>
                <c:pt idx="2671">
                  <c:v>42054</c:v>
                </c:pt>
                <c:pt idx="2672">
                  <c:v>42053</c:v>
                </c:pt>
                <c:pt idx="2673">
                  <c:v>42052</c:v>
                </c:pt>
                <c:pt idx="2674">
                  <c:v>42048</c:v>
                </c:pt>
                <c:pt idx="2675">
                  <c:v>42047</c:v>
                </c:pt>
                <c:pt idx="2676">
                  <c:v>42046</c:v>
                </c:pt>
                <c:pt idx="2677">
                  <c:v>42045</c:v>
                </c:pt>
                <c:pt idx="2678">
                  <c:v>42044</c:v>
                </c:pt>
                <c:pt idx="2679">
                  <c:v>42041</c:v>
                </c:pt>
                <c:pt idx="2680">
                  <c:v>42040</c:v>
                </c:pt>
                <c:pt idx="2681">
                  <c:v>42039</c:v>
                </c:pt>
                <c:pt idx="2682">
                  <c:v>42038</c:v>
                </c:pt>
                <c:pt idx="2683">
                  <c:v>42037</c:v>
                </c:pt>
                <c:pt idx="2684">
                  <c:v>42034</c:v>
                </c:pt>
                <c:pt idx="2685">
                  <c:v>42033</c:v>
                </c:pt>
                <c:pt idx="2686">
                  <c:v>42032</c:v>
                </c:pt>
                <c:pt idx="2687">
                  <c:v>42031</c:v>
                </c:pt>
                <c:pt idx="2688">
                  <c:v>42030</c:v>
                </c:pt>
                <c:pt idx="2689">
                  <c:v>42027</c:v>
                </c:pt>
                <c:pt idx="2690">
                  <c:v>42026</c:v>
                </c:pt>
                <c:pt idx="2691">
                  <c:v>42025</c:v>
                </c:pt>
                <c:pt idx="2692">
                  <c:v>42024</c:v>
                </c:pt>
                <c:pt idx="2693">
                  <c:v>42020</c:v>
                </c:pt>
                <c:pt idx="2694">
                  <c:v>42019</c:v>
                </c:pt>
                <c:pt idx="2695">
                  <c:v>42018</c:v>
                </c:pt>
                <c:pt idx="2696">
                  <c:v>42017</c:v>
                </c:pt>
                <c:pt idx="2697">
                  <c:v>42016</c:v>
                </c:pt>
                <c:pt idx="2698">
                  <c:v>42013</c:v>
                </c:pt>
                <c:pt idx="2699">
                  <c:v>42012</c:v>
                </c:pt>
                <c:pt idx="2700">
                  <c:v>42011</c:v>
                </c:pt>
                <c:pt idx="2701">
                  <c:v>42010</c:v>
                </c:pt>
                <c:pt idx="2702">
                  <c:v>42009</c:v>
                </c:pt>
                <c:pt idx="2703">
                  <c:v>42006</c:v>
                </c:pt>
              </c:numCache>
            </c:numRef>
          </c:cat>
          <c:val>
            <c:numRef>
              <c:f>[1]Sheet1!$B$9:$B$2712</c:f>
              <c:numCache>
                <c:formatCode>General</c:formatCode>
                <c:ptCount val="2704"/>
                <c:pt idx="0">
                  <c:v>86.72</c:v>
                </c:pt>
                <c:pt idx="1">
                  <c:v>84.4</c:v>
                </c:pt>
                <c:pt idx="2">
                  <c:v>84.6</c:v>
                </c:pt>
                <c:pt idx="3">
                  <c:v>85.64</c:v>
                </c:pt>
                <c:pt idx="4">
                  <c:v>83.39</c:v>
                </c:pt>
                <c:pt idx="5">
                  <c:v>83.83</c:v>
                </c:pt>
                <c:pt idx="6">
                  <c:v>84.27</c:v>
                </c:pt>
                <c:pt idx="7">
                  <c:v>85.69</c:v>
                </c:pt>
                <c:pt idx="8">
                  <c:v>85.29</c:v>
                </c:pt>
                <c:pt idx="9">
                  <c:v>84.56</c:v>
                </c:pt>
                <c:pt idx="10">
                  <c:v>83.42</c:v>
                </c:pt>
                <c:pt idx="11">
                  <c:v>83.22</c:v>
                </c:pt>
                <c:pt idx="12">
                  <c:v>84.37</c:v>
                </c:pt>
                <c:pt idx="13">
                  <c:v>82.68</c:v>
                </c:pt>
                <c:pt idx="14">
                  <c:v>81.900000000000006</c:v>
                </c:pt>
                <c:pt idx="15">
                  <c:v>82.36</c:v>
                </c:pt>
                <c:pt idx="16">
                  <c:v>82.88</c:v>
                </c:pt>
                <c:pt idx="17">
                  <c:v>83.81</c:v>
                </c:pt>
                <c:pt idx="18">
                  <c:v>84.17</c:v>
                </c:pt>
                <c:pt idx="19">
                  <c:v>85.43</c:v>
                </c:pt>
                <c:pt idx="20">
                  <c:v>87.01</c:v>
                </c:pt>
                <c:pt idx="21">
                  <c:v>87.25</c:v>
                </c:pt>
                <c:pt idx="22">
                  <c:v>89.78</c:v>
                </c:pt>
                <c:pt idx="23">
                  <c:v>88.19</c:v>
                </c:pt>
                <c:pt idx="24">
                  <c:v>88.02</c:v>
                </c:pt>
                <c:pt idx="25">
                  <c:v>87.66</c:v>
                </c:pt>
                <c:pt idx="26">
                  <c:v>86.63</c:v>
                </c:pt>
                <c:pt idx="27">
                  <c:v>85.81</c:v>
                </c:pt>
                <c:pt idx="28">
                  <c:v>88.38</c:v>
                </c:pt>
                <c:pt idx="29">
                  <c:v>88.56</c:v>
                </c:pt>
                <c:pt idx="30">
                  <c:v>89.51</c:v>
                </c:pt>
                <c:pt idx="31">
                  <c:v>90.93</c:v>
                </c:pt>
                <c:pt idx="32">
                  <c:v>92.54</c:v>
                </c:pt>
                <c:pt idx="33">
                  <c:v>90.6</c:v>
                </c:pt>
                <c:pt idx="34">
                  <c:v>93.06</c:v>
                </c:pt>
                <c:pt idx="35">
                  <c:v>94.18</c:v>
                </c:pt>
                <c:pt idx="36">
                  <c:v>93.37</c:v>
                </c:pt>
                <c:pt idx="37">
                  <c:v>91.74</c:v>
                </c:pt>
                <c:pt idx="38">
                  <c:v>92.12</c:v>
                </c:pt>
                <c:pt idx="39">
                  <c:v>91.02</c:v>
                </c:pt>
                <c:pt idx="40">
                  <c:v>88.99</c:v>
                </c:pt>
                <c:pt idx="41">
                  <c:v>90.2</c:v>
                </c:pt>
                <c:pt idx="42">
                  <c:v>89.78</c:v>
                </c:pt>
                <c:pt idx="43">
                  <c:v>86.86</c:v>
                </c:pt>
                <c:pt idx="44">
                  <c:v>89.16</c:v>
                </c:pt>
                <c:pt idx="45">
                  <c:v>92.76</c:v>
                </c:pt>
                <c:pt idx="46">
                  <c:v>92.96</c:v>
                </c:pt>
                <c:pt idx="47">
                  <c:v>93.67</c:v>
                </c:pt>
                <c:pt idx="48">
                  <c:v>94.42</c:v>
                </c:pt>
                <c:pt idx="49">
                  <c:v>93.7</c:v>
                </c:pt>
                <c:pt idx="50">
                  <c:v>95.92</c:v>
                </c:pt>
                <c:pt idx="51">
                  <c:v>96.94</c:v>
                </c:pt>
                <c:pt idx="52">
                  <c:v>92.66</c:v>
                </c:pt>
                <c:pt idx="53">
                  <c:v>93.8</c:v>
                </c:pt>
                <c:pt idx="54">
                  <c:v>93.19</c:v>
                </c:pt>
                <c:pt idx="55">
                  <c:v>92.51</c:v>
                </c:pt>
                <c:pt idx="56">
                  <c:v>92.48</c:v>
                </c:pt>
                <c:pt idx="57">
                  <c:v>93.42</c:v>
                </c:pt>
                <c:pt idx="58">
                  <c:v>94.94</c:v>
                </c:pt>
                <c:pt idx="59">
                  <c:v>95.15</c:v>
                </c:pt>
                <c:pt idx="60">
                  <c:v>95.25</c:v>
                </c:pt>
                <c:pt idx="61">
                  <c:v>94.94</c:v>
                </c:pt>
                <c:pt idx="62">
                  <c:v>93.64</c:v>
                </c:pt>
                <c:pt idx="63">
                  <c:v>94.44</c:v>
                </c:pt>
                <c:pt idx="64">
                  <c:v>94.18</c:v>
                </c:pt>
                <c:pt idx="65">
                  <c:v>94.92</c:v>
                </c:pt>
                <c:pt idx="66">
                  <c:v>91.63</c:v>
                </c:pt>
                <c:pt idx="67">
                  <c:v>92.11</c:v>
                </c:pt>
                <c:pt idx="68">
                  <c:v>91.84</c:v>
                </c:pt>
                <c:pt idx="69">
                  <c:v>91.1</c:v>
                </c:pt>
                <c:pt idx="70">
                  <c:v>91.5</c:v>
                </c:pt>
                <c:pt idx="71">
                  <c:v>92.34</c:v>
                </c:pt>
                <c:pt idx="72">
                  <c:v>93.12</c:v>
                </c:pt>
                <c:pt idx="73">
                  <c:v>92.28</c:v>
                </c:pt>
                <c:pt idx="74">
                  <c:v>91.59</c:v>
                </c:pt>
                <c:pt idx="75">
                  <c:v>93.48</c:v>
                </c:pt>
                <c:pt idx="76">
                  <c:v>93.26</c:v>
                </c:pt>
                <c:pt idx="77">
                  <c:v>94.32</c:v>
                </c:pt>
                <c:pt idx="78">
                  <c:v>95.39</c:v>
                </c:pt>
                <c:pt idx="79">
                  <c:v>91.43</c:v>
                </c:pt>
                <c:pt idx="80">
                  <c:v>90.67</c:v>
                </c:pt>
                <c:pt idx="81">
                  <c:v>89.64</c:v>
                </c:pt>
                <c:pt idx="82">
                  <c:v>86.99</c:v>
                </c:pt>
                <c:pt idx="83">
                  <c:v>88.11</c:v>
                </c:pt>
                <c:pt idx="84">
                  <c:v>86.6</c:v>
                </c:pt>
                <c:pt idx="85">
                  <c:v>85.19</c:v>
                </c:pt>
                <c:pt idx="86">
                  <c:v>83.95</c:v>
                </c:pt>
                <c:pt idx="87">
                  <c:v>84.05</c:v>
                </c:pt>
                <c:pt idx="88">
                  <c:v>86</c:v>
                </c:pt>
                <c:pt idx="89">
                  <c:v>87.01</c:v>
                </c:pt>
                <c:pt idx="90">
                  <c:v>84.4</c:v>
                </c:pt>
                <c:pt idx="91">
                  <c:v>83.97</c:v>
                </c:pt>
                <c:pt idx="92">
                  <c:v>82.98</c:v>
                </c:pt>
                <c:pt idx="93">
                  <c:v>85.59</c:v>
                </c:pt>
                <c:pt idx="94">
                  <c:v>84.61</c:v>
                </c:pt>
                <c:pt idx="95">
                  <c:v>85.57</c:v>
                </c:pt>
                <c:pt idx="96">
                  <c:v>87.26</c:v>
                </c:pt>
                <c:pt idx="97">
                  <c:v>86.534999999999997</c:v>
                </c:pt>
                <c:pt idx="98">
                  <c:v>86.88</c:v>
                </c:pt>
                <c:pt idx="99">
                  <c:v>85.67</c:v>
                </c:pt>
                <c:pt idx="100">
                  <c:v>80.3</c:v>
                </c:pt>
                <c:pt idx="101">
                  <c:v>82.19</c:v>
                </c:pt>
                <c:pt idx="102">
                  <c:v>82.71</c:v>
                </c:pt>
                <c:pt idx="103">
                  <c:v>82.78</c:v>
                </c:pt>
                <c:pt idx="104">
                  <c:v>81.66</c:v>
                </c:pt>
                <c:pt idx="105">
                  <c:v>84.69</c:v>
                </c:pt>
                <c:pt idx="106">
                  <c:v>82.01</c:v>
                </c:pt>
                <c:pt idx="107">
                  <c:v>80.05</c:v>
                </c:pt>
                <c:pt idx="108">
                  <c:v>84.85</c:v>
                </c:pt>
                <c:pt idx="109">
                  <c:v>83.9</c:v>
                </c:pt>
                <c:pt idx="110">
                  <c:v>83.81</c:v>
                </c:pt>
                <c:pt idx="111">
                  <c:v>83.86</c:v>
                </c:pt>
                <c:pt idx="112">
                  <c:v>82.81</c:v>
                </c:pt>
                <c:pt idx="113">
                  <c:v>81.75</c:v>
                </c:pt>
                <c:pt idx="114">
                  <c:v>80.680000000000007</c:v>
                </c:pt>
                <c:pt idx="115">
                  <c:v>81.5</c:v>
                </c:pt>
                <c:pt idx="116">
                  <c:v>80.760000000000005</c:v>
                </c:pt>
                <c:pt idx="117">
                  <c:v>83.71</c:v>
                </c:pt>
                <c:pt idx="118">
                  <c:v>85.49</c:v>
                </c:pt>
                <c:pt idx="119">
                  <c:v>85.43</c:v>
                </c:pt>
                <c:pt idx="120">
                  <c:v>84.6</c:v>
                </c:pt>
                <c:pt idx="121">
                  <c:v>88.68</c:v>
                </c:pt>
                <c:pt idx="122">
                  <c:v>79.69</c:v>
                </c:pt>
                <c:pt idx="123">
                  <c:v>80</c:v>
                </c:pt>
                <c:pt idx="124">
                  <c:v>82.1</c:v>
                </c:pt>
                <c:pt idx="125">
                  <c:v>88.26</c:v>
                </c:pt>
                <c:pt idx="126">
                  <c:v>99.41</c:v>
                </c:pt>
                <c:pt idx="127">
                  <c:v>98.23</c:v>
                </c:pt>
                <c:pt idx="128">
                  <c:v>98.09</c:v>
                </c:pt>
                <c:pt idx="129">
                  <c:v>97.73</c:v>
                </c:pt>
                <c:pt idx="130">
                  <c:v>98.85</c:v>
                </c:pt>
                <c:pt idx="131">
                  <c:v>97.97</c:v>
                </c:pt>
                <c:pt idx="132">
                  <c:v>95.88</c:v>
                </c:pt>
                <c:pt idx="133">
                  <c:v>95.72</c:v>
                </c:pt>
                <c:pt idx="134">
                  <c:v>97.07</c:v>
                </c:pt>
                <c:pt idx="135">
                  <c:v>99.28</c:v>
                </c:pt>
                <c:pt idx="136">
                  <c:v>99.19</c:v>
                </c:pt>
                <c:pt idx="137">
                  <c:v>98.28</c:v>
                </c:pt>
                <c:pt idx="138">
                  <c:v>99.08</c:v>
                </c:pt>
                <c:pt idx="139">
                  <c:v>98.11</c:v>
                </c:pt>
                <c:pt idx="140">
                  <c:v>96.04</c:v>
                </c:pt>
                <c:pt idx="141">
                  <c:v>98.69</c:v>
                </c:pt>
                <c:pt idx="142">
                  <c:v>99.58</c:v>
                </c:pt>
                <c:pt idx="143">
                  <c:v>101.125</c:v>
                </c:pt>
                <c:pt idx="144">
                  <c:v>106.48</c:v>
                </c:pt>
                <c:pt idx="145">
                  <c:v>105.47</c:v>
                </c:pt>
                <c:pt idx="146">
                  <c:v>111.69</c:v>
                </c:pt>
                <c:pt idx="147">
                  <c:v>112.06</c:v>
                </c:pt>
                <c:pt idx="148">
                  <c:v>115.41</c:v>
                </c:pt>
                <c:pt idx="149">
                  <c:v>115.81</c:v>
                </c:pt>
                <c:pt idx="150">
                  <c:v>114.49</c:v>
                </c:pt>
                <c:pt idx="151">
                  <c:v>113</c:v>
                </c:pt>
                <c:pt idx="152">
                  <c:v>114.59</c:v>
                </c:pt>
                <c:pt idx="153">
                  <c:v>113.19</c:v>
                </c:pt>
                <c:pt idx="154">
                  <c:v>111.75</c:v>
                </c:pt>
                <c:pt idx="155">
                  <c:v>113.34</c:v>
                </c:pt>
                <c:pt idx="156">
                  <c:v>112.49</c:v>
                </c:pt>
                <c:pt idx="157">
                  <c:v>113.03</c:v>
                </c:pt>
                <c:pt idx="158">
                  <c:v>112.55</c:v>
                </c:pt>
                <c:pt idx="159">
                  <c:v>113</c:v>
                </c:pt>
                <c:pt idx="160">
                  <c:v>113.04</c:v>
                </c:pt>
                <c:pt idx="161">
                  <c:v>111.03</c:v>
                </c:pt>
                <c:pt idx="162">
                  <c:v>111.45</c:v>
                </c:pt>
                <c:pt idx="163">
                  <c:v>112.2</c:v>
                </c:pt>
                <c:pt idx="164">
                  <c:v>111.7</c:v>
                </c:pt>
                <c:pt idx="165">
                  <c:v>112.25</c:v>
                </c:pt>
                <c:pt idx="166">
                  <c:v>110.6</c:v>
                </c:pt>
                <c:pt idx="167">
                  <c:v>108.16</c:v>
                </c:pt>
                <c:pt idx="168">
                  <c:v>107.68</c:v>
                </c:pt>
                <c:pt idx="169">
                  <c:v>109</c:v>
                </c:pt>
                <c:pt idx="170">
                  <c:v>108.58</c:v>
                </c:pt>
                <c:pt idx="171">
                  <c:v>100.41</c:v>
                </c:pt>
                <c:pt idx="172">
                  <c:v>100.02</c:v>
                </c:pt>
                <c:pt idx="173">
                  <c:v>98.81</c:v>
                </c:pt>
                <c:pt idx="174">
                  <c:v>97.99</c:v>
                </c:pt>
                <c:pt idx="175">
                  <c:v>97.73</c:v>
                </c:pt>
                <c:pt idx="176">
                  <c:v>97.98</c:v>
                </c:pt>
                <c:pt idx="177">
                  <c:v>95.13</c:v>
                </c:pt>
                <c:pt idx="178">
                  <c:v>94.43</c:v>
                </c:pt>
                <c:pt idx="179">
                  <c:v>93.08</c:v>
                </c:pt>
                <c:pt idx="180">
                  <c:v>93.07</c:v>
                </c:pt>
                <c:pt idx="181">
                  <c:v>93.51</c:v>
                </c:pt>
                <c:pt idx="182">
                  <c:v>92.25</c:v>
                </c:pt>
                <c:pt idx="183">
                  <c:v>92.6</c:v>
                </c:pt>
                <c:pt idx="184">
                  <c:v>92.84</c:v>
                </c:pt>
                <c:pt idx="185">
                  <c:v>93.13</c:v>
                </c:pt>
                <c:pt idx="186">
                  <c:v>92.58</c:v>
                </c:pt>
                <c:pt idx="187">
                  <c:v>92.17</c:v>
                </c:pt>
                <c:pt idx="188">
                  <c:v>91.25</c:v>
                </c:pt>
                <c:pt idx="189">
                  <c:v>90.58</c:v>
                </c:pt>
                <c:pt idx="190">
                  <c:v>92.25</c:v>
                </c:pt>
                <c:pt idx="191">
                  <c:v>91.86</c:v>
                </c:pt>
                <c:pt idx="192">
                  <c:v>89.91</c:v>
                </c:pt>
                <c:pt idx="193">
                  <c:v>87.44</c:v>
                </c:pt>
                <c:pt idx="194">
                  <c:v>87.97</c:v>
                </c:pt>
                <c:pt idx="195">
                  <c:v>88.76</c:v>
                </c:pt>
                <c:pt idx="196">
                  <c:v>89.9</c:v>
                </c:pt>
                <c:pt idx="197">
                  <c:v>92.09</c:v>
                </c:pt>
                <c:pt idx="198">
                  <c:v>93.12</c:v>
                </c:pt>
                <c:pt idx="199">
                  <c:v>97.42</c:v>
                </c:pt>
                <c:pt idx="200">
                  <c:v>97.82</c:v>
                </c:pt>
                <c:pt idx="201">
                  <c:v>98.42</c:v>
                </c:pt>
                <c:pt idx="202">
                  <c:v>98.16</c:v>
                </c:pt>
                <c:pt idx="203">
                  <c:v>99.31</c:v>
                </c:pt>
                <c:pt idx="204">
                  <c:v>100.11</c:v>
                </c:pt>
                <c:pt idx="205">
                  <c:v>99.23</c:v>
                </c:pt>
                <c:pt idx="206">
                  <c:v>100.7</c:v>
                </c:pt>
                <c:pt idx="207">
                  <c:v>101.57</c:v>
                </c:pt>
                <c:pt idx="208">
                  <c:v>101.51</c:v>
                </c:pt>
                <c:pt idx="209">
                  <c:v>102.46</c:v>
                </c:pt>
                <c:pt idx="210">
                  <c:v>101.51</c:v>
                </c:pt>
                <c:pt idx="211">
                  <c:v>100.68</c:v>
                </c:pt>
                <c:pt idx="212">
                  <c:v>101.84</c:v>
                </c:pt>
                <c:pt idx="213">
                  <c:v>102.5</c:v>
                </c:pt>
                <c:pt idx="214">
                  <c:v>100.06</c:v>
                </c:pt>
                <c:pt idx="215">
                  <c:v>98.26</c:v>
                </c:pt>
                <c:pt idx="216">
                  <c:v>98.35</c:v>
                </c:pt>
                <c:pt idx="217">
                  <c:v>100.4</c:v>
                </c:pt>
                <c:pt idx="218">
                  <c:v>98.42</c:v>
                </c:pt>
                <c:pt idx="219">
                  <c:v>99.23</c:v>
                </c:pt>
                <c:pt idx="220">
                  <c:v>99.8</c:v>
                </c:pt>
                <c:pt idx="221">
                  <c:v>98.8</c:v>
                </c:pt>
                <c:pt idx="222">
                  <c:v>100.31</c:v>
                </c:pt>
                <c:pt idx="223">
                  <c:v>97.55</c:v>
                </c:pt>
                <c:pt idx="224">
                  <c:v>96.12</c:v>
                </c:pt>
                <c:pt idx="225">
                  <c:v>96.08</c:v>
                </c:pt>
                <c:pt idx="226">
                  <c:v>97.09</c:v>
                </c:pt>
                <c:pt idx="227">
                  <c:v>97.03</c:v>
                </c:pt>
                <c:pt idx="228">
                  <c:v>98.87</c:v>
                </c:pt>
                <c:pt idx="229">
                  <c:v>97.7</c:v>
                </c:pt>
                <c:pt idx="230">
                  <c:v>97.32</c:v>
                </c:pt>
                <c:pt idx="231">
                  <c:v>97.39</c:v>
                </c:pt>
                <c:pt idx="232">
                  <c:v>98.02</c:v>
                </c:pt>
                <c:pt idx="233">
                  <c:v>97.31</c:v>
                </c:pt>
                <c:pt idx="234">
                  <c:v>97.15</c:v>
                </c:pt>
                <c:pt idx="235">
                  <c:v>97.65</c:v>
                </c:pt>
                <c:pt idx="236">
                  <c:v>96.82</c:v>
                </c:pt>
                <c:pt idx="237">
                  <c:v>96.45</c:v>
                </c:pt>
                <c:pt idx="238">
                  <c:v>96.84</c:v>
                </c:pt>
                <c:pt idx="239">
                  <c:v>95.27</c:v>
                </c:pt>
                <c:pt idx="240">
                  <c:v>95.46</c:v>
                </c:pt>
                <c:pt idx="241">
                  <c:v>95.04</c:v>
                </c:pt>
                <c:pt idx="242">
                  <c:v>94.76</c:v>
                </c:pt>
                <c:pt idx="243">
                  <c:v>95.55</c:v>
                </c:pt>
                <c:pt idx="244">
                  <c:v>93.88</c:v>
                </c:pt>
                <c:pt idx="245">
                  <c:v>95.88</c:v>
                </c:pt>
                <c:pt idx="246">
                  <c:v>96.21</c:v>
                </c:pt>
                <c:pt idx="247">
                  <c:v>96.09</c:v>
                </c:pt>
                <c:pt idx="248">
                  <c:v>96.58</c:v>
                </c:pt>
                <c:pt idx="249">
                  <c:v>95.56</c:v>
                </c:pt>
                <c:pt idx="250">
                  <c:v>96.5</c:v>
                </c:pt>
                <c:pt idx="251">
                  <c:v>97.43</c:v>
                </c:pt>
                <c:pt idx="252">
                  <c:v>97.49</c:v>
                </c:pt>
                <c:pt idx="253">
                  <c:v>97.36</c:v>
                </c:pt>
                <c:pt idx="254">
                  <c:v>97.47</c:v>
                </c:pt>
                <c:pt idx="255">
                  <c:v>95.62</c:v>
                </c:pt>
                <c:pt idx="256">
                  <c:v>94.45</c:v>
                </c:pt>
                <c:pt idx="257">
                  <c:v>95.48</c:v>
                </c:pt>
                <c:pt idx="258">
                  <c:v>96.05</c:v>
                </c:pt>
                <c:pt idx="259">
                  <c:v>96.9</c:v>
                </c:pt>
                <c:pt idx="260">
                  <c:v>96.12</c:v>
                </c:pt>
                <c:pt idx="261">
                  <c:v>96.44</c:v>
                </c:pt>
                <c:pt idx="262">
                  <c:v>96.31</c:v>
                </c:pt>
                <c:pt idx="263">
                  <c:v>98.57</c:v>
                </c:pt>
                <c:pt idx="264">
                  <c:v>99.28</c:v>
                </c:pt>
                <c:pt idx="265">
                  <c:v>98.2</c:v>
                </c:pt>
                <c:pt idx="266">
                  <c:v>93.34</c:v>
                </c:pt>
                <c:pt idx="267">
                  <c:v>92.21</c:v>
                </c:pt>
                <c:pt idx="268">
                  <c:v>91.15</c:v>
                </c:pt>
                <c:pt idx="269">
                  <c:v>91.56</c:v>
                </c:pt>
                <c:pt idx="270">
                  <c:v>92.33</c:v>
                </c:pt>
                <c:pt idx="271">
                  <c:v>93.18</c:v>
                </c:pt>
                <c:pt idx="272">
                  <c:v>94.57</c:v>
                </c:pt>
                <c:pt idx="273">
                  <c:v>94.86</c:v>
                </c:pt>
                <c:pt idx="274">
                  <c:v>95.3</c:v>
                </c:pt>
                <c:pt idx="275">
                  <c:v>98.6</c:v>
                </c:pt>
                <c:pt idx="276">
                  <c:v>95.63</c:v>
                </c:pt>
                <c:pt idx="277">
                  <c:v>94.02</c:v>
                </c:pt>
                <c:pt idx="278">
                  <c:v>92.43</c:v>
                </c:pt>
                <c:pt idx="279">
                  <c:v>92.78</c:v>
                </c:pt>
                <c:pt idx="280">
                  <c:v>93.01</c:v>
                </c:pt>
                <c:pt idx="281">
                  <c:v>92.3</c:v>
                </c:pt>
                <c:pt idx="282">
                  <c:v>94.81</c:v>
                </c:pt>
                <c:pt idx="283">
                  <c:v>94.88</c:v>
                </c:pt>
                <c:pt idx="284">
                  <c:v>93.9</c:v>
                </c:pt>
                <c:pt idx="285">
                  <c:v>95.9</c:v>
                </c:pt>
                <c:pt idx="286">
                  <c:v>77.03</c:v>
                </c:pt>
                <c:pt idx="287">
                  <c:v>75.09</c:v>
                </c:pt>
                <c:pt idx="288">
                  <c:v>75.75</c:v>
                </c:pt>
                <c:pt idx="289">
                  <c:v>75.290000000000006</c:v>
                </c:pt>
                <c:pt idx="290">
                  <c:v>75.37</c:v>
                </c:pt>
                <c:pt idx="291">
                  <c:v>73.86</c:v>
                </c:pt>
                <c:pt idx="292">
                  <c:v>75.88</c:v>
                </c:pt>
                <c:pt idx="293">
                  <c:v>75.11</c:v>
                </c:pt>
                <c:pt idx="294">
                  <c:v>77.95</c:v>
                </c:pt>
                <c:pt idx="295">
                  <c:v>75.94</c:v>
                </c:pt>
                <c:pt idx="296">
                  <c:v>75.2</c:v>
                </c:pt>
                <c:pt idx="297">
                  <c:v>74.05</c:v>
                </c:pt>
                <c:pt idx="298">
                  <c:v>73.319999999999993</c:v>
                </c:pt>
                <c:pt idx="299">
                  <c:v>74.680000000000007</c:v>
                </c:pt>
                <c:pt idx="300">
                  <c:v>76.260000000000005</c:v>
                </c:pt>
                <c:pt idx="301">
                  <c:v>76.55</c:v>
                </c:pt>
                <c:pt idx="302">
                  <c:v>79.27</c:v>
                </c:pt>
                <c:pt idx="303">
                  <c:v>74.19</c:v>
                </c:pt>
                <c:pt idx="304">
                  <c:v>75.099999999999994</c:v>
                </c:pt>
                <c:pt idx="305">
                  <c:v>75.510000000000005</c:v>
                </c:pt>
                <c:pt idx="306">
                  <c:v>72.75</c:v>
                </c:pt>
                <c:pt idx="307">
                  <c:v>74.83</c:v>
                </c:pt>
                <c:pt idx="308">
                  <c:v>73.3</c:v>
                </c:pt>
                <c:pt idx="309">
                  <c:v>72.510000000000005</c:v>
                </c:pt>
                <c:pt idx="310">
                  <c:v>72.75</c:v>
                </c:pt>
                <c:pt idx="311">
                  <c:v>74.569999999999993</c:v>
                </c:pt>
                <c:pt idx="312">
                  <c:v>76.05</c:v>
                </c:pt>
                <c:pt idx="313">
                  <c:v>76.260000000000005</c:v>
                </c:pt>
                <c:pt idx="314">
                  <c:v>76.83</c:v>
                </c:pt>
                <c:pt idx="315">
                  <c:v>77.13</c:v>
                </c:pt>
                <c:pt idx="316">
                  <c:v>77.849999999999994</c:v>
                </c:pt>
                <c:pt idx="317">
                  <c:v>79.234999999999999</c:v>
                </c:pt>
                <c:pt idx="318">
                  <c:v>79.150000000000006</c:v>
                </c:pt>
                <c:pt idx="319">
                  <c:v>79.28</c:v>
                </c:pt>
                <c:pt idx="320">
                  <c:v>79.73</c:v>
                </c:pt>
                <c:pt idx="321">
                  <c:v>79.91</c:v>
                </c:pt>
                <c:pt idx="322">
                  <c:v>79.72</c:v>
                </c:pt>
                <c:pt idx="323">
                  <c:v>80.2</c:v>
                </c:pt>
                <c:pt idx="324">
                  <c:v>81.33</c:v>
                </c:pt>
                <c:pt idx="325">
                  <c:v>79.650000000000006</c:v>
                </c:pt>
                <c:pt idx="326">
                  <c:v>80.239999999999995</c:v>
                </c:pt>
                <c:pt idx="327">
                  <c:v>79.38</c:v>
                </c:pt>
                <c:pt idx="328">
                  <c:v>79.89</c:v>
                </c:pt>
                <c:pt idx="329">
                  <c:v>81.599999999999994</c:v>
                </c:pt>
                <c:pt idx="330">
                  <c:v>81.430000000000007</c:v>
                </c:pt>
                <c:pt idx="331">
                  <c:v>81.47</c:v>
                </c:pt>
                <c:pt idx="332">
                  <c:v>81.16</c:v>
                </c:pt>
                <c:pt idx="333">
                  <c:v>82.79</c:v>
                </c:pt>
                <c:pt idx="334">
                  <c:v>82.08</c:v>
                </c:pt>
                <c:pt idx="335">
                  <c:v>80.22</c:v>
                </c:pt>
                <c:pt idx="336">
                  <c:v>78.760000000000005</c:v>
                </c:pt>
                <c:pt idx="337">
                  <c:v>76.88</c:v>
                </c:pt>
                <c:pt idx="338">
                  <c:v>77.48</c:v>
                </c:pt>
                <c:pt idx="339">
                  <c:v>78.87</c:v>
                </c:pt>
                <c:pt idx="340">
                  <c:v>78.305000000000007</c:v>
                </c:pt>
                <c:pt idx="341">
                  <c:v>80.72</c:v>
                </c:pt>
                <c:pt idx="342">
                  <c:v>77.72</c:v>
                </c:pt>
                <c:pt idx="343">
                  <c:v>77.540000000000006</c:v>
                </c:pt>
                <c:pt idx="344">
                  <c:v>77.849999999999994</c:v>
                </c:pt>
                <c:pt idx="345">
                  <c:v>75.28</c:v>
                </c:pt>
                <c:pt idx="346">
                  <c:v>75.7</c:v>
                </c:pt>
                <c:pt idx="347">
                  <c:v>75.63</c:v>
                </c:pt>
                <c:pt idx="348">
                  <c:v>76.180000000000007</c:v>
                </c:pt>
                <c:pt idx="349">
                  <c:v>76.11</c:v>
                </c:pt>
                <c:pt idx="350">
                  <c:v>75.680000000000007</c:v>
                </c:pt>
                <c:pt idx="351">
                  <c:v>73.5</c:v>
                </c:pt>
                <c:pt idx="352">
                  <c:v>72.5</c:v>
                </c:pt>
                <c:pt idx="353">
                  <c:v>72.900000000000006</c:v>
                </c:pt>
                <c:pt idx="354">
                  <c:v>73.11</c:v>
                </c:pt>
                <c:pt idx="355">
                  <c:v>74.930000000000007</c:v>
                </c:pt>
                <c:pt idx="356">
                  <c:v>74.44</c:v>
                </c:pt>
                <c:pt idx="357">
                  <c:v>88.49</c:v>
                </c:pt>
                <c:pt idx="358">
                  <c:v>88.33</c:v>
                </c:pt>
                <c:pt idx="359">
                  <c:v>88.25</c:v>
                </c:pt>
                <c:pt idx="360">
                  <c:v>87.84</c:v>
                </c:pt>
                <c:pt idx="361">
                  <c:v>88.75</c:v>
                </c:pt>
                <c:pt idx="362">
                  <c:v>87.87</c:v>
                </c:pt>
                <c:pt idx="363">
                  <c:v>88.18</c:v>
                </c:pt>
                <c:pt idx="364">
                  <c:v>87.61</c:v>
                </c:pt>
                <c:pt idx="365">
                  <c:v>87.15</c:v>
                </c:pt>
                <c:pt idx="366">
                  <c:v>86.21</c:v>
                </c:pt>
                <c:pt idx="367">
                  <c:v>85.42</c:v>
                </c:pt>
                <c:pt idx="368">
                  <c:v>85.17</c:v>
                </c:pt>
                <c:pt idx="369">
                  <c:v>84.92</c:v>
                </c:pt>
                <c:pt idx="370">
                  <c:v>85.9</c:v>
                </c:pt>
                <c:pt idx="371">
                  <c:v>85.95</c:v>
                </c:pt>
                <c:pt idx="372">
                  <c:v>87.13</c:v>
                </c:pt>
                <c:pt idx="373">
                  <c:v>87.19</c:v>
                </c:pt>
                <c:pt idx="374">
                  <c:v>86.85</c:v>
                </c:pt>
                <c:pt idx="375">
                  <c:v>87.62</c:v>
                </c:pt>
                <c:pt idx="376">
                  <c:v>88.7</c:v>
                </c:pt>
                <c:pt idx="377">
                  <c:v>89.3</c:v>
                </c:pt>
                <c:pt idx="378">
                  <c:v>91.53</c:v>
                </c:pt>
                <c:pt idx="379">
                  <c:v>91.39</c:v>
                </c:pt>
                <c:pt idx="380">
                  <c:v>91.5</c:v>
                </c:pt>
                <c:pt idx="381">
                  <c:v>90.36</c:v>
                </c:pt>
                <c:pt idx="382">
                  <c:v>90.67</c:v>
                </c:pt>
                <c:pt idx="383">
                  <c:v>90.71</c:v>
                </c:pt>
                <c:pt idx="384">
                  <c:v>91.66</c:v>
                </c:pt>
                <c:pt idx="385">
                  <c:v>92.6</c:v>
                </c:pt>
                <c:pt idx="386">
                  <c:v>91.59</c:v>
                </c:pt>
                <c:pt idx="387">
                  <c:v>91.01</c:v>
                </c:pt>
                <c:pt idx="388">
                  <c:v>90.12</c:v>
                </c:pt>
                <c:pt idx="389">
                  <c:v>91.66</c:v>
                </c:pt>
                <c:pt idx="390">
                  <c:v>91.61</c:v>
                </c:pt>
                <c:pt idx="391">
                  <c:v>92.4</c:v>
                </c:pt>
                <c:pt idx="392">
                  <c:v>92.07</c:v>
                </c:pt>
                <c:pt idx="393">
                  <c:v>91.06</c:v>
                </c:pt>
                <c:pt idx="394">
                  <c:v>90.95</c:v>
                </c:pt>
                <c:pt idx="395">
                  <c:v>91.65</c:v>
                </c:pt>
                <c:pt idx="396">
                  <c:v>91.22</c:v>
                </c:pt>
                <c:pt idx="397">
                  <c:v>92.46</c:v>
                </c:pt>
                <c:pt idx="398">
                  <c:v>93.16</c:v>
                </c:pt>
                <c:pt idx="399">
                  <c:v>94.9</c:v>
                </c:pt>
                <c:pt idx="400">
                  <c:v>93</c:v>
                </c:pt>
                <c:pt idx="401">
                  <c:v>94.13</c:v>
                </c:pt>
                <c:pt idx="402">
                  <c:v>94.28</c:v>
                </c:pt>
                <c:pt idx="403">
                  <c:v>95.62</c:v>
                </c:pt>
                <c:pt idx="404">
                  <c:v>95.78</c:v>
                </c:pt>
                <c:pt idx="405">
                  <c:v>95.02</c:v>
                </c:pt>
                <c:pt idx="406">
                  <c:v>93.46</c:v>
                </c:pt>
                <c:pt idx="407">
                  <c:v>93.22</c:v>
                </c:pt>
                <c:pt idx="408">
                  <c:v>93.22</c:v>
                </c:pt>
                <c:pt idx="409">
                  <c:v>94.07</c:v>
                </c:pt>
                <c:pt idx="410">
                  <c:v>93.87</c:v>
                </c:pt>
                <c:pt idx="411">
                  <c:v>95.47</c:v>
                </c:pt>
                <c:pt idx="412">
                  <c:v>97.3</c:v>
                </c:pt>
                <c:pt idx="413">
                  <c:v>96.59</c:v>
                </c:pt>
                <c:pt idx="414">
                  <c:v>95.31</c:v>
                </c:pt>
                <c:pt idx="415">
                  <c:v>95.67</c:v>
                </c:pt>
                <c:pt idx="416">
                  <c:v>92.51</c:v>
                </c:pt>
                <c:pt idx="417">
                  <c:v>92.99</c:v>
                </c:pt>
                <c:pt idx="418">
                  <c:v>93.37</c:v>
                </c:pt>
                <c:pt idx="419">
                  <c:v>93.03</c:v>
                </c:pt>
                <c:pt idx="420">
                  <c:v>94.08</c:v>
                </c:pt>
                <c:pt idx="421">
                  <c:v>93.8</c:v>
                </c:pt>
                <c:pt idx="422">
                  <c:v>92.8</c:v>
                </c:pt>
                <c:pt idx="423">
                  <c:v>92.61</c:v>
                </c:pt>
                <c:pt idx="424">
                  <c:v>92.04</c:v>
                </c:pt>
                <c:pt idx="425">
                  <c:v>91.97</c:v>
                </c:pt>
                <c:pt idx="426">
                  <c:v>93.07</c:v>
                </c:pt>
                <c:pt idx="427">
                  <c:v>93.86</c:v>
                </c:pt>
                <c:pt idx="428">
                  <c:v>93.34</c:v>
                </c:pt>
                <c:pt idx="429">
                  <c:v>91.77</c:v>
                </c:pt>
                <c:pt idx="430">
                  <c:v>92.7</c:v>
                </c:pt>
                <c:pt idx="431">
                  <c:v>91.98</c:v>
                </c:pt>
                <c:pt idx="432">
                  <c:v>92.94</c:v>
                </c:pt>
                <c:pt idx="433">
                  <c:v>93.5</c:v>
                </c:pt>
                <c:pt idx="434">
                  <c:v>93.09</c:v>
                </c:pt>
                <c:pt idx="435">
                  <c:v>94.19</c:v>
                </c:pt>
                <c:pt idx="436">
                  <c:v>92.99</c:v>
                </c:pt>
                <c:pt idx="437">
                  <c:v>93.55</c:v>
                </c:pt>
                <c:pt idx="438">
                  <c:v>93.23</c:v>
                </c:pt>
                <c:pt idx="439">
                  <c:v>93.67</c:v>
                </c:pt>
                <c:pt idx="440">
                  <c:v>96.01</c:v>
                </c:pt>
                <c:pt idx="441">
                  <c:v>95.93</c:v>
                </c:pt>
                <c:pt idx="442">
                  <c:v>95.29</c:v>
                </c:pt>
                <c:pt idx="443">
                  <c:v>95.67</c:v>
                </c:pt>
                <c:pt idx="444">
                  <c:v>95.28</c:v>
                </c:pt>
                <c:pt idx="445">
                  <c:v>95.33</c:v>
                </c:pt>
                <c:pt idx="446">
                  <c:v>94.71</c:v>
                </c:pt>
                <c:pt idx="447">
                  <c:v>97.72</c:v>
                </c:pt>
                <c:pt idx="448">
                  <c:v>96.56</c:v>
                </c:pt>
                <c:pt idx="449">
                  <c:v>96.75</c:v>
                </c:pt>
                <c:pt idx="450">
                  <c:v>97.84</c:v>
                </c:pt>
                <c:pt idx="451">
                  <c:v>98.11</c:v>
                </c:pt>
                <c:pt idx="452">
                  <c:v>98.15</c:v>
                </c:pt>
                <c:pt idx="453">
                  <c:v>98.12</c:v>
                </c:pt>
                <c:pt idx="454">
                  <c:v>96.61</c:v>
                </c:pt>
                <c:pt idx="455">
                  <c:v>96.44</c:v>
                </c:pt>
                <c:pt idx="456">
                  <c:v>97.02</c:v>
                </c:pt>
                <c:pt idx="457">
                  <c:v>95.54</c:v>
                </c:pt>
                <c:pt idx="458">
                  <c:v>97.6</c:v>
                </c:pt>
                <c:pt idx="459">
                  <c:v>99.2</c:v>
                </c:pt>
                <c:pt idx="460">
                  <c:v>99.3</c:v>
                </c:pt>
                <c:pt idx="461">
                  <c:v>99.85</c:v>
                </c:pt>
                <c:pt idx="462">
                  <c:v>101.18</c:v>
                </c:pt>
                <c:pt idx="463">
                  <c:v>102.36</c:v>
                </c:pt>
                <c:pt idx="464">
                  <c:v>102.78</c:v>
                </c:pt>
                <c:pt idx="465">
                  <c:v>103.44</c:v>
                </c:pt>
                <c:pt idx="466">
                  <c:v>103.69</c:v>
                </c:pt>
                <c:pt idx="467">
                  <c:v>104.3</c:v>
                </c:pt>
                <c:pt idx="468">
                  <c:v>105.57</c:v>
                </c:pt>
                <c:pt idx="469">
                  <c:v>107.21</c:v>
                </c:pt>
                <c:pt idx="470">
                  <c:v>106.03</c:v>
                </c:pt>
                <c:pt idx="471">
                  <c:v>105.6</c:v>
                </c:pt>
                <c:pt idx="472">
                  <c:v>103.51</c:v>
                </c:pt>
                <c:pt idx="473">
                  <c:v>104.33</c:v>
                </c:pt>
                <c:pt idx="474">
                  <c:v>102.23</c:v>
                </c:pt>
                <c:pt idx="475">
                  <c:v>104.3</c:v>
                </c:pt>
                <c:pt idx="476">
                  <c:v>103.68</c:v>
                </c:pt>
                <c:pt idx="477">
                  <c:v>104.03</c:v>
                </c:pt>
                <c:pt idx="478">
                  <c:v>102.65</c:v>
                </c:pt>
                <c:pt idx="479">
                  <c:v>100.01</c:v>
                </c:pt>
                <c:pt idx="480">
                  <c:v>91.35</c:v>
                </c:pt>
                <c:pt idx="481">
                  <c:v>92.24</c:v>
                </c:pt>
                <c:pt idx="482">
                  <c:v>93.15</c:v>
                </c:pt>
                <c:pt idx="483">
                  <c:v>92.02</c:v>
                </c:pt>
                <c:pt idx="484">
                  <c:v>92.67</c:v>
                </c:pt>
                <c:pt idx="485">
                  <c:v>94</c:v>
                </c:pt>
                <c:pt idx="486">
                  <c:v>94.62</c:v>
                </c:pt>
                <c:pt idx="487">
                  <c:v>94.2</c:v>
                </c:pt>
                <c:pt idx="488">
                  <c:v>94.19</c:v>
                </c:pt>
                <c:pt idx="489">
                  <c:v>94.42</c:v>
                </c:pt>
                <c:pt idx="490">
                  <c:v>93.75</c:v>
                </c:pt>
                <c:pt idx="491">
                  <c:v>94.18</c:v>
                </c:pt>
                <c:pt idx="492">
                  <c:v>93.65</c:v>
                </c:pt>
                <c:pt idx="493">
                  <c:v>91.48</c:v>
                </c:pt>
                <c:pt idx="494">
                  <c:v>91.42</c:v>
                </c:pt>
                <c:pt idx="495">
                  <c:v>91.95</c:v>
                </c:pt>
                <c:pt idx="496">
                  <c:v>93.18</c:v>
                </c:pt>
                <c:pt idx="497">
                  <c:v>92.68</c:v>
                </c:pt>
                <c:pt idx="498">
                  <c:v>92.85</c:v>
                </c:pt>
                <c:pt idx="499">
                  <c:v>92.37</c:v>
                </c:pt>
                <c:pt idx="500">
                  <c:v>91.15</c:v>
                </c:pt>
                <c:pt idx="501">
                  <c:v>89.48</c:v>
                </c:pt>
                <c:pt idx="502">
                  <c:v>91.13</c:v>
                </c:pt>
                <c:pt idx="503">
                  <c:v>91.27</c:v>
                </c:pt>
                <c:pt idx="504">
                  <c:v>91.08</c:v>
                </c:pt>
                <c:pt idx="505">
                  <c:v>91.17</c:v>
                </c:pt>
                <c:pt idx="506">
                  <c:v>92</c:v>
                </c:pt>
                <c:pt idx="507">
                  <c:v>92.74</c:v>
                </c:pt>
                <c:pt idx="508">
                  <c:v>93.68</c:v>
                </c:pt>
                <c:pt idx="509">
                  <c:v>93.1</c:v>
                </c:pt>
                <c:pt idx="510">
                  <c:v>95.16</c:v>
                </c:pt>
                <c:pt idx="511">
                  <c:v>95.29</c:v>
                </c:pt>
                <c:pt idx="512">
                  <c:v>96.76</c:v>
                </c:pt>
                <c:pt idx="513">
                  <c:v>96.23</c:v>
                </c:pt>
                <c:pt idx="514">
                  <c:v>97.16</c:v>
                </c:pt>
                <c:pt idx="515">
                  <c:v>96.93</c:v>
                </c:pt>
                <c:pt idx="516">
                  <c:v>96.24</c:v>
                </c:pt>
                <c:pt idx="517">
                  <c:v>95.67</c:v>
                </c:pt>
                <c:pt idx="518">
                  <c:v>95.28</c:v>
                </c:pt>
                <c:pt idx="519">
                  <c:v>95.1</c:v>
                </c:pt>
                <c:pt idx="520">
                  <c:v>95.95</c:v>
                </c:pt>
                <c:pt idx="521">
                  <c:v>96.84</c:v>
                </c:pt>
                <c:pt idx="522">
                  <c:v>98</c:v>
                </c:pt>
                <c:pt idx="523">
                  <c:v>97.44</c:v>
                </c:pt>
                <c:pt idx="524">
                  <c:v>99.24</c:v>
                </c:pt>
                <c:pt idx="525">
                  <c:v>99.15</c:v>
                </c:pt>
                <c:pt idx="526">
                  <c:v>97.04</c:v>
                </c:pt>
                <c:pt idx="527">
                  <c:v>95.48</c:v>
                </c:pt>
                <c:pt idx="528">
                  <c:v>94.83</c:v>
                </c:pt>
                <c:pt idx="529">
                  <c:v>95.18</c:v>
                </c:pt>
                <c:pt idx="530">
                  <c:v>96.07</c:v>
                </c:pt>
                <c:pt idx="531">
                  <c:v>96.46</c:v>
                </c:pt>
                <c:pt idx="532">
                  <c:v>97.23</c:v>
                </c:pt>
                <c:pt idx="533">
                  <c:v>96.57</c:v>
                </c:pt>
                <c:pt idx="534">
                  <c:v>98.98</c:v>
                </c:pt>
                <c:pt idx="535">
                  <c:v>100.04</c:v>
                </c:pt>
                <c:pt idx="536">
                  <c:v>101.01</c:v>
                </c:pt>
                <c:pt idx="537">
                  <c:v>100.99</c:v>
                </c:pt>
                <c:pt idx="538">
                  <c:v>101.66</c:v>
                </c:pt>
                <c:pt idx="539">
                  <c:v>99.92</c:v>
                </c:pt>
                <c:pt idx="540">
                  <c:v>100.69499999999999</c:v>
                </c:pt>
                <c:pt idx="541">
                  <c:v>101.74</c:v>
                </c:pt>
                <c:pt idx="542">
                  <c:v>100.68</c:v>
                </c:pt>
                <c:pt idx="543">
                  <c:v>102.33</c:v>
                </c:pt>
                <c:pt idx="544">
                  <c:v>102.13</c:v>
                </c:pt>
                <c:pt idx="545">
                  <c:v>101.26</c:v>
                </c:pt>
                <c:pt idx="546">
                  <c:v>101.57</c:v>
                </c:pt>
                <c:pt idx="547">
                  <c:v>101.25</c:v>
                </c:pt>
                <c:pt idx="548">
                  <c:v>100.78</c:v>
                </c:pt>
                <c:pt idx="549">
                  <c:v>101.73</c:v>
                </c:pt>
                <c:pt idx="550">
                  <c:v>102.92</c:v>
                </c:pt>
                <c:pt idx="551">
                  <c:v>102.78</c:v>
                </c:pt>
                <c:pt idx="552">
                  <c:v>102.82</c:v>
                </c:pt>
                <c:pt idx="553">
                  <c:v>100.88</c:v>
                </c:pt>
                <c:pt idx="554">
                  <c:v>101.83</c:v>
                </c:pt>
                <c:pt idx="555">
                  <c:v>100.76</c:v>
                </c:pt>
                <c:pt idx="556">
                  <c:v>100.93</c:v>
                </c:pt>
                <c:pt idx="557">
                  <c:v>101.61</c:v>
                </c:pt>
                <c:pt idx="558">
                  <c:v>101.6</c:v>
                </c:pt>
                <c:pt idx="559">
                  <c:v>101.14</c:v>
                </c:pt>
                <c:pt idx="560">
                  <c:v>100.09</c:v>
                </c:pt>
                <c:pt idx="561">
                  <c:v>99.13</c:v>
                </c:pt>
                <c:pt idx="562">
                  <c:v>96.05</c:v>
                </c:pt>
                <c:pt idx="563">
                  <c:v>96.2</c:v>
                </c:pt>
                <c:pt idx="564">
                  <c:v>98.46</c:v>
                </c:pt>
                <c:pt idx="565">
                  <c:v>99.15</c:v>
                </c:pt>
                <c:pt idx="566">
                  <c:v>99.06</c:v>
                </c:pt>
                <c:pt idx="567">
                  <c:v>98.68</c:v>
                </c:pt>
                <c:pt idx="568">
                  <c:v>98.61</c:v>
                </c:pt>
                <c:pt idx="569">
                  <c:v>98.72</c:v>
                </c:pt>
                <c:pt idx="570">
                  <c:v>98.23</c:v>
                </c:pt>
                <c:pt idx="571">
                  <c:v>98.34</c:v>
                </c:pt>
                <c:pt idx="572">
                  <c:v>100.85</c:v>
                </c:pt>
                <c:pt idx="573">
                  <c:v>101.87</c:v>
                </c:pt>
                <c:pt idx="574">
                  <c:v>101.27</c:v>
                </c:pt>
                <c:pt idx="575">
                  <c:v>101.87</c:v>
                </c:pt>
                <c:pt idx="576">
                  <c:v>101.38</c:v>
                </c:pt>
                <c:pt idx="577">
                  <c:v>100.66</c:v>
                </c:pt>
                <c:pt idx="578">
                  <c:v>99.26</c:v>
                </c:pt>
                <c:pt idx="579">
                  <c:v>98.46</c:v>
                </c:pt>
                <c:pt idx="580">
                  <c:v>97.96</c:v>
                </c:pt>
                <c:pt idx="581">
                  <c:v>99.15</c:v>
                </c:pt>
                <c:pt idx="582">
                  <c:v>97.92</c:v>
                </c:pt>
                <c:pt idx="583">
                  <c:v>98.22</c:v>
                </c:pt>
                <c:pt idx="584">
                  <c:v>99.93</c:v>
                </c:pt>
                <c:pt idx="585">
                  <c:v>99.5</c:v>
                </c:pt>
                <c:pt idx="586">
                  <c:v>97.52</c:v>
                </c:pt>
                <c:pt idx="587">
                  <c:v>97.64</c:v>
                </c:pt>
                <c:pt idx="588">
                  <c:v>97.75</c:v>
                </c:pt>
                <c:pt idx="589">
                  <c:v>98.53</c:v>
                </c:pt>
                <c:pt idx="590">
                  <c:v>98.44</c:v>
                </c:pt>
                <c:pt idx="591">
                  <c:v>99.61</c:v>
                </c:pt>
                <c:pt idx="592">
                  <c:v>100.34</c:v>
                </c:pt>
                <c:pt idx="593">
                  <c:v>102.9</c:v>
                </c:pt>
                <c:pt idx="594">
                  <c:v>105.51</c:v>
                </c:pt>
                <c:pt idx="595">
                  <c:v>107.09</c:v>
                </c:pt>
                <c:pt idx="596">
                  <c:v>105.69</c:v>
                </c:pt>
                <c:pt idx="597">
                  <c:v>105.28</c:v>
                </c:pt>
                <c:pt idx="598">
                  <c:v>106.64</c:v>
                </c:pt>
                <c:pt idx="599">
                  <c:v>106.12</c:v>
                </c:pt>
                <c:pt idx="600">
                  <c:v>105.63</c:v>
                </c:pt>
                <c:pt idx="601">
                  <c:v>106.97</c:v>
                </c:pt>
                <c:pt idx="602">
                  <c:v>106.71</c:v>
                </c:pt>
                <c:pt idx="603">
                  <c:v>107.17</c:v>
                </c:pt>
                <c:pt idx="604">
                  <c:v>107.21</c:v>
                </c:pt>
                <c:pt idx="605">
                  <c:v>104.72</c:v>
                </c:pt>
                <c:pt idx="606">
                  <c:v>103.96</c:v>
                </c:pt>
                <c:pt idx="607">
                  <c:v>114.46</c:v>
                </c:pt>
                <c:pt idx="608">
                  <c:v>114.56</c:v>
                </c:pt>
                <c:pt idx="609">
                  <c:v>114.29</c:v>
                </c:pt>
                <c:pt idx="610">
                  <c:v>112.75</c:v>
                </c:pt>
                <c:pt idx="611">
                  <c:v>111.47</c:v>
                </c:pt>
                <c:pt idx="612">
                  <c:v>109.34</c:v>
                </c:pt>
                <c:pt idx="613">
                  <c:v>109.29</c:v>
                </c:pt>
                <c:pt idx="614">
                  <c:v>108.19</c:v>
                </c:pt>
                <c:pt idx="615">
                  <c:v>107.05</c:v>
                </c:pt>
                <c:pt idx="616">
                  <c:v>107.16</c:v>
                </c:pt>
                <c:pt idx="617">
                  <c:v>107.91</c:v>
                </c:pt>
                <c:pt idx="618">
                  <c:v>108.31</c:v>
                </c:pt>
                <c:pt idx="619">
                  <c:v>107.47</c:v>
                </c:pt>
                <c:pt idx="620">
                  <c:v>106.99</c:v>
                </c:pt>
                <c:pt idx="621">
                  <c:v>105.6</c:v>
                </c:pt>
                <c:pt idx="622">
                  <c:v>105.74</c:v>
                </c:pt>
                <c:pt idx="623">
                  <c:v>104.74</c:v>
                </c:pt>
                <c:pt idx="624">
                  <c:v>104.68</c:v>
                </c:pt>
                <c:pt idx="625">
                  <c:v>104.9</c:v>
                </c:pt>
                <c:pt idx="626">
                  <c:v>104</c:v>
                </c:pt>
                <c:pt idx="627">
                  <c:v>104.85</c:v>
                </c:pt>
                <c:pt idx="628">
                  <c:v>104.13</c:v>
                </c:pt>
                <c:pt idx="629">
                  <c:v>101.32</c:v>
                </c:pt>
                <c:pt idx="630">
                  <c:v>100.62</c:v>
                </c:pt>
                <c:pt idx="631">
                  <c:v>98.72</c:v>
                </c:pt>
                <c:pt idx="632">
                  <c:v>98.66</c:v>
                </c:pt>
                <c:pt idx="633">
                  <c:v>98.34</c:v>
                </c:pt>
                <c:pt idx="634">
                  <c:v>98.42</c:v>
                </c:pt>
                <c:pt idx="635">
                  <c:v>99.12</c:v>
                </c:pt>
                <c:pt idx="636">
                  <c:v>100.54</c:v>
                </c:pt>
                <c:pt idx="637">
                  <c:v>99.85</c:v>
                </c:pt>
                <c:pt idx="638">
                  <c:v>98.7</c:v>
                </c:pt>
                <c:pt idx="639">
                  <c:v>100.43</c:v>
                </c:pt>
                <c:pt idx="640">
                  <c:v>99.34</c:v>
                </c:pt>
                <c:pt idx="641">
                  <c:v>99.46</c:v>
                </c:pt>
                <c:pt idx="642">
                  <c:v>99.08</c:v>
                </c:pt>
                <c:pt idx="643">
                  <c:v>99.38</c:v>
                </c:pt>
                <c:pt idx="644">
                  <c:v>100.3</c:v>
                </c:pt>
                <c:pt idx="645">
                  <c:v>102.5</c:v>
                </c:pt>
                <c:pt idx="646">
                  <c:v>103.34</c:v>
                </c:pt>
                <c:pt idx="647">
                  <c:v>104.99</c:v>
                </c:pt>
                <c:pt idx="648">
                  <c:v>104.55</c:v>
                </c:pt>
                <c:pt idx="649">
                  <c:v>103.01</c:v>
                </c:pt>
                <c:pt idx="650">
                  <c:v>101.43</c:v>
                </c:pt>
                <c:pt idx="651">
                  <c:v>102.09</c:v>
                </c:pt>
                <c:pt idx="652">
                  <c:v>102.44</c:v>
                </c:pt>
                <c:pt idx="653">
                  <c:v>101.6</c:v>
                </c:pt>
                <c:pt idx="654">
                  <c:v>103.51</c:v>
                </c:pt>
                <c:pt idx="655">
                  <c:v>104.77</c:v>
                </c:pt>
                <c:pt idx="656">
                  <c:v>104.78</c:v>
                </c:pt>
                <c:pt idx="657">
                  <c:v>107.1</c:v>
                </c:pt>
                <c:pt idx="658">
                  <c:v>107.54</c:v>
                </c:pt>
                <c:pt idx="659">
                  <c:v>109</c:v>
                </c:pt>
                <c:pt idx="660">
                  <c:v>107.98</c:v>
                </c:pt>
                <c:pt idx="661">
                  <c:v>108.52</c:v>
                </c:pt>
                <c:pt idx="662">
                  <c:v>107.09</c:v>
                </c:pt>
                <c:pt idx="663">
                  <c:v>106.05</c:v>
                </c:pt>
                <c:pt idx="664">
                  <c:v>106.3</c:v>
                </c:pt>
                <c:pt idx="665">
                  <c:v>106.825</c:v>
                </c:pt>
                <c:pt idx="666">
                  <c:v>105.02</c:v>
                </c:pt>
                <c:pt idx="667">
                  <c:v>104.3</c:v>
                </c:pt>
                <c:pt idx="668">
                  <c:v>109.15</c:v>
                </c:pt>
                <c:pt idx="669">
                  <c:v>109.99</c:v>
                </c:pt>
                <c:pt idx="670">
                  <c:v>109.14</c:v>
                </c:pt>
                <c:pt idx="671">
                  <c:v>108.4</c:v>
                </c:pt>
                <c:pt idx="672">
                  <c:v>109.02</c:v>
                </c:pt>
                <c:pt idx="673">
                  <c:v>108.76</c:v>
                </c:pt>
                <c:pt idx="674">
                  <c:v>106.98</c:v>
                </c:pt>
                <c:pt idx="675">
                  <c:v>106.64</c:v>
                </c:pt>
                <c:pt idx="676">
                  <c:v>106.21</c:v>
                </c:pt>
                <c:pt idx="677">
                  <c:v>105.04</c:v>
                </c:pt>
                <c:pt idx="678">
                  <c:v>104.26</c:v>
                </c:pt>
                <c:pt idx="679">
                  <c:v>105</c:v>
                </c:pt>
                <c:pt idx="680">
                  <c:v>106.75</c:v>
                </c:pt>
                <c:pt idx="681">
                  <c:v>107.23</c:v>
                </c:pt>
                <c:pt idx="682">
                  <c:v>105.85</c:v>
                </c:pt>
                <c:pt idx="683">
                  <c:v>106.3</c:v>
                </c:pt>
                <c:pt idx="684">
                  <c:v>106</c:v>
                </c:pt>
                <c:pt idx="685">
                  <c:v>104.74</c:v>
                </c:pt>
                <c:pt idx="686">
                  <c:v>106.69</c:v>
                </c:pt>
                <c:pt idx="687">
                  <c:v>104.43</c:v>
                </c:pt>
                <c:pt idx="688">
                  <c:v>104.46</c:v>
                </c:pt>
                <c:pt idx="689">
                  <c:v>100.83</c:v>
                </c:pt>
                <c:pt idx="690">
                  <c:v>99.2</c:v>
                </c:pt>
                <c:pt idx="691">
                  <c:v>99.77</c:v>
                </c:pt>
                <c:pt idx="692">
                  <c:v>98.6</c:v>
                </c:pt>
                <c:pt idx="693">
                  <c:v>99.2</c:v>
                </c:pt>
                <c:pt idx="694">
                  <c:v>98.27</c:v>
                </c:pt>
                <c:pt idx="695">
                  <c:v>97.76</c:v>
                </c:pt>
                <c:pt idx="696">
                  <c:v>98.67</c:v>
                </c:pt>
                <c:pt idx="697">
                  <c:v>98</c:v>
                </c:pt>
                <c:pt idx="698">
                  <c:v>98.3</c:v>
                </c:pt>
                <c:pt idx="699">
                  <c:v>98.83</c:v>
                </c:pt>
                <c:pt idx="700">
                  <c:v>99.99</c:v>
                </c:pt>
                <c:pt idx="701">
                  <c:v>102.19</c:v>
                </c:pt>
                <c:pt idx="702">
                  <c:v>102.11</c:v>
                </c:pt>
                <c:pt idx="703">
                  <c:v>102.7</c:v>
                </c:pt>
                <c:pt idx="704">
                  <c:v>101.79</c:v>
                </c:pt>
                <c:pt idx="705">
                  <c:v>103.74</c:v>
                </c:pt>
                <c:pt idx="706">
                  <c:v>101.87</c:v>
                </c:pt>
                <c:pt idx="707">
                  <c:v>102.08</c:v>
                </c:pt>
                <c:pt idx="708">
                  <c:v>103.55</c:v>
                </c:pt>
                <c:pt idx="709">
                  <c:v>105.05</c:v>
                </c:pt>
                <c:pt idx="710">
                  <c:v>103.37</c:v>
                </c:pt>
                <c:pt idx="711">
                  <c:v>102.2</c:v>
                </c:pt>
                <c:pt idx="712">
                  <c:v>98.66</c:v>
                </c:pt>
                <c:pt idx="713">
                  <c:v>98.66</c:v>
                </c:pt>
                <c:pt idx="714">
                  <c:v>99.56</c:v>
                </c:pt>
                <c:pt idx="715">
                  <c:v>99.52</c:v>
                </c:pt>
                <c:pt idx="716">
                  <c:v>98.43</c:v>
                </c:pt>
                <c:pt idx="717">
                  <c:v>98.32</c:v>
                </c:pt>
                <c:pt idx="718">
                  <c:v>97.95</c:v>
                </c:pt>
                <c:pt idx="719">
                  <c:v>96.97</c:v>
                </c:pt>
                <c:pt idx="720">
                  <c:v>97.07</c:v>
                </c:pt>
                <c:pt idx="721">
                  <c:v>97.83</c:v>
                </c:pt>
                <c:pt idx="722">
                  <c:v>97.42</c:v>
                </c:pt>
                <c:pt idx="723">
                  <c:v>97.38</c:v>
                </c:pt>
                <c:pt idx="724">
                  <c:v>96.26</c:v>
                </c:pt>
                <c:pt idx="725">
                  <c:v>91.63</c:v>
                </c:pt>
                <c:pt idx="726">
                  <c:v>92.75</c:v>
                </c:pt>
                <c:pt idx="727">
                  <c:v>90.45</c:v>
                </c:pt>
                <c:pt idx="728">
                  <c:v>91.86</c:v>
                </c:pt>
                <c:pt idx="729">
                  <c:v>84.68</c:v>
                </c:pt>
                <c:pt idx="730">
                  <c:v>84.58</c:v>
                </c:pt>
                <c:pt idx="731">
                  <c:v>87.1</c:v>
                </c:pt>
                <c:pt idx="732">
                  <c:v>86.59</c:v>
                </c:pt>
                <c:pt idx="733">
                  <c:v>87.1</c:v>
                </c:pt>
                <c:pt idx="734">
                  <c:v>85.28</c:v>
                </c:pt>
                <c:pt idx="735">
                  <c:v>85.89</c:v>
                </c:pt>
                <c:pt idx="736">
                  <c:v>85.21</c:v>
                </c:pt>
                <c:pt idx="737">
                  <c:v>83.76</c:v>
                </c:pt>
                <c:pt idx="738">
                  <c:v>88.61</c:v>
                </c:pt>
                <c:pt idx="739">
                  <c:v>86.79</c:v>
                </c:pt>
                <c:pt idx="740">
                  <c:v>87.52</c:v>
                </c:pt>
                <c:pt idx="741">
                  <c:v>88.96</c:v>
                </c:pt>
                <c:pt idx="742">
                  <c:v>88.9</c:v>
                </c:pt>
                <c:pt idx="743">
                  <c:v>86.37</c:v>
                </c:pt>
                <c:pt idx="744">
                  <c:v>89.37</c:v>
                </c:pt>
                <c:pt idx="745">
                  <c:v>86.87</c:v>
                </c:pt>
                <c:pt idx="746">
                  <c:v>86.21</c:v>
                </c:pt>
                <c:pt idx="747">
                  <c:v>87.06</c:v>
                </c:pt>
                <c:pt idx="748">
                  <c:v>87.03</c:v>
                </c:pt>
                <c:pt idx="749">
                  <c:v>89.35</c:v>
                </c:pt>
                <c:pt idx="750">
                  <c:v>90.12</c:v>
                </c:pt>
                <c:pt idx="751">
                  <c:v>88.51</c:v>
                </c:pt>
                <c:pt idx="752">
                  <c:v>85.62</c:v>
                </c:pt>
                <c:pt idx="753">
                  <c:v>84.26</c:v>
                </c:pt>
                <c:pt idx="754">
                  <c:v>86.57</c:v>
                </c:pt>
                <c:pt idx="755">
                  <c:v>87.11</c:v>
                </c:pt>
                <c:pt idx="756">
                  <c:v>84.28</c:v>
                </c:pt>
                <c:pt idx="757">
                  <c:v>84.81</c:v>
                </c:pt>
                <c:pt idx="758">
                  <c:v>84.17</c:v>
                </c:pt>
                <c:pt idx="759">
                  <c:v>84.7</c:v>
                </c:pt>
                <c:pt idx="760">
                  <c:v>88.6</c:v>
                </c:pt>
                <c:pt idx="761">
                  <c:v>90.79</c:v>
                </c:pt>
                <c:pt idx="762">
                  <c:v>92.14</c:v>
                </c:pt>
                <c:pt idx="763">
                  <c:v>91.31</c:v>
                </c:pt>
                <c:pt idx="764">
                  <c:v>92.22</c:v>
                </c:pt>
                <c:pt idx="765">
                  <c:v>92.7</c:v>
                </c:pt>
                <c:pt idx="766">
                  <c:v>87.84</c:v>
                </c:pt>
                <c:pt idx="767">
                  <c:v>89.07</c:v>
                </c:pt>
                <c:pt idx="768">
                  <c:v>88.69</c:v>
                </c:pt>
                <c:pt idx="769">
                  <c:v>89.46</c:v>
                </c:pt>
                <c:pt idx="770">
                  <c:v>88.31</c:v>
                </c:pt>
                <c:pt idx="771">
                  <c:v>84.52</c:v>
                </c:pt>
                <c:pt idx="772">
                  <c:v>82.94</c:v>
                </c:pt>
                <c:pt idx="773">
                  <c:v>85.4</c:v>
                </c:pt>
                <c:pt idx="774">
                  <c:v>84.07</c:v>
                </c:pt>
                <c:pt idx="775">
                  <c:v>83.41</c:v>
                </c:pt>
                <c:pt idx="776">
                  <c:v>84.12</c:v>
                </c:pt>
                <c:pt idx="777">
                  <c:v>84.06</c:v>
                </c:pt>
                <c:pt idx="778">
                  <c:v>87.39</c:v>
                </c:pt>
                <c:pt idx="779">
                  <c:v>86.05</c:v>
                </c:pt>
                <c:pt idx="780">
                  <c:v>84.69</c:v>
                </c:pt>
                <c:pt idx="781">
                  <c:v>84.95</c:v>
                </c:pt>
                <c:pt idx="782">
                  <c:v>86.92</c:v>
                </c:pt>
                <c:pt idx="783">
                  <c:v>88.55</c:v>
                </c:pt>
                <c:pt idx="784">
                  <c:v>88.35</c:v>
                </c:pt>
                <c:pt idx="785">
                  <c:v>89.4</c:v>
                </c:pt>
                <c:pt idx="786">
                  <c:v>89.16</c:v>
                </c:pt>
                <c:pt idx="787">
                  <c:v>88.31</c:v>
                </c:pt>
                <c:pt idx="788">
                  <c:v>87.27</c:v>
                </c:pt>
                <c:pt idx="789">
                  <c:v>86.49</c:v>
                </c:pt>
                <c:pt idx="790">
                  <c:v>84.84</c:v>
                </c:pt>
                <c:pt idx="791">
                  <c:v>85.72</c:v>
                </c:pt>
                <c:pt idx="792">
                  <c:v>85.73</c:v>
                </c:pt>
                <c:pt idx="793">
                  <c:v>86.88</c:v>
                </c:pt>
                <c:pt idx="794">
                  <c:v>87.27</c:v>
                </c:pt>
                <c:pt idx="795">
                  <c:v>83.71</c:v>
                </c:pt>
                <c:pt idx="796">
                  <c:v>84.91</c:v>
                </c:pt>
                <c:pt idx="797">
                  <c:v>84.78</c:v>
                </c:pt>
                <c:pt idx="798">
                  <c:v>84.67</c:v>
                </c:pt>
                <c:pt idx="799">
                  <c:v>82.96</c:v>
                </c:pt>
                <c:pt idx="800">
                  <c:v>80.31</c:v>
                </c:pt>
                <c:pt idx="801">
                  <c:v>81.5</c:v>
                </c:pt>
                <c:pt idx="802">
                  <c:v>83.59</c:v>
                </c:pt>
                <c:pt idx="803">
                  <c:v>83.54</c:v>
                </c:pt>
                <c:pt idx="804">
                  <c:v>83.27</c:v>
                </c:pt>
                <c:pt idx="805">
                  <c:v>82.55</c:v>
                </c:pt>
                <c:pt idx="806">
                  <c:v>80.23</c:v>
                </c:pt>
                <c:pt idx="807">
                  <c:v>79.62</c:v>
                </c:pt>
                <c:pt idx="808">
                  <c:v>78.2</c:v>
                </c:pt>
                <c:pt idx="809">
                  <c:v>77.92</c:v>
                </c:pt>
                <c:pt idx="810">
                  <c:v>77.760000000000005</c:v>
                </c:pt>
                <c:pt idx="811">
                  <c:v>77.900000000000006</c:v>
                </c:pt>
                <c:pt idx="812">
                  <c:v>79.28</c:v>
                </c:pt>
                <c:pt idx="813">
                  <c:v>79.239999999999995</c:v>
                </c:pt>
                <c:pt idx="814">
                  <c:v>78.86</c:v>
                </c:pt>
                <c:pt idx="815">
                  <c:v>79.52</c:v>
                </c:pt>
                <c:pt idx="816">
                  <c:v>79.260000000000005</c:v>
                </c:pt>
                <c:pt idx="817">
                  <c:v>76.39</c:v>
                </c:pt>
                <c:pt idx="818">
                  <c:v>76.430000000000007</c:v>
                </c:pt>
                <c:pt idx="819">
                  <c:v>76.34</c:v>
                </c:pt>
                <c:pt idx="820">
                  <c:v>77.680000000000007</c:v>
                </c:pt>
                <c:pt idx="821">
                  <c:v>78.11</c:v>
                </c:pt>
                <c:pt idx="822">
                  <c:v>75.2</c:v>
                </c:pt>
                <c:pt idx="823">
                  <c:v>73.3</c:v>
                </c:pt>
                <c:pt idx="824">
                  <c:v>72.959999999999994</c:v>
                </c:pt>
                <c:pt idx="825">
                  <c:v>71.87</c:v>
                </c:pt>
                <c:pt idx="826">
                  <c:v>70.95</c:v>
                </c:pt>
                <c:pt idx="827">
                  <c:v>74.19</c:v>
                </c:pt>
                <c:pt idx="828">
                  <c:v>72.31</c:v>
                </c:pt>
                <c:pt idx="829">
                  <c:v>72.36</c:v>
                </c:pt>
                <c:pt idx="830">
                  <c:v>75.67</c:v>
                </c:pt>
                <c:pt idx="831">
                  <c:v>78.91</c:v>
                </c:pt>
                <c:pt idx="832">
                  <c:v>78.47</c:v>
                </c:pt>
                <c:pt idx="833">
                  <c:v>79.47</c:v>
                </c:pt>
                <c:pt idx="834">
                  <c:v>78.98</c:v>
                </c:pt>
                <c:pt idx="835">
                  <c:v>79.05</c:v>
                </c:pt>
                <c:pt idx="836">
                  <c:v>79.42</c:v>
                </c:pt>
                <c:pt idx="837">
                  <c:v>76.28</c:v>
                </c:pt>
                <c:pt idx="838">
                  <c:v>78.5</c:v>
                </c:pt>
                <c:pt idx="839">
                  <c:v>76.709999999999994</c:v>
                </c:pt>
                <c:pt idx="840">
                  <c:v>74.489999999999995</c:v>
                </c:pt>
                <c:pt idx="841">
                  <c:v>72.48</c:v>
                </c:pt>
                <c:pt idx="842">
                  <c:v>72.72</c:v>
                </c:pt>
                <c:pt idx="843">
                  <c:v>73.42</c:v>
                </c:pt>
                <c:pt idx="844">
                  <c:v>73.39</c:v>
                </c:pt>
                <c:pt idx="845">
                  <c:v>71.930000000000007</c:v>
                </c:pt>
                <c:pt idx="846">
                  <c:v>71.28</c:v>
                </c:pt>
                <c:pt idx="847">
                  <c:v>73.72</c:v>
                </c:pt>
                <c:pt idx="848">
                  <c:v>72.42</c:v>
                </c:pt>
                <c:pt idx="849">
                  <c:v>75.599999999999994</c:v>
                </c:pt>
                <c:pt idx="850">
                  <c:v>69.900000000000006</c:v>
                </c:pt>
                <c:pt idx="851">
                  <c:v>70.06</c:v>
                </c:pt>
                <c:pt idx="852">
                  <c:v>71.86</c:v>
                </c:pt>
                <c:pt idx="853">
                  <c:v>73.489999999999995</c:v>
                </c:pt>
                <c:pt idx="854">
                  <c:v>76.52</c:v>
                </c:pt>
                <c:pt idx="855">
                  <c:v>77.48</c:v>
                </c:pt>
                <c:pt idx="856">
                  <c:v>81.64</c:v>
                </c:pt>
                <c:pt idx="857">
                  <c:v>74.33</c:v>
                </c:pt>
                <c:pt idx="858">
                  <c:v>75.37</c:v>
                </c:pt>
                <c:pt idx="859">
                  <c:v>74.64</c:v>
                </c:pt>
                <c:pt idx="860">
                  <c:v>76.58</c:v>
                </c:pt>
                <c:pt idx="861">
                  <c:v>74.739999999999995</c:v>
                </c:pt>
                <c:pt idx="862">
                  <c:v>75.63</c:v>
                </c:pt>
                <c:pt idx="863">
                  <c:v>77.98</c:v>
                </c:pt>
                <c:pt idx="864">
                  <c:v>77.92</c:v>
                </c:pt>
                <c:pt idx="865">
                  <c:v>78.959999999999994</c:v>
                </c:pt>
                <c:pt idx="866">
                  <c:v>80.17</c:v>
                </c:pt>
                <c:pt idx="867">
                  <c:v>81.22</c:v>
                </c:pt>
                <c:pt idx="868">
                  <c:v>79.599999999999994</c:v>
                </c:pt>
                <c:pt idx="869">
                  <c:v>79.5</c:v>
                </c:pt>
                <c:pt idx="870">
                  <c:v>80.92</c:v>
                </c:pt>
                <c:pt idx="871">
                  <c:v>79.790000000000006</c:v>
                </c:pt>
                <c:pt idx="872">
                  <c:v>80.680000000000007</c:v>
                </c:pt>
                <c:pt idx="873">
                  <c:v>81.52</c:v>
                </c:pt>
                <c:pt idx="874">
                  <c:v>83.12</c:v>
                </c:pt>
                <c:pt idx="875">
                  <c:v>83.36</c:v>
                </c:pt>
                <c:pt idx="876">
                  <c:v>84.12</c:v>
                </c:pt>
                <c:pt idx="877">
                  <c:v>88.09</c:v>
                </c:pt>
                <c:pt idx="878">
                  <c:v>91.49</c:v>
                </c:pt>
                <c:pt idx="879">
                  <c:v>90.97</c:v>
                </c:pt>
                <c:pt idx="880">
                  <c:v>91.03</c:v>
                </c:pt>
                <c:pt idx="881">
                  <c:v>91.23</c:v>
                </c:pt>
                <c:pt idx="882">
                  <c:v>88.38</c:v>
                </c:pt>
                <c:pt idx="883">
                  <c:v>87.45</c:v>
                </c:pt>
                <c:pt idx="884">
                  <c:v>87.12</c:v>
                </c:pt>
                <c:pt idx="885">
                  <c:v>86.22</c:v>
                </c:pt>
                <c:pt idx="886">
                  <c:v>87.89</c:v>
                </c:pt>
                <c:pt idx="887">
                  <c:v>86.86</c:v>
                </c:pt>
                <c:pt idx="888">
                  <c:v>89.6</c:v>
                </c:pt>
                <c:pt idx="889">
                  <c:v>87.66</c:v>
                </c:pt>
                <c:pt idx="890">
                  <c:v>87.41</c:v>
                </c:pt>
                <c:pt idx="891">
                  <c:v>83.12</c:v>
                </c:pt>
                <c:pt idx="892">
                  <c:v>79.290000000000006</c:v>
                </c:pt>
                <c:pt idx="893">
                  <c:v>82.73</c:v>
                </c:pt>
                <c:pt idx="894">
                  <c:v>87.16</c:v>
                </c:pt>
                <c:pt idx="895">
                  <c:v>87.6</c:v>
                </c:pt>
                <c:pt idx="896">
                  <c:v>84</c:v>
                </c:pt>
                <c:pt idx="897">
                  <c:v>84.46</c:v>
                </c:pt>
                <c:pt idx="898">
                  <c:v>90.03</c:v>
                </c:pt>
                <c:pt idx="899">
                  <c:v>91.53</c:v>
                </c:pt>
                <c:pt idx="900">
                  <c:v>92.77</c:v>
                </c:pt>
                <c:pt idx="901">
                  <c:v>90.14</c:v>
                </c:pt>
                <c:pt idx="902">
                  <c:v>91.79</c:v>
                </c:pt>
                <c:pt idx="903">
                  <c:v>92.58</c:v>
                </c:pt>
                <c:pt idx="904">
                  <c:v>91.01</c:v>
                </c:pt>
                <c:pt idx="905">
                  <c:v>89.65</c:v>
                </c:pt>
                <c:pt idx="906">
                  <c:v>93.11</c:v>
                </c:pt>
                <c:pt idx="907">
                  <c:v>93.34</c:v>
                </c:pt>
                <c:pt idx="908">
                  <c:v>93.05</c:v>
                </c:pt>
                <c:pt idx="909">
                  <c:v>95.18</c:v>
                </c:pt>
                <c:pt idx="910">
                  <c:v>94.51</c:v>
                </c:pt>
                <c:pt idx="911">
                  <c:v>93.65</c:v>
                </c:pt>
                <c:pt idx="912">
                  <c:v>93.73</c:v>
                </c:pt>
                <c:pt idx="913">
                  <c:v>95.31</c:v>
                </c:pt>
                <c:pt idx="914">
                  <c:v>97.13</c:v>
                </c:pt>
                <c:pt idx="915">
                  <c:v>94.92</c:v>
                </c:pt>
                <c:pt idx="916">
                  <c:v>95.19</c:v>
                </c:pt>
                <c:pt idx="917">
                  <c:v>95</c:v>
                </c:pt>
                <c:pt idx="918">
                  <c:v>95.94</c:v>
                </c:pt>
                <c:pt idx="919">
                  <c:v>97.73</c:v>
                </c:pt>
                <c:pt idx="920">
                  <c:v>98.76</c:v>
                </c:pt>
                <c:pt idx="921">
                  <c:v>98.32</c:v>
                </c:pt>
                <c:pt idx="922">
                  <c:v>97.21</c:v>
                </c:pt>
                <c:pt idx="923">
                  <c:v>95.32</c:v>
                </c:pt>
                <c:pt idx="924">
                  <c:v>95.58</c:v>
                </c:pt>
                <c:pt idx="925">
                  <c:v>97.01</c:v>
                </c:pt>
                <c:pt idx="926">
                  <c:v>98.1</c:v>
                </c:pt>
                <c:pt idx="927">
                  <c:v>96.31</c:v>
                </c:pt>
                <c:pt idx="928">
                  <c:v>95.72</c:v>
                </c:pt>
                <c:pt idx="929">
                  <c:v>96.87</c:v>
                </c:pt>
                <c:pt idx="930">
                  <c:v>97.73</c:v>
                </c:pt>
                <c:pt idx="931">
                  <c:v>100.12</c:v>
                </c:pt>
                <c:pt idx="932">
                  <c:v>102.4</c:v>
                </c:pt>
                <c:pt idx="933">
                  <c:v>103.87</c:v>
                </c:pt>
                <c:pt idx="934">
                  <c:v>104.04</c:v>
                </c:pt>
                <c:pt idx="935">
                  <c:v>106.03</c:v>
                </c:pt>
                <c:pt idx="936">
                  <c:v>107.57</c:v>
                </c:pt>
                <c:pt idx="937">
                  <c:v>111.14</c:v>
                </c:pt>
                <c:pt idx="938">
                  <c:v>110.44</c:v>
                </c:pt>
                <c:pt idx="939">
                  <c:v>114.24</c:v>
                </c:pt>
                <c:pt idx="940">
                  <c:v>116.68</c:v>
                </c:pt>
                <c:pt idx="941">
                  <c:v>116.97</c:v>
                </c:pt>
                <c:pt idx="942">
                  <c:v>116.24</c:v>
                </c:pt>
                <c:pt idx="943">
                  <c:v>116.38</c:v>
                </c:pt>
                <c:pt idx="944">
                  <c:v>115.57</c:v>
                </c:pt>
                <c:pt idx="945">
                  <c:v>114.22</c:v>
                </c:pt>
                <c:pt idx="946">
                  <c:v>112.37</c:v>
                </c:pt>
                <c:pt idx="947">
                  <c:v>111.74</c:v>
                </c:pt>
                <c:pt idx="948">
                  <c:v>110.37</c:v>
                </c:pt>
                <c:pt idx="949">
                  <c:v>108.09</c:v>
                </c:pt>
                <c:pt idx="950">
                  <c:v>108.63</c:v>
                </c:pt>
                <c:pt idx="951">
                  <c:v>113.59</c:v>
                </c:pt>
                <c:pt idx="952">
                  <c:v>114.68</c:v>
                </c:pt>
                <c:pt idx="953">
                  <c:v>114.71</c:v>
                </c:pt>
                <c:pt idx="954">
                  <c:v>115.56</c:v>
                </c:pt>
                <c:pt idx="955">
                  <c:v>116.73</c:v>
                </c:pt>
                <c:pt idx="956">
                  <c:v>115.35</c:v>
                </c:pt>
                <c:pt idx="957">
                  <c:v>116.25</c:v>
                </c:pt>
                <c:pt idx="958">
                  <c:v>116.26</c:v>
                </c:pt>
                <c:pt idx="959">
                  <c:v>113.36</c:v>
                </c:pt>
                <c:pt idx="960">
                  <c:v>111.24</c:v>
                </c:pt>
                <c:pt idx="961">
                  <c:v>111.42</c:v>
                </c:pt>
                <c:pt idx="962">
                  <c:v>108.66</c:v>
                </c:pt>
                <c:pt idx="963">
                  <c:v>109.64</c:v>
                </c:pt>
                <c:pt idx="964">
                  <c:v>110.73</c:v>
                </c:pt>
                <c:pt idx="965">
                  <c:v>110.66</c:v>
                </c:pt>
                <c:pt idx="966">
                  <c:v>113.97</c:v>
                </c:pt>
                <c:pt idx="967">
                  <c:v>113.58</c:v>
                </c:pt>
                <c:pt idx="968">
                  <c:v>111.45</c:v>
                </c:pt>
                <c:pt idx="969">
                  <c:v>110.78</c:v>
                </c:pt>
                <c:pt idx="970">
                  <c:v>112.9</c:v>
                </c:pt>
                <c:pt idx="971">
                  <c:v>112.52</c:v>
                </c:pt>
                <c:pt idx="972">
                  <c:v>112.23</c:v>
                </c:pt>
                <c:pt idx="973">
                  <c:v>111.87</c:v>
                </c:pt>
                <c:pt idx="974">
                  <c:v>111.72</c:v>
                </c:pt>
                <c:pt idx="975">
                  <c:v>111.44</c:v>
                </c:pt>
                <c:pt idx="976">
                  <c:v>113.25</c:v>
                </c:pt>
                <c:pt idx="977">
                  <c:v>114.13</c:v>
                </c:pt>
                <c:pt idx="978">
                  <c:v>115.16</c:v>
                </c:pt>
                <c:pt idx="979">
                  <c:v>116.91</c:v>
                </c:pt>
                <c:pt idx="980">
                  <c:v>112.16</c:v>
                </c:pt>
                <c:pt idx="981">
                  <c:v>112.61</c:v>
                </c:pt>
                <c:pt idx="982">
                  <c:v>111.45</c:v>
                </c:pt>
                <c:pt idx="983">
                  <c:v>109.8</c:v>
                </c:pt>
                <c:pt idx="984">
                  <c:v>106.07</c:v>
                </c:pt>
                <c:pt idx="985">
                  <c:v>113.2</c:v>
                </c:pt>
                <c:pt idx="986">
                  <c:v>113.51</c:v>
                </c:pt>
                <c:pt idx="987">
                  <c:v>114.92</c:v>
                </c:pt>
                <c:pt idx="988">
                  <c:v>114.71</c:v>
                </c:pt>
                <c:pt idx="989">
                  <c:v>114.55</c:v>
                </c:pt>
                <c:pt idx="990">
                  <c:v>114.44</c:v>
                </c:pt>
                <c:pt idx="991">
                  <c:v>113.86</c:v>
                </c:pt>
                <c:pt idx="992">
                  <c:v>113.49</c:v>
                </c:pt>
                <c:pt idx="993">
                  <c:v>113.37</c:v>
                </c:pt>
                <c:pt idx="994">
                  <c:v>111.45</c:v>
                </c:pt>
                <c:pt idx="995">
                  <c:v>111.87</c:v>
                </c:pt>
                <c:pt idx="996">
                  <c:v>110.76</c:v>
                </c:pt>
                <c:pt idx="997">
                  <c:v>111</c:v>
                </c:pt>
                <c:pt idx="998">
                  <c:v>110.94</c:v>
                </c:pt>
                <c:pt idx="999">
                  <c:v>111.22</c:v>
                </c:pt>
                <c:pt idx="1000">
                  <c:v>112.21</c:v>
                </c:pt>
                <c:pt idx="1001">
                  <c:v>111.64</c:v>
                </c:pt>
                <c:pt idx="1002">
                  <c:v>110.85</c:v>
                </c:pt>
                <c:pt idx="1003">
                  <c:v>111.46</c:v>
                </c:pt>
                <c:pt idx="1004">
                  <c:v>112.92</c:v>
                </c:pt>
                <c:pt idx="1005">
                  <c:v>110.31</c:v>
                </c:pt>
                <c:pt idx="1006">
                  <c:v>112.17</c:v>
                </c:pt>
                <c:pt idx="1007">
                  <c:v>111.71</c:v>
                </c:pt>
                <c:pt idx="1008">
                  <c:v>113.68</c:v>
                </c:pt>
                <c:pt idx="1009">
                  <c:v>114.11</c:v>
                </c:pt>
                <c:pt idx="1010">
                  <c:v>114.14</c:v>
                </c:pt>
                <c:pt idx="1011">
                  <c:v>113.07</c:v>
                </c:pt>
                <c:pt idx="1012">
                  <c:v>112.22</c:v>
                </c:pt>
                <c:pt idx="1013">
                  <c:v>111.82</c:v>
                </c:pt>
                <c:pt idx="1014">
                  <c:v>113.41</c:v>
                </c:pt>
                <c:pt idx="1015">
                  <c:v>114.67</c:v>
                </c:pt>
                <c:pt idx="1016">
                  <c:v>114.64</c:v>
                </c:pt>
                <c:pt idx="1017">
                  <c:v>118.86</c:v>
                </c:pt>
                <c:pt idx="1018">
                  <c:v>119.18</c:v>
                </c:pt>
                <c:pt idx="1019">
                  <c:v>119.34</c:v>
                </c:pt>
                <c:pt idx="1020">
                  <c:v>118.79</c:v>
                </c:pt>
                <c:pt idx="1021">
                  <c:v>118.04</c:v>
                </c:pt>
                <c:pt idx="1022">
                  <c:v>115.79</c:v>
                </c:pt>
                <c:pt idx="1023">
                  <c:v>117.19</c:v>
                </c:pt>
                <c:pt idx="1024">
                  <c:v>117.37</c:v>
                </c:pt>
                <c:pt idx="1025">
                  <c:v>117.45</c:v>
                </c:pt>
                <c:pt idx="1026">
                  <c:v>117.49</c:v>
                </c:pt>
                <c:pt idx="1027">
                  <c:v>115.61</c:v>
                </c:pt>
                <c:pt idx="1028">
                  <c:v>115.12</c:v>
                </c:pt>
                <c:pt idx="1029">
                  <c:v>114.32</c:v>
                </c:pt>
                <c:pt idx="1030">
                  <c:v>115.57</c:v>
                </c:pt>
                <c:pt idx="1031">
                  <c:v>115.08</c:v>
                </c:pt>
                <c:pt idx="1032">
                  <c:v>115.15</c:v>
                </c:pt>
                <c:pt idx="1033">
                  <c:v>114.63</c:v>
                </c:pt>
                <c:pt idx="1034">
                  <c:v>114.32</c:v>
                </c:pt>
                <c:pt idx="1035">
                  <c:v>115.68</c:v>
                </c:pt>
                <c:pt idx="1036">
                  <c:v>116.57</c:v>
                </c:pt>
                <c:pt idx="1037">
                  <c:v>117.54</c:v>
                </c:pt>
                <c:pt idx="1038">
                  <c:v>116.76</c:v>
                </c:pt>
                <c:pt idx="1039">
                  <c:v>115.75</c:v>
                </c:pt>
                <c:pt idx="1040">
                  <c:v>116.5</c:v>
                </c:pt>
                <c:pt idx="1041">
                  <c:v>116.39</c:v>
                </c:pt>
                <c:pt idx="1042">
                  <c:v>117.94</c:v>
                </c:pt>
                <c:pt idx="1043">
                  <c:v>119.05</c:v>
                </c:pt>
                <c:pt idx="1044">
                  <c:v>119.03</c:v>
                </c:pt>
                <c:pt idx="1045">
                  <c:v>118.25</c:v>
                </c:pt>
                <c:pt idx="1046">
                  <c:v>119.13</c:v>
                </c:pt>
                <c:pt idx="1047">
                  <c:v>120.37</c:v>
                </c:pt>
                <c:pt idx="1048">
                  <c:v>121.43</c:v>
                </c:pt>
                <c:pt idx="1049">
                  <c:v>122.38</c:v>
                </c:pt>
                <c:pt idx="1050">
                  <c:v>122.41</c:v>
                </c:pt>
                <c:pt idx="1051">
                  <c:v>126.03</c:v>
                </c:pt>
                <c:pt idx="1052">
                  <c:v>126.06</c:v>
                </c:pt>
                <c:pt idx="1053">
                  <c:v>125.97</c:v>
                </c:pt>
                <c:pt idx="1054">
                  <c:v>122.63</c:v>
                </c:pt>
                <c:pt idx="1055">
                  <c:v>119.27</c:v>
                </c:pt>
                <c:pt idx="1056">
                  <c:v>117.42</c:v>
                </c:pt>
                <c:pt idx="1057">
                  <c:v>115.32</c:v>
                </c:pt>
                <c:pt idx="1058">
                  <c:v>118.73</c:v>
                </c:pt>
                <c:pt idx="1059">
                  <c:v>118.97</c:v>
                </c:pt>
                <c:pt idx="1060">
                  <c:v>119.8</c:v>
                </c:pt>
                <c:pt idx="1061">
                  <c:v>119.55</c:v>
                </c:pt>
                <c:pt idx="1062">
                  <c:v>118.46</c:v>
                </c:pt>
                <c:pt idx="1063">
                  <c:v>117.47</c:v>
                </c:pt>
                <c:pt idx="1064">
                  <c:v>115.99</c:v>
                </c:pt>
                <c:pt idx="1065">
                  <c:v>117.14</c:v>
                </c:pt>
                <c:pt idx="1066">
                  <c:v>115.73</c:v>
                </c:pt>
                <c:pt idx="1067">
                  <c:v>114.97</c:v>
                </c:pt>
                <c:pt idx="1068">
                  <c:v>113.41</c:v>
                </c:pt>
                <c:pt idx="1069">
                  <c:v>111.81</c:v>
                </c:pt>
                <c:pt idx="1070">
                  <c:v>112.27</c:v>
                </c:pt>
                <c:pt idx="1071">
                  <c:v>112.24</c:v>
                </c:pt>
                <c:pt idx="1072">
                  <c:v>113.04</c:v>
                </c:pt>
                <c:pt idx="1073">
                  <c:v>111.99</c:v>
                </c:pt>
                <c:pt idx="1074">
                  <c:v>111.56</c:v>
                </c:pt>
                <c:pt idx="1075">
                  <c:v>111.85</c:v>
                </c:pt>
                <c:pt idx="1076">
                  <c:v>110.97</c:v>
                </c:pt>
                <c:pt idx="1077">
                  <c:v>109.7</c:v>
                </c:pt>
                <c:pt idx="1078">
                  <c:v>111.39</c:v>
                </c:pt>
                <c:pt idx="1079">
                  <c:v>111.36</c:v>
                </c:pt>
                <c:pt idx="1080">
                  <c:v>111.89</c:v>
                </c:pt>
                <c:pt idx="1081">
                  <c:v>112.45</c:v>
                </c:pt>
                <c:pt idx="1082">
                  <c:v>112.56</c:v>
                </c:pt>
                <c:pt idx="1083">
                  <c:v>112.21</c:v>
                </c:pt>
                <c:pt idx="1084">
                  <c:v>111.39</c:v>
                </c:pt>
                <c:pt idx="1085">
                  <c:v>111.52</c:v>
                </c:pt>
                <c:pt idx="1086">
                  <c:v>111.33</c:v>
                </c:pt>
                <c:pt idx="1087">
                  <c:v>111.99</c:v>
                </c:pt>
                <c:pt idx="1088">
                  <c:v>111.12</c:v>
                </c:pt>
                <c:pt idx="1089">
                  <c:v>113</c:v>
                </c:pt>
                <c:pt idx="1090">
                  <c:v>113.34</c:v>
                </c:pt>
                <c:pt idx="1091">
                  <c:v>113.88</c:v>
                </c:pt>
                <c:pt idx="1092">
                  <c:v>113.51</c:v>
                </c:pt>
                <c:pt idx="1093">
                  <c:v>112.85</c:v>
                </c:pt>
                <c:pt idx="1094">
                  <c:v>112.63</c:v>
                </c:pt>
                <c:pt idx="1095">
                  <c:v>112.52</c:v>
                </c:pt>
                <c:pt idx="1096">
                  <c:v>110.92</c:v>
                </c:pt>
                <c:pt idx="1097">
                  <c:v>111.41</c:v>
                </c:pt>
                <c:pt idx="1098">
                  <c:v>109.67</c:v>
                </c:pt>
                <c:pt idx="1099">
                  <c:v>111.07</c:v>
                </c:pt>
                <c:pt idx="1100">
                  <c:v>110.98</c:v>
                </c:pt>
                <c:pt idx="1101">
                  <c:v>111.2</c:v>
                </c:pt>
                <c:pt idx="1102">
                  <c:v>110.49</c:v>
                </c:pt>
                <c:pt idx="1103">
                  <c:v>109.79</c:v>
                </c:pt>
                <c:pt idx="1104">
                  <c:v>113.55</c:v>
                </c:pt>
                <c:pt idx="1105">
                  <c:v>114.3</c:v>
                </c:pt>
                <c:pt idx="1106">
                  <c:v>114.34</c:v>
                </c:pt>
                <c:pt idx="1107">
                  <c:v>114.74</c:v>
                </c:pt>
                <c:pt idx="1108">
                  <c:v>113.48</c:v>
                </c:pt>
                <c:pt idx="1109">
                  <c:v>114.11</c:v>
                </c:pt>
                <c:pt idx="1110">
                  <c:v>115.72</c:v>
                </c:pt>
                <c:pt idx="1111">
                  <c:v>114.49</c:v>
                </c:pt>
                <c:pt idx="1112">
                  <c:v>114.63</c:v>
                </c:pt>
                <c:pt idx="1113">
                  <c:v>112.4</c:v>
                </c:pt>
                <c:pt idx="1114">
                  <c:v>116.15</c:v>
                </c:pt>
                <c:pt idx="1115">
                  <c:v>115.92</c:v>
                </c:pt>
                <c:pt idx="1116">
                  <c:v>117.56</c:v>
                </c:pt>
                <c:pt idx="1117">
                  <c:v>115.92</c:v>
                </c:pt>
                <c:pt idx="1118">
                  <c:v>116.74</c:v>
                </c:pt>
                <c:pt idx="1119">
                  <c:v>116.27</c:v>
                </c:pt>
                <c:pt idx="1120">
                  <c:v>117.6</c:v>
                </c:pt>
                <c:pt idx="1121">
                  <c:v>118.34</c:v>
                </c:pt>
                <c:pt idx="1122">
                  <c:v>116.66</c:v>
                </c:pt>
                <c:pt idx="1123">
                  <c:v>115.16</c:v>
                </c:pt>
                <c:pt idx="1124">
                  <c:v>115.36</c:v>
                </c:pt>
                <c:pt idx="1125">
                  <c:v>113.81</c:v>
                </c:pt>
                <c:pt idx="1126">
                  <c:v>113.18</c:v>
                </c:pt>
                <c:pt idx="1127">
                  <c:v>113.04</c:v>
                </c:pt>
                <c:pt idx="1128">
                  <c:v>113.19</c:v>
                </c:pt>
                <c:pt idx="1129">
                  <c:v>113.15</c:v>
                </c:pt>
                <c:pt idx="1130">
                  <c:v>111.02</c:v>
                </c:pt>
                <c:pt idx="1131">
                  <c:v>109.38</c:v>
                </c:pt>
                <c:pt idx="1132">
                  <c:v>109.27</c:v>
                </c:pt>
                <c:pt idx="1133">
                  <c:v>110.27</c:v>
                </c:pt>
                <c:pt idx="1134">
                  <c:v>109.13</c:v>
                </c:pt>
                <c:pt idx="1135">
                  <c:v>109.9</c:v>
                </c:pt>
                <c:pt idx="1136">
                  <c:v>107.35</c:v>
                </c:pt>
                <c:pt idx="1137">
                  <c:v>104.97</c:v>
                </c:pt>
                <c:pt idx="1138">
                  <c:v>106.25</c:v>
                </c:pt>
                <c:pt idx="1139">
                  <c:v>107.57</c:v>
                </c:pt>
                <c:pt idx="1140">
                  <c:v>106.34</c:v>
                </c:pt>
                <c:pt idx="1141">
                  <c:v>107.62</c:v>
                </c:pt>
                <c:pt idx="1142">
                  <c:v>110.46</c:v>
                </c:pt>
                <c:pt idx="1143">
                  <c:v>111.34</c:v>
                </c:pt>
                <c:pt idx="1144">
                  <c:v>108.9</c:v>
                </c:pt>
                <c:pt idx="1145">
                  <c:v>107.81</c:v>
                </c:pt>
                <c:pt idx="1146">
                  <c:v>107.32</c:v>
                </c:pt>
                <c:pt idx="1147">
                  <c:v>107.78</c:v>
                </c:pt>
                <c:pt idx="1148">
                  <c:v>106.55</c:v>
                </c:pt>
                <c:pt idx="1149">
                  <c:v>105.03</c:v>
                </c:pt>
                <c:pt idx="1150">
                  <c:v>105.2</c:v>
                </c:pt>
                <c:pt idx="1151">
                  <c:v>104.89</c:v>
                </c:pt>
                <c:pt idx="1152">
                  <c:v>106.22</c:v>
                </c:pt>
                <c:pt idx="1153">
                  <c:v>107.2</c:v>
                </c:pt>
                <c:pt idx="1154">
                  <c:v>106.87</c:v>
                </c:pt>
                <c:pt idx="1155">
                  <c:v>108.03</c:v>
                </c:pt>
                <c:pt idx="1156">
                  <c:v>103.47</c:v>
                </c:pt>
                <c:pt idx="1157">
                  <c:v>104.38</c:v>
                </c:pt>
                <c:pt idx="1158">
                  <c:v>101.37</c:v>
                </c:pt>
                <c:pt idx="1159">
                  <c:v>101.81</c:v>
                </c:pt>
                <c:pt idx="1160">
                  <c:v>103.37</c:v>
                </c:pt>
                <c:pt idx="1161">
                  <c:v>104.97</c:v>
                </c:pt>
                <c:pt idx="1162">
                  <c:v>104.44</c:v>
                </c:pt>
                <c:pt idx="1163">
                  <c:v>106.15</c:v>
                </c:pt>
                <c:pt idx="1164">
                  <c:v>105.3</c:v>
                </c:pt>
                <c:pt idx="1165">
                  <c:v>105.86</c:v>
                </c:pt>
                <c:pt idx="1166">
                  <c:v>105.87</c:v>
                </c:pt>
                <c:pt idx="1167">
                  <c:v>106.22</c:v>
                </c:pt>
                <c:pt idx="1168">
                  <c:v>106.26</c:v>
                </c:pt>
                <c:pt idx="1169">
                  <c:v>106.48</c:v>
                </c:pt>
                <c:pt idx="1170">
                  <c:v>103.64</c:v>
                </c:pt>
                <c:pt idx="1171">
                  <c:v>101.02</c:v>
                </c:pt>
                <c:pt idx="1172">
                  <c:v>101.65</c:v>
                </c:pt>
                <c:pt idx="1173">
                  <c:v>98.58</c:v>
                </c:pt>
                <c:pt idx="1174">
                  <c:v>96.81</c:v>
                </c:pt>
                <c:pt idx="1175">
                  <c:v>98.15</c:v>
                </c:pt>
                <c:pt idx="1176">
                  <c:v>97.87</c:v>
                </c:pt>
                <c:pt idx="1177">
                  <c:v>104.69</c:v>
                </c:pt>
                <c:pt idx="1178">
                  <c:v>103.45</c:v>
                </c:pt>
                <c:pt idx="1179">
                  <c:v>103.91</c:v>
                </c:pt>
                <c:pt idx="1180">
                  <c:v>104.58</c:v>
                </c:pt>
                <c:pt idx="1181">
                  <c:v>105.46</c:v>
                </c:pt>
                <c:pt idx="1182">
                  <c:v>102.54</c:v>
                </c:pt>
                <c:pt idx="1183">
                  <c:v>102.33</c:v>
                </c:pt>
                <c:pt idx="1184">
                  <c:v>101.82</c:v>
                </c:pt>
                <c:pt idx="1185">
                  <c:v>102.89</c:v>
                </c:pt>
                <c:pt idx="1186">
                  <c:v>102.82</c:v>
                </c:pt>
                <c:pt idx="1187">
                  <c:v>104.6</c:v>
                </c:pt>
                <c:pt idx="1188">
                  <c:v>105.67</c:v>
                </c:pt>
                <c:pt idx="1189">
                  <c:v>103.35</c:v>
                </c:pt>
                <c:pt idx="1190">
                  <c:v>104.19</c:v>
                </c:pt>
                <c:pt idx="1191">
                  <c:v>103.44</c:v>
                </c:pt>
                <c:pt idx="1192">
                  <c:v>103.1</c:v>
                </c:pt>
                <c:pt idx="1193">
                  <c:v>106.98</c:v>
                </c:pt>
                <c:pt idx="1194">
                  <c:v>105.97</c:v>
                </c:pt>
                <c:pt idx="1195">
                  <c:v>105.63</c:v>
                </c:pt>
                <c:pt idx="1196">
                  <c:v>104.34</c:v>
                </c:pt>
                <c:pt idx="1197">
                  <c:v>102.01</c:v>
                </c:pt>
                <c:pt idx="1198">
                  <c:v>102.06</c:v>
                </c:pt>
                <c:pt idx="1199">
                  <c:v>102.41</c:v>
                </c:pt>
                <c:pt idx="1200">
                  <c:v>102.94</c:v>
                </c:pt>
                <c:pt idx="1201">
                  <c:v>103.28</c:v>
                </c:pt>
                <c:pt idx="1202">
                  <c:v>103.21</c:v>
                </c:pt>
                <c:pt idx="1203">
                  <c:v>103.27</c:v>
                </c:pt>
                <c:pt idx="1204">
                  <c:v>104.18</c:v>
                </c:pt>
                <c:pt idx="1205">
                  <c:v>103.32</c:v>
                </c:pt>
                <c:pt idx="1206">
                  <c:v>103</c:v>
                </c:pt>
                <c:pt idx="1207">
                  <c:v>105.39</c:v>
                </c:pt>
                <c:pt idx="1208">
                  <c:v>100.4</c:v>
                </c:pt>
                <c:pt idx="1209">
                  <c:v>101.21</c:v>
                </c:pt>
                <c:pt idx="1210">
                  <c:v>101.41</c:v>
                </c:pt>
                <c:pt idx="1211">
                  <c:v>102.28</c:v>
                </c:pt>
                <c:pt idx="1212">
                  <c:v>100.11</c:v>
                </c:pt>
                <c:pt idx="1213">
                  <c:v>98.91</c:v>
                </c:pt>
                <c:pt idx="1214">
                  <c:v>98.82</c:v>
                </c:pt>
                <c:pt idx="1215">
                  <c:v>98.02</c:v>
                </c:pt>
                <c:pt idx="1216">
                  <c:v>98.66</c:v>
                </c:pt>
                <c:pt idx="1217">
                  <c:v>98.2</c:v>
                </c:pt>
                <c:pt idx="1218">
                  <c:v>98.3</c:v>
                </c:pt>
                <c:pt idx="1219">
                  <c:v>96.88</c:v>
                </c:pt>
                <c:pt idx="1220">
                  <c:v>97.01</c:v>
                </c:pt>
                <c:pt idx="1221">
                  <c:v>97.76</c:v>
                </c:pt>
                <c:pt idx="1222">
                  <c:v>97.91</c:v>
                </c:pt>
                <c:pt idx="1223">
                  <c:v>98.6</c:v>
                </c:pt>
                <c:pt idx="1224">
                  <c:v>97.78</c:v>
                </c:pt>
                <c:pt idx="1225">
                  <c:v>95.56</c:v>
                </c:pt>
                <c:pt idx="1226">
                  <c:v>93.53</c:v>
                </c:pt>
                <c:pt idx="1227">
                  <c:v>95.04</c:v>
                </c:pt>
                <c:pt idx="1228">
                  <c:v>93.92</c:v>
                </c:pt>
                <c:pt idx="1229">
                  <c:v>95.88</c:v>
                </c:pt>
                <c:pt idx="1230">
                  <c:v>90.65</c:v>
                </c:pt>
                <c:pt idx="1231">
                  <c:v>90.62</c:v>
                </c:pt>
                <c:pt idx="1232">
                  <c:v>89.79</c:v>
                </c:pt>
                <c:pt idx="1233">
                  <c:v>88.39</c:v>
                </c:pt>
                <c:pt idx="1234">
                  <c:v>85.97</c:v>
                </c:pt>
                <c:pt idx="1235">
                  <c:v>86.96</c:v>
                </c:pt>
                <c:pt idx="1236">
                  <c:v>88.3</c:v>
                </c:pt>
                <c:pt idx="1237">
                  <c:v>87.17</c:v>
                </c:pt>
                <c:pt idx="1238">
                  <c:v>90.05</c:v>
                </c:pt>
                <c:pt idx="1239">
                  <c:v>89.66</c:v>
                </c:pt>
                <c:pt idx="1240">
                  <c:v>90.8</c:v>
                </c:pt>
                <c:pt idx="1241">
                  <c:v>89.36</c:v>
                </c:pt>
                <c:pt idx="1242">
                  <c:v>88.27</c:v>
                </c:pt>
                <c:pt idx="1243">
                  <c:v>88.51</c:v>
                </c:pt>
                <c:pt idx="1244">
                  <c:v>87.6</c:v>
                </c:pt>
                <c:pt idx="1245">
                  <c:v>88.52</c:v>
                </c:pt>
                <c:pt idx="1246">
                  <c:v>88.83</c:v>
                </c:pt>
                <c:pt idx="1247">
                  <c:v>89.31</c:v>
                </c:pt>
                <c:pt idx="1248">
                  <c:v>90.16</c:v>
                </c:pt>
                <c:pt idx="1249">
                  <c:v>90.78</c:v>
                </c:pt>
                <c:pt idx="1250">
                  <c:v>90.01</c:v>
                </c:pt>
                <c:pt idx="1251">
                  <c:v>89.53</c:v>
                </c:pt>
                <c:pt idx="1252">
                  <c:v>88.45</c:v>
                </c:pt>
                <c:pt idx="1253">
                  <c:v>87.01</c:v>
                </c:pt>
                <c:pt idx="1254">
                  <c:v>88.47</c:v>
                </c:pt>
                <c:pt idx="1255">
                  <c:v>86.57</c:v>
                </c:pt>
                <c:pt idx="1256">
                  <c:v>86.74</c:v>
                </c:pt>
                <c:pt idx="1257">
                  <c:v>85.92</c:v>
                </c:pt>
                <c:pt idx="1258">
                  <c:v>84.8</c:v>
                </c:pt>
                <c:pt idx="1259">
                  <c:v>86.07</c:v>
                </c:pt>
                <c:pt idx="1260">
                  <c:v>84.3</c:v>
                </c:pt>
                <c:pt idx="1261">
                  <c:v>83.04</c:v>
                </c:pt>
                <c:pt idx="1262">
                  <c:v>82.99</c:v>
                </c:pt>
                <c:pt idx="1263">
                  <c:v>83.95</c:v>
                </c:pt>
                <c:pt idx="1264">
                  <c:v>83.89</c:v>
                </c:pt>
                <c:pt idx="1265">
                  <c:v>84.95</c:v>
                </c:pt>
                <c:pt idx="1266">
                  <c:v>86.75</c:v>
                </c:pt>
                <c:pt idx="1267">
                  <c:v>88.38</c:v>
                </c:pt>
                <c:pt idx="1268">
                  <c:v>87.71</c:v>
                </c:pt>
                <c:pt idx="1269">
                  <c:v>86.63</c:v>
                </c:pt>
                <c:pt idx="1270">
                  <c:v>85.27</c:v>
                </c:pt>
                <c:pt idx="1271">
                  <c:v>84.88</c:v>
                </c:pt>
                <c:pt idx="1272">
                  <c:v>85.86</c:v>
                </c:pt>
                <c:pt idx="1273">
                  <c:v>85.41</c:v>
                </c:pt>
                <c:pt idx="1274">
                  <c:v>86.27</c:v>
                </c:pt>
                <c:pt idx="1275">
                  <c:v>86.48</c:v>
                </c:pt>
                <c:pt idx="1276">
                  <c:v>88.35</c:v>
                </c:pt>
                <c:pt idx="1277">
                  <c:v>86.05</c:v>
                </c:pt>
                <c:pt idx="1278">
                  <c:v>84.47</c:v>
                </c:pt>
                <c:pt idx="1279">
                  <c:v>85</c:v>
                </c:pt>
                <c:pt idx="1280">
                  <c:v>83.41</c:v>
                </c:pt>
                <c:pt idx="1281">
                  <c:v>82.41</c:v>
                </c:pt>
                <c:pt idx="1282">
                  <c:v>82.72</c:v>
                </c:pt>
                <c:pt idx="1283">
                  <c:v>78.680000000000007</c:v>
                </c:pt>
                <c:pt idx="1284">
                  <c:v>77.069999999999993</c:v>
                </c:pt>
                <c:pt idx="1285">
                  <c:v>77.22</c:v>
                </c:pt>
                <c:pt idx="1286">
                  <c:v>77.63</c:v>
                </c:pt>
                <c:pt idx="1287">
                  <c:v>78.989999999999995</c:v>
                </c:pt>
                <c:pt idx="1288">
                  <c:v>78.95</c:v>
                </c:pt>
                <c:pt idx="1289">
                  <c:v>78.37</c:v>
                </c:pt>
                <c:pt idx="1290">
                  <c:v>79.02</c:v>
                </c:pt>
                <c:pt idx="1291">
                  <c:v>79.290000000000006</c:v>
                </c:pt>
                <c:pt idx="1292">
                  <c:v>78.87</c:v>
                </c:pt>
                <c:pt idx="1293">
                  <c:v>77.47</c:v>
                </c:pt>
                <c:pt idx="1294">
                  <c:v>75.790000000000006</c:v>
                </c:pt>
                <c:pt idx="1295">
                  <c:v>75.66</c:v>
                </c:pt>
                <c:pt idx="1296">
                  <c:v>75.78</c:v>
                </c:pt>
                <c:pt idx="1297">
                  <c:v>75.13</c:v>
                </c:pt>
                <c:pt idx="1298">
                  <c:v>75.5</c:v>
                </c:pt>
                <c:pt idx="1299">
                  <c:v>76.53</c:v>
                </c:pt>
                <c:pt idx="1300">
                  <c:v>76.64</c:v>
                </c:pt>
                <c:pt idx="1301">
                  <c:v>77.42</c:v>
                </c:pt>
                <c:pt idx="1302">
                  <c:v>74.64</c:v>
                </c:pt>
                <c:pt idx="1303">
                  <c:v>76.459999999999994</c:v>
                </c:pt>
                <c:pt idx="1304">
                  <c:v>75.78</c:v>
                </c:pt>
                <c:pt idx="1305">
                  <c:v>75.36</c:v>
                </c:pt>
                <c:pt idx="1306">
                  <c:v>77.239999999999995</c:v>
                </c:pt>
                <c:pt idx="1307">
                  <c:v>75.44</c:v>
                </c:pt>
                <c:pt idx="1308">
                  <c:v>74.959999999999994</c:v>
                </c:pt>
                <c:pt idx="1309">
                  <c:v>74.16</c:v>
                </c:pt>
                <c:pt idx="1310">
                  <c:v>74.39</c:v>
                </c:pt>
                <c:pt idx="1311">
                  <c:v>75.61</c:v>
                </c:pt>
                <c:pt idx="1312">
                  <c:v>72.73</c:v>
                </c:pt>
                <c:pt idx="1313">
                  <c:v>72.650000000000006</c:v>
                </c:pt>
                <c:pt idx="1314">
                  <c:v>74.290000000000006</c:v>
                </c:pt>
                <c:pt idx="1315">
                  <c:v>73.569999999999993</c:v>
                </c:pt>
                <c:pt idx="1316">
                  <c:v>74.14</c:v>
                </c:pt>
                <c:pt idx="1317">
                  <c:v>74.25</c:v>
                </c:pt>
                <c:pt idx="1318">
                  <c:v>75.44</c:v>
                </c:pt>
                <c:pt idx="1319">
                  <c:v>73.78</c:v>
                </c:pt>
                <c:pt idx="1320">
                  <c:v>74.03</c:v>
                </c:pt>
                <c:pt idx="1321">
                  <c:v>73.59</c:v>
                </c:pt>
                <c:pt idx="1322">
                  <c:v>73.48</c:v>
                </c:pt>
                <c:pt idx="1323">
                  <c:v>71.569999999999993</c:v>
                </c:pt>
                <c:pt idx="1324">
                  <c:v>73.849999999999994</c:v>
                </c:pt>
                <c:pt idx="1325">
                  <c:v>73.64</c:v>
                </c:pt>
                <c:pt idx="1326">
                  <c:v>75.489999999999995</c:v>
                </c:pt>
                <c:pt idx="1327">
                  <c:v>75.400000000000006</c:v>
                </c:pt>
                <c:pt idx="1328">
                  <c:v>75.400000000000006</c:v>
                </c:pt>
                <c:pt idx="1329">
                  <c:v>76.31</c:v>
                </c:pt>
                <c:pt idx="1330">
                  <c:v>77.099999999999994</c:v>
                </c:pt>
                <c:pt idx="1331">
                  <c:v>77.84</c:v>
                </c:pt>
                <c:pt idx="1332">
                  <c:v>76.959999999999994</c:v>
                </c:pt>
                <c:pt idx="1333">
                  <c:v>76.38</c:v>
                </c:pt>
                <c:pt idx="1334">
                  <c:v>72.569999999999993</c:v>
                </c:pt>
                <c:pt idx="1335">
                  <c:v>79.010000000000005</c:v>
                </c:pt>
                <c:pt idx="1336">
                  <c:v>82.37</c:v>
                </c:pt>
                <c:pt idx="1337">
                  <c:v>83.56</c:v>
                </c:pt>
                <c:pt idx="1338">
                  <c:v>82.14</c:v>
                </c:pt>
                <c:pt idx="1339">
                  <c:v>78.739999999999995</c:v>
                </c:pt>
                <c:pt idx="1340">
                  <c:v>79.58</c:v>
                </c:pt>
                <c:pt idx="1341">
                  <c:v>77.78</c:v>
                </c:pt>
                <c:pt idx="1342">
                  <c:v>78.319999999999993</c:v>
                </c:pt>
                <c:pt idx="1343">
                  <c:v>77.989999999999995</c:v>
                </c:pt>
                <c:pt idx="1344">
                  <c:v>78.540000000000006</c:v>
                </c:pt>
                <c:pt idx="1345">
                  <c:v>78.599999999999994</c:v>
                </c:pt>
                <c:pt idx="1346">
                  <c:v>77.760000000000005</c:v>
                </c:pt>
                <c:pt idx="1347">
                  <c:v>77.62</c:v>
                </c:pt>
                <c:pt idx="1348">
                  <c:v>78.05</c:v>
                </c:pt>
                <c:pt idx="1349">
                  <c:v>77.760000000000005</c:v>
                </c:pt>
                <c:pt idx="1350">
                  <c:v>75.86</c:v>
                </c:pt>
                <c:pt idx="1351">
                  <c:v>76.23</c:v>
                </c:pt>
                <c:pt idx="1352">
                  <c:v>74.16</c:v>
                </c:pt>
                <c:pt idx="1353">
                  <c:v>74.19</c:v>
                </c:pt>
                <c:pt idx="1354">
                  <c:v>73.62</c:v>
                </c:pt>
                <c:pt idx="1355">
                  <c:v>74.349999999999994</c:v>
                </c:pt>
                <c:pt idx="1356">
                  <c:v>75.87</c:v>
                </c:pt>
                <c:pt idx="1357">
                  <c:v>77.87</c:v>
                </c:pt>
                <c:pt idx="1358">
                  <c:v>76</c:v>
                </c:pt>
                <c:pt idx="1359">
                  <c:v>72.959999999999994</c:v>
                </c:pt>
                <c:pt idx="1360">
                  <c:v>72.900000000000006</c:v>
                </c:pt>
                <c:pt idx="1361">
                  <c:v>71.89</c:v>
                </c:pt>
                <c:pt idx="1362">
                  <c:v>73.790000000000006</c:v>
                </c:pt>
                <c:pt idx="1363">
                  <c:v>76.73</c:v>
                </c:pt>
                <c:pt idx="1364">
                  <c:v>76.86</c:v>
                </c:pt>
                <c:pt idx="1365">
                  <c:v>78.69</c:v>
                </c:pt>
                <c:pt idx="1366">
                  <c:v>77.739999999999995</c:v>
                </c:pt>
                <c:pt idx="1367">
                  <c:v>75.58</c:v>
                </c:pt>
                <c:pt idx="1368">
                  <c:v>75.150000000000006</c:v>
                </c:pt>
                <c:pt idx="1369">
                  <c:v>77.45</c:v>
                </c:pt>
                <c:pt idx="1370">
                  <c:v>72.72</c:v>
                </c:pt>
                <c:pt idx="1371">
                  <c:v>75.319999999999993</c:v>
                </c:pt>
                <c:pt idx="1372">
                  <c:v>77.099999999999994</c:v>
                </c:pt>
                <c:pt idx="1373">
                  <c:v>73.510000000000005</c:v>
                </c:pt>
                <c:pt idx="1374">
                  <c:v>72.55</c:v>
                </c:pt>
                <c:pt idx="1375">
                  <c:v>73.67</c:v>
                </c:pt>
                <c:pt idx="1376">
                  <c:v>71.760000000000005</c:v>
                </c:pt>
                <c:pt idx="1377">
                  <c:v>73.88</c:v>
                </c:pt>
                <c:pt idx="1378">
                  <c:v>71.569999999999993</c:v>
                </c:pt>
                <c:pt idx="1379">
                  <c:v>68.709999999999994</c:v>
                </c:pt>
                <c:pt idx="1380">
                  <c:v>67.790000000000006</c:v>
                </c:pt>
                <c:pt idx="1381">
                  <c:v>63.05</c:v>
                </c:pt>
                <c:pt idx="1382">
                  <c:v>65</c:v>
                </c:pt>
                <c:pt idx="1383">
                  <c:v>62.62</c:v>
                </c:pt>
                <c:pt idx="1384">
                  <c:v>65.739999999999995</c:v>
                </c:pt>
                <c:pt idx="1385">
                  <c:v>67.86</c:v>
                </c:pt>
                <c:pt idx="1386">
                  <c:v>66.34</c:v>
                </c:pt>
                <c:pt idx="1387">
                  <c:v>69.900000000000006</c:v>
                </c:pt>
                <c:pt idx="1388">
                  <c:v>65.81</c:v>
                </c:pt>
                <c:pt idx="1389">
                  <c:v>64.88</c:v>
                </c:pt>
                <c:pt idx="1390">
                  <c:v>56.55</c:v>
                </c:pt>
                <c:pt idx="1391">
                  <c:v>58.03</c:v>
                </c:pt>
                <c:pt idx="1392">
                  <c:v>61.41</c:v>
                </c:pt>
                <c:pt idx="1393">
                  <c:v>56.33</c:v>
                </c:pt>
                <c:pt idx="1394">
                  <c:v>58.98</c:v>
                </c:pt>
                <c:pt idx="1395">
                  <c:v>58.59</c:v>
                </c:pt>
                <c:pt idx="1396">
                  <c:v>69.92</c:v>
                </c:pt>
                <c:pt idx="1397">
                  <c:v>62.1</c:v>
                </c:pt>
                <c:pt idx="1398">
                  <c:v>68.3</c:v>
                </c:pt>
                <c:pt idx="1399">
                  <c:v>74.87</c:v>
                </c:pt>
                <c:pt idx="1400">
                  <c:v>70.83</c:v>
                </c:pt>
                <c:pt idx="1401">
                  <c:v>75.34</c:v>
                </c:pt>
                <c:pt idx="1402">
                  <c:v>76.19</c:v>
                </c:pt>
                <c:pt idx="1403">
                  <c:v>79.67</c:v>
                </c:pt>
                <c:pt idx="1404">
                  <c:v>78.599999999999994</c:v>
                </c:pt>
                <c:pt idx="1405">
                  <c:v>82.38</c:v>
                </c:pt>
                <c:pt idx="1406">
                  <c:v>78.430000000000007</c:v>
                </c:pt>
                <c:pt idx="1407">
                  <c:v>78.290000000000006</c:v>
                </c:pt>
                <c:pt idx="1408">
                  <c:v>80.67</c:v>
                </c:pt>
                <c:pt idx="1409">
                  <c:v>82.19</c:v>
                </c:pt>
                <c:pt idx="1410">
                  <c:v>84.52</c:v>
                </c:pt>
                <c:pt idx="1411">
                  <c:v>87.36</c:v>
                </c:pt>
                <c:pt idx="1412">
                  <c:v>88.6</c:v>
                </c:pt>
                <c:pt idx="1413">
                  <c:v>90.14</c:v>
                </c:pt>
                <c:pt idx="1414">
                  <c:v>89.23</c:v>
                </c:pt>
                <c:pt idx="1415">
                  <c:v>89.28</c:v>
                </c:pt>
                <c:pt idx="1416">
                  <c:v>89.924999999999997</c:v>
                </c:pt>
                <c:pt idx="1417">
                  <c:v>88.57</c:v>
                </c:pt>
                <c:pt idx="1418">
                  <c:v>87.51</c:v>
                </c:pt>
                <c:pt idx="1419">
                  <c:v>87.53</c:v>
                </c:pt>
                <c:pt idx="1420">
                  <c:v>86.42</c:v>
                </c:pt>
                <c:pt idx="1421">
                  <c:v>86.15</c:v>
                </c:pt>
                <c:pt idx="1422">
                  <c:v>87.56</c:v>
                </c:pt>
                <c:pt idx="1423">
                  <c:v>88.38</c:v>
                </c:pt>
                <c:pt idx="1424">
                  <c:v>86.01</c:v>
                </c:pt>
                <c:pt idx="1425">
                  <c:v>84.83</c:v>
                </c:pt>
                <c:pt idx="1426">
                  <c:v>85.84</c:v>
                </c:pt>
                <c:pt idx="1427">
                  <c:v>86.72</c:v>
                </c:pt>
                <c:pt idx="1428">
                  <c:v>88.6</c:v>
                </c:pt>
                <c:pt idx="1429">
                  <c:v>88.73</c:v>
                </c:pt>
                <c:pt idx="1430">
                  <c:v>92.03</c:v>
                </c:pt>
                <c:pt idx="1431">
                  <c:v>93.75</c:v>
                </c:pt>
                <c:pt idx="1432">
                  <c:v>92.53</c:v>
                </c:pt>
                <c:pt idx="1433">
                  <c:v>92.53</c:v>
                </c:pt>
                <c:pt idx="1434">
                  <c:v>93.62</c:v>
                </c:pt>
                <c:pt idx="1435">
                  <c:v>92.58</c:v>
                </c:pt>
                <c:pt idx="1436">
                  <c:v>91.54</c:v>
                </c:pt>
                <c:pt idx="1437">
                  <c:v>90.99</c:v>
                </c:pt>
                <c:pt idx="1438">
                  <c:v>91.08</c:v>
                </c:pt>
                <c:pt idx="1439">
                  <c:v>90.16</c:v>
                </c:pt>
                <c:pt idx="1440">
                  <c:v>90.53</c:v>
                </c:pt>
                <c:pt idx="1441">
                  <c:v>88.88</c:v>
                </c:pt>
                <c:pt idx="1442">
                  <c:v>87.86</c:v>
                </c:pt>
                <c:pt idx="1443">
                  <c:v>88.13</c:v>
                </c:pt>
                <c:pt idx="1444">
                  <c:v>88.83</c:v>
                </c:pt>
                <c:pt idx="1445">
                  <c:v>89.35</c:v>
                </c:pt>
                <c:pt idx="1446">
                  <c:v>87.92</c:v>
                </c:pt>
                <c:pt idx="1447">
                  <c:v>87.44</c:v>
                </c:pt>
                <c:pt idx="1448">
                  <c:v>88.13</c:v>
                </c:pt>
                <c:pt idx="1449">
                  <c:v>88.075000000000003</c:v>
                </c:pt>
                <c:pt idx="1450">
                  <c:v>88.52</c:v>
                </c:pt>
                <c:pt idx="1451">
                  <c:v>88.23</c:v>
                </c:pt>
                <c:pt idx="1452">
                  <c:v>88.46</c:v>
                </c:pt>
                <c:pt idx="1453">
                  <c:v>88.52</c:v>
                </c:pt>
                <c:pt idx="1454">
                  <c:v>87.99</c:v>
                </c:pt>
                <c:pt idx="1455">
                  <c:v>88.13</c:v>
                </c:pt>
                <c:pt idx="1456">
                  <c:v>88.78</c:v>
                </c:pt>
                <c:pt idx="1457">
                  <c:v>88.67</c:v>
                </c:pt>
                <c:pt idx="1458">
                  <c:v>88.21</c:v>
                </c:pt>
                <c:pt idx="1459">
                  <c:v>86.59</c:v>
                </c:pt>
                <c:pt idx="1460">
                  <c:v>86.04</c:v>
                </c:pt>
                <c:pt idx="1461">
                  <c:v>86.28</c:v>
                </c:pt>
                <c:pt idx="1462">
                  <c:v>86.32</c:v>
                </c:pt>
                <c:pt idx="1463">
                  <c:v>84.45</c:v>
                </c:pt>
                <c:pt idx="1464">
                  <c:v>85.4</c:v>
                </c:pt>
                <c:pt idx="1465">
                  <c:v>84.82</c:v>
                </c:pt>
                <c:pt idx="1466">
                  <c:v>84.57</c:v>
                </c:pt>
                <c:pt idx="1467">
                  <c:v>85.43</c:v>
                </c:pt>
                <c:pt idx="1468">
                  <c:v>85.77</c:v>
                </c:pt>
                <c:pt idx="1469">
                  <c:v>84.56</c:v>
                </c:pt>
                <c:pt idx="1470">
                  <c:v>83.75</c:v>
                </c:pt>
                <c:pt idx="1471">
                  <c:v>83.02</c:v>
                </c:pt>
                <c:pt idx="1472">
                  <c:v>82.3</c:v>
                </c:pt>
                <c:pt idx="1473">
                  <c:v>83.6</c:v>
                </c:pt>
                <c:pt idx="1474">
                  <c:v>83.66</c:v>
                </c:pt>
                <c:pt idx="1475">
                  <c:v>84.02</c:v>
                </c:pt>
                <c:pt idx="1476">
                  <c:v>84.21</c:v>
                </c:pt>
                <c:pt idx="1477">
                  <c:v>84.38</c:v>
                </c:pt>
                <c:pt idx="1478">
                  <c:v>83.94</c:v>
                </c:pt>
                <c:pt idx="1479">
                  <c:v>83.32</c:v>
                </c:pt>
                <c:pt idx="1480">
                  <c:v>82.43</c:v>
                </c:pt>
                <c:pt idx="1481">
                  <c:v>81.77</c:v>
                </c:pt>
                <c:pt idx="1482">
                  <c:v>81.95</c:v>
                </c:pt>
                <c:pt idx="1483">
                  <c:v>82.99</c:v>
                </c:pt>
                <c:pt idx="1484">
                  <c:v>81.89</c:v>
                </c:pt>
                <c:pt idx="1485">
                  <c:v>82.37</c:v>
                </c:pt>
                <c:pt idx="1486">
                  <c:v>83.21</c:v>
                </c:pt>
                <c:pt idx="1487">
                  <c:v>84.56</c:v>
                </c:pt>
                <c:pt idx="1488">
                  <c:v>84.19</c:v>
                </c:pt>
                <c:pt idx="1489">
                  <c:v>84.13</c:v>
                </c:pt>
                <c:pt idx="1490">
                  <c:v>83.6</c:v>
                </c:pt>
                <c:pt idx="1491">
                  <c:v>83.38</c:v>
                </c:pt>
                <c:pt idx="1492">
                  <c:v>83.18</c:v>
                </c:pt>
                <c:pt idx="1493">
                  <c:v>82.74</c:v>
                </c:pt>
                <c:pt idx="1494">
                  <c:v>83.46</c:v>
                </c:pt>
                <c:pt idx="1495">
                  <c:v>85.35</c:v>
                </c:pt>
                <c:pt idx="1496">
                  <c:v>86.03</c:v>
                </c:pt>
                <c:pt idx="1497">
                  <c:v>86.29</c:v>
                </c:pt>
                <c:pt idx="1498">
                  <c:v>86.71</c:v>
                </c:pt>
                <c:pt idx="1499">
                  <c:v>86.45</c:v>
                </c:pt>
                <c:pt idx="1500">
                  <c:v>86.62</c:v>
                </c:pt>
                <c:pt idx="1501">
                  <c:v>86.36</c:v>
                </c:pt>
                <c:pt idx="1502">
                  <c:v>85.96</c:v>
                </c:pt>
                <c:pt idx="1503">
                  <c:v>85.85</c:v>
                </c:pt>
                <c:pt idx="1504">
                  <c:v>84.91</c:v>
                </c:pt>
                <c:pt idx="1505">
                  <c:v>85.85</c:v>
                </c:pt>
                <c:pt idx="1506">
                  <c:v>85.92</c:v>
                </c:pt>
                <c:pt idx="1507">
                  <c:v>84.67</c:v>
                </c:pt>
                <c:pt idx="1508">
                  <c:v>84.32</c:v>
                </c:pt>
                <c:pt idx="1509">
                  <c:v>86.51</c:v>
                </c:pt>
                <c:pt idx="1510">
                  <c:v>88.42</c:v>
                </c:pt>
                <c:pt idx="1511">
                  <c:v>88.37</c:v>
                </c:pt>
                <c:pt idx="1512">
                  <c:v>89.8</c:v>
                </c:pt>
                <c:pt idx="1513">
                  <c:v>90.35</c:v>
                </c:pt>
                <c:pt idx="1514">
                  <c:v>89.92</c:v>
                </c:pt>
                <c:pt idx="1515">
                  <c:v>90.81</c:v>
                </c:pt>
                <c:pt idx="1516">
                  <c:v>90.07</c:v>
                </c:pt>
                <c:pt idx="1517">
                  <c:v>91.56</c:v>
                </c:pt>
                <c:pt idx="1518">
                  <c:v>90.96</c:v>
                </c:pt>
                <c:pt idx="1519">
                  <c:v>90.75</c:v>
                </c:pt>
                <c:pt idx="1520">
                  <c:v>89.42</c:v>
                </c:pt>
                <c:pt idx="1521">
                  <c:v>90.48</c:v>
                </c:pt>
                <c:pt idx="1522">
                  <c:v>92.06</c:v>
                </c:pt>
                <c:pt idx="1523">
                  <c:v>90.98</c:v>
                </c:pt>
                <c:pt idx="1524">
                  <c:v>90.35</c:v>
                </c:pt>
                <c:pt idx="1525">
                  <c:v>94.16</c:v>
                </c:pt>
                <c:pt idx="1526">
                  <c:v>95.74</c:v>
                </c:pt>
                <c:pt idx="1527">
                  <c:v>95.56</c:v>
                </c:pt>
                <c:pt idx="1528">
                  <c:v>96.11</c:v>
                </c:pt>
                <c:pt idx="1529">
                  <c:v>96.77</c:v>
                </c:pt>
                <c:pt idx="1530">
                  <c:v>96.56</c:v>
                </c:pt>
                <c:pt idx="1531">
                  <c:v>97.7</c:v>
                </c:pt>
                <c:pt idx="1532">
                  <c:v>97.07</c:v>
                </c:pt>
                <c:pt idx="1533">
                  <c:v>96.09</c:v>
                </c:pt>
                <c:pt idx="1534">
                  <c:v>96.5</c:v>
                </c:pt>
                <c:pt idx="1535">
                  <c:v>94.7</c:v>
                </c:pt>
                <c:pt idx="1536">
                  <c:v>96.49</c:v>
                </c:pt>
                <c:pt idx="1537">
                  <c:v>96.32</c:v>
                </c:pt>
                <c:pt idx="1538">
                  <c:v>95.63</c:v>
                </c:pt>
                <c:pt idx="1539">
                  <c:v>96.66</c:v>
                </c:pt>
                <c:pt idx="1540">
                  <c:v>96.52</c:v>
                </c:pt>
                <c:pt idx="1541">
                  <c:v>95.53</c:v>
                </c:pt>
                <c:pt idx="1542">
                  <c:v>94.92</c:v>
                </c:pt>
                <c:pt idx="1543">
                  <c:v>96.63</c:v>
                </c:pt>
                <c:pt idx="1544">
                  <c:v>94.91</c:v>
                </c:pt>
                <c:pt idx="1545">
                  <c:v>96.3</c:v>
                </c:pt>
                <c:pt idx="1546">
                  <c:v>96.27</c:v>
                </c:pt>
                <c:pt idx="1547">
                  <c:v>95.22</c:v>
                </c:pt>
                <c:pt idx="1548">
                  <c:v>95.34</c:v>
                </c:pt>
                <c:pt idx="1549">
                  <c:v>93.7</c:v>
                </c:pt>
                <c:pt idx="1550">
                  <c:v>95.51</c:v>
                </c:pt>
                <c:pt idx="1551">
                  <c:v>95.38</c:v>
                </c:pt>
                <c:pt idx="1552">
                  <c:v>94.69</c:v>
                </c:pt>
                <c:pt idx="1553">
                  <c:v>96.65</c:v>
                </c:pt>
                <c:pt idx="1554">
                  <c:v>98.02</c:v>
                </c:pt>
                <c:pt idx="1555">
                  <c:v>99.11</c:v>
                </c:pt>
                <c:pt idx="1556">
                  <c:v>90.98</c:v>
                </c:pt>
                <c:pt idx="1557">
                  <c:v>90.65</c:v>
                </c:pt>
                <c:pt idx="1558">
                  <c:v>90.11</c:v>
                </c:pt>
                <c:pt idx="1559">
                  <c:v>90.92</c:v>
                </c:pt>
                <c:pt idx="1560">
                  <c:v>90.3</c:v>
                </c:pt>
                <c:pt idx="1561">
                  <c:v>91.5</c:v>
                </c:pt>
                <c:pt idx="1562">
                  <c:v>90.25</c:v>
                </c:pt>
                <c:pt idx="1563">
                  <c:v>90.08</c:v>
                </c:pt>
                <c:pt idx="1564">
                  <c:v>90.16</c:v>
                </c:pt>
                <c:pt idx="1565">
                  <c:v>89.77</c:v>
                </c:pt>
                <c:pt idx="1566">
                  <c:v>89.07</c:v>
                </c:pt>
                <c:pt idx="1567">
                  <c:v>88.38</c:v>
                </c:pt>
                <c:pt idx="1568">
                  <c:v>87.23</c:v>
                </c:pt>
                <c:pt idx="1569">
                  <c:v>87.44</c:v>
                </c:pt>
                <c:pt idx="1570">
                  <c:v>87.79</c:v>
                </c:pt>
                <c:pt idx="1571">
                  <c:v>87.79</c:v>
                </c:pt>
                <c:pt idx="1572">
                  <c:v>85.51</c:v>
                </c:pt>
                <c:pt idx="1573">
                  <c:v>84.55</c:v>
                </c:pt>
                <c:pt idx="1574">
                  <c:v>83.83</c:v>
                </c:pt>
                <c:pt idx="1575">
                  <c:v>83.56</c:v>
                </c:pt>
                <c:pt idx="1576">
                  <c:v>83.38</c:v>
                </c:pt>
                <c:pt idx="1577">
                  <c:v>84.25</c:v>
                </c:pt>
                <c:pt idx="1578">
                  <c:v>83.65</c:v>
                </c:pt>
                <c:pt idx="1579">
                  <c:v>83.82</c:v>
                </c:pt>
                <c:pt idx="1580">
                  <c:v>84.69</c:v>
                </c:pt>
                <c:pt idx="1581">
                  <c:v>83.81</c:v>
                </c:pt>
                <c:pt idx="1582">
                  <c:v>82.92</c:v>
                </c:pt>
                <c:pt idx="1583">
                  <c:v>83.02</c:v>
                </c:pt>
                <c:pt idx="1584">
                  <c:v>84.24</c:v>
                </c:pt>
                <c:pt idx="1585">
                  <c:v>83.35</c:v>
                </c:pt>
                <c:pt idx="1586">
                  <c:v>82.93</c:v>
                </c:pt>
                <c:pt idx="1587">
                  <c:v>82.37</c:v>
                </c:pt>
                <c:pt idx="1588">
                  <c:v>81.93</c:v>
                </c:pt>
                <c:pt idx="1589">
                  <c:v>82.48</c:v>
                </c:pt>
                <c:pt idx="1590">
                  <c:v>81.400000000000006</c:v>
                </c:pt>
                <c:pt idx="1591">
                  <c:v>79.959999999999994</c:v>
                </c:pt>
                <c:pt idx="1592">
                  <c:v>78.52</c:v>
                </c:pt>
                <c:pt idx="1593">
                  <c:v>76.22</c:v>
                </c:pt>
                <c:pt idx="1594">
                  <c:v>76.06</c:v>
                </c:pt>
                <c:pt idx="1595">
                  <c:v>76.17</c:v>
                </c:pt>
                <c:pt idx="1596">
                  <c:v>75.28</c:v>
                </c:pt>
                <c:pt idx="1597">
                  <c:v>75.7</c:v>
                </c:pt>
                <c:pt idx="1598">
                  <c:v>76.150000000000006</c:v>
                </c:pt>
                <c:pt idx="1599">
                  <c:v>76.41</c:v>
                </c:pt>
                <c:pt idx="1600">
                  <c:v>77.25</c:v>
                </c:pt>
                <c:pt idx="1601">
                  <c:v>77.53</c:v>
                </c:pt>
                <c:pt idx="1602">
                  <c:v>76.66</c:v>
                </c:pt>
                <c:pt idx="1603">
                  <c:v>78.91</c:v>
                </c:pt>
                <c:pt idx="1604">
                  <c:v>78.900000000000006</c:v>
                </c:pt>
                <c:pt idx="1605">
                  <c:v>77.760000000000005</c:v>
                </c:pt>
                <c:pt idx="1606">
                  <c:v>77.06</c:v>
                </c:pt>
                <c:pt idx="1607">
                  <c:v>76.680000000000007</c:v>
                </c:pt>
                <c:pt idx="1608">
                  <c:v>78.42</c:v>
                </c:pt>
                <c:pt idx="1609">
                  <c:v>77.900000000000006</c:v>
                </c:pt>
                <c:pt idx="1610">
                  <c:v>78.05</c:v>
                </c:pt>
                <c:pt idx="1611">
                  <c:v>77.959999999999994</c:v>
                </c:pt>
                <c:pt idx="1612">
                  <c:v>78.06</c:v>
                </c:pt>
                <c:pt idx="1613">
                  <c:v>78.05</c:v>
                </c:pt>
                <c:pt idx="1614">
                  <c:v>77.47</c:v>
                </c:pt>
                <c:pt idx="1615">
                  <c:v>77.52</c:v>
                </c:pt>
                <c:pt idx="1616">
                  <c:v>77.680000000000007</c:v>
                </c:pt>
                <c:pt idx="1617">
                  <c:v>76.91</c:v>
                </c:pt>
                <c:pt idx="1618">
                  <c:v>77.45</c:v>
                </c:pt>
                <c:pt idx="1619">
                  <c:v>77.11</c:v>
                </c:pt>
                <c:pt idx="1620">
                  <c:v>76.39</c:v>
                </c:pt>
                <c:pt idx="1621">
                  <c:v>75.989999999999995</c:v>
                </c:pt>
                <c:pt idx="1622">
                  <c:v>75.400000000000006</c:v>
                </c:pt>
                <c:pt idx="1623">
                  <c:v>76.06</c:v>
                </c:pt>
                <c:pt idx="1624">
                  <c:v>75.12</c:v>
                </c:pt>
                <c:pt idx="1625">
                  <c:v>75.7</c:v>
                </c:pt>
                <c:pt idx="1626">
                  <c:v>76.16</c:v>
                </c:pt>
                <c:pt idx="1627">
                  <c:v>76.650000000000006</c:v>
                </c:pt>
                <c:pt idx="1628">
                  <c:v>75.87</c:v>
                </c:pt>
                <c:pt idx="1629">
                  <c:v>75.48</c:v>
                </c:pt>
                <c:pt idx="1630">
                  <c:v>75.12</c:v>
                </c:pt>
                <c:pt idx="1631">
                  <c:v>75.2</c:v>
                </c:pt>
                <c:pt idx="1632">
                  <c:v>75.03</c:v>
                </c:pt>
                <c:pt idx="1633">
                  <c:v>74.349999999999994</c:v>
                </c:pt>
                <c:pt idx="1634">
                  <c:v>74.33</c:v>
                </c:pt>
                <c:pt idx="1635">
                  <c:v>74.27</c:v>
                </c:pt>
                <c:pt idx="1636">
                  <c:v>73.959999999999994</c:v>
                </c:pt>
                <c:pt idx="1637">
                  <c:v>74.34</c:v>
                </c:pt>
                <c:pt idx="1638">
                  <c:v>73.959999999999994</c:v>
                </c:pt>
                <c:pt idx="1639">
                  <c:v>72.739999999999995</c:v>
                </c:pt>
                <c:pt idx="1640">
                  <c:v>72.959999999999994</c:v>
                </c:pt>
                <c:pt idx="1641">
                  <c:v>72.3</c:v>
                </c:pt>
                <c:pt idx="1642">
                  <c:v>71.959999999999994</c:v>
                </c:pt>
                <c:pt idx="1643">
                  <c:v>72.260000000000005</c:v>
                </c:pt>
                <c:pt idx="1644">
                  <c:v>71.63</c:v>
                </c:pt>
                <c:pt idx="1645">
                  <c:v>71.38</c:v>
                </c:pt>
                <c:pt idx="1646">
                  <c:v>70.84</c:v>
                </c:pt>
                <c:pt idx="1647">
                  <c:v>70.67</c:v>
                </c:pt>
                <c:pt idx="1648">
                  <c:v>70.739999999999995</c:v>
                </c:pt>
                <c:pt idx="1649">
                  <c:v>70.099999999999994</c:v>
                </c:pt>
                <c:pt idx="1650">
                  <c:v>70.05</c:v>
                </c:pt>
                <c:pt idx="1651">
                  <c:v>69.680000000000007</c:v>
                </c:pt>
                <c:pt idx="1652">
                  <c:v>69.36</c:v>
                </c:pt>
                <c:pt idx="1653">
                  <c:v>70.61</c:v>
                </c:pt>
                <c:pt idx="1654">
                  <c:v>71.27</c:v>
                </c:pt>
                <c:pt idx="1655">
                  <c:v>71.58</c:v>
                </c:pt>
                <c:pt idx="1656">
                  <c:v>70.95</c:v>
                </c:pt>
                <c:pt idx="1657">
                  <c:v>70.849999999999994</c:v>
                </c:pt>
                <c:pt idx="1658">
                  <c:v>70.260000000000005</c:v>
                </c:pt>
                <c:pt idx="1659">
                  <c:v>70.150000000000006</c:v>
                </c:pt>
                <c:pt idx="1660">
                  <c:v>71.14</c:v>
                </c:pt>
                <c:pt idx="1661">
                  <c:v>71.05</c:v>
                </c:pt>
                <c:pt idx="1662">
                  <c:v>71.3</c:v>
                </c:pt>
                <c:pt idx="1663">
                  <c:v>70.7</c:v>
                </c:pt>
                <c:pt idx="1664">
                  <c:v>70.39</c:v>
                </c:pt>
                <c:pt idx="1665">
                  <c:v>70.2</c:v>
                </c:pt>
                <c:pt idx="1666">
                  <c:v>70.709999999999994</c:v>
                </c:pt>
                <c:pt idx="1667">
                  <c:v>70.84</c:v>
                </c:pt>
                <c:pt idx="1668">
                  <c:v>70.510000000000005</c:v>
                </c:pt>
                <c:pt idx="1669">
                  <c:v>69.75</c:v>
                </c:pt>
                <c:pt idx="1670">
                  <c:v>69.989999999999995</c:v>
                </c:pt>
                <c:pt idx="1671">
                  <c:v>69.75</c:v>
                </c:pt>
                <c:pt idx="1672">
                  <c:v>69.14</c:v>
                </c:pt>
                <c:pt idx="1673">
                  <c:v>68.849999999999994</c:v>
                </c:pt>
                <c:pt idx="1674">
                  <c:v>69.34</c:v>
                </c:pt>
                <c:pt idx="1675">
                  <c:v>67.58</c:v>
                </c:pt>
                <c:pt idx="1676">
                  <c:v>68.11</c:v>
                </c:pt>
                <c:pt idx="1677">
                  <c:v>68.14</c:v>
                </c:pt>
                <c:pt idx="1678">
                  <c:v>68.150000000000006</c:v>
                </c:pt>
                <c:pt idx="1679">
                  <c:v>67.040000000000006</c:v>
                </c:pt>
                <c:pt idx="1680">
                  <c:v>66.900000000000006</c:v>
                </c:pt>
                <c:pt idx="1681">
                  <c:v>67.09</c:v>
                </c:pt>
                <c:pt idx="1682">
                  <c:v>64.739999999999995</c:v>
                </c:pt>
                <c:pt idx="1683">
                  <c:v>66.430000000000007</c:v>
                </c:pt>
                <c:pt idx="1684">
                  <c:v>65.39</c:v>
                </c:pt>
                <c:pt idx="1685">
                  <c:v>64.7</c:v>
                </c:pt>
                <c:pt idx="1686">
                  <c:v>64.28</c:v>
                </c:pt>
                <c:pt idx="1687">
                  <c:v>63.77</c:v>
                </c:pt>
                <c:pt idx="1688">
                  <c:v>64.08</c:v>
                </c:pt>
                <c:pt idx="1689">
                  <c:v>63.37</c:v>
                </c:pt>
                <c:pt idx="1690">
                  <c:v>63.73</c:v>
                </c:pt>
                <c:pt idx="1691">
                  <c:v>64.19</c:v>
                </c:pt>
                <c:pt idx="1692">
                  <c:v>63.88</c:v>
                </c:pt>
                <c:pt idx="1693">
                  <c:v>63.62</c:v>
                </c:pt>
                <c:pt idx="1694">
                  <c:v>63.57</c:v>
                </c:pt>
                <c:pt idx="1695">
                  <c:v>63.57</c:v>
                </c:pt>
                <c:pt idx="1696">
                  <c:v>61.53</c:v>
                </c:pt>
                <c:pt idx="1697">
                  <c:v>64.319999999999993</c:v>
                </c:pt>
                <c:pt idx="1698">
                  <c:v>64.400000000000006</c:v>
                </c:pt>
                <c:pt idx="1699">
                  <c:v>63.39</c:v>
                </c:pt>
                <c:pt idx="1700">
                  <c:v>63.2</c:v>
                </c:pt>
                <c:pt idx="1701">
                  <c:v>63.08</c:v>
                </c:pt>
                <c:pt idx="1702">
                  <c:v>60.56</c:v>
                </c:pt>
                <c:pt idx="1703">
                  <c:v>61.39</c:v>
                </c:pt>
                <c:pt idx="1704">
                  <c:v>62.15</c:v>
                </c:pt>
                <c:pt idx="1705">
                  <c:v>64.06</c:v>
                </c:pt>
                <c:pt idx="1706">
                  <c:v>64.92</c:v>
                </c:pt>
                <c:pt idx="1707">
                  <c:v>64.47</c:v>
                </c:pt>
                <c:pt idx="1708">
                  <c:v>65.34</c:v>
                </c:pt>
                <c:pt idx="1709">
                  <c:v>66.91</c:v>
                </c:pt>
                <c:pt idx="1710">
                  <c:v>66.13</c:v>
                </c:pt>
                <c:pt idx="1711">
                  <c:v>65.92</c:v>
                </c:pt>
                <c:pt idx="1712">
                  <c:v>65.489999999999995</c:v>
                </c:pt>
                <c:pt idx="1713">
                  <c:v>65.47</c:v>
                </c:pt>
                <c:pt idx="1714">
                  <c:v>66.55</c:v>
                </c:pt>
                <c:pt idx="1715">
                  <c:v>66.650000000000006</c:v>
                </c:pt>
                <c:pt idx="1716">
                  <c:v>67.5</c:v>
                </c:pt>
                <c:pt idx="1717">
                  <c:v>66.72</c:v>
                </c:pt>
                <c:pt idx="1718">
                  <c:v>66.88</c:v>
                </c:pt>
                <c:pt idx="1719">
                  <c:v>66.819999999999993</c:v>
                </c:pt>
                <c:pt idx="1720">
                  <c:v>66.08</c:v>
                </c:pt>
                <c:pt idx="1721">
                  <c:v>65.69</c:v>
                </c:pt>
                <c:pt idx="1722">
                  <c:v>65.7</c:v>
                </c:pt>
                <c:pt idx="1723">
                  <c:v>66.77</c:v>
                </c:pt>
                <c:pt idx="1724">
                  <c:v>67.180000000000007</c:v>
                </c:pt>
                <c:pt idx="1725">
                  <c:v>67.91</c:v>
                </c:pt>
                <c:pt idx="1726">
                  <c:v>68.16</c:v>
                </c:pt>
                <c:pt idx="1727">
                  <c:v>67.62</c:v>
                </c:pt>
                <c:pt idx="1728">
                  <c:v>67.040000000000006</c:v>
                </c:pt>
                <c:pt idx="1729">
                  <c:v>67.41</c:v>
                </c:pt>
                <c:pt idx="1730">
                  <c:v>67.91</c:v>
                </c:pt>
                <c:pt idx="1731">
                  <c:v>68.599999999999994</c:v>
                </c:pt>
                <c:pt idx="1732">
                  <c:v>68.72</c:v>
                </c:pt>
                <c:pt idx="1733">
                  <c:v>68.16</c:v>
                </c:pt>
                <c:pt idx="1734">
                  <c:v>66.010000000000005</c:v>
                </c:pt>
                <c:pt idx="1735">
                  <c:v>64.48</c:v>
                </c:pt>
                <c:pt idx="1736">
                  <c:v>64.319999999999993</c:v>
                </c:pt>
                <c:pt idx="1737">
                  <c:v>58.63</c:v>
                </c:pt>
                <c:pt idx="1738">
                  <c:v>58.27</c:v>
                </c:pt>
                <c:pt idx="1739">
                  <c:v>58.59</c:v>
                </c:pt>
                <c:pt idx="1740">
                  <c:v>58.37</c:v>
                </c:pt>
                <c:pt idx="1741">
                  <c:v>58.07</c:v>
                </c:pt>
                <c:pt idx="1742">
                  <c:v>58.96</c:v>
                </c:pt>
                <c:pt idx="1743">
                  <c:v>58.06</c:v>
                </c:pt>
                <c:pt idx="1744">
                  <c:v>58.81</c:v>
                </c:pt>
                <c:pt idx="1745">
                  <c:v>58.9</c:v>
                </c:pt>
                <c:pt idx="1746">
                  <c:v>58.66</c:v>
                </c:pt>
                <c:pt idx="1747">
                  <c:v>58.64</c:v>
                </c:pt>
                <c:pt idx="1748">
                  <c:v>59.1</c:v>
                </c:pt>
                <c:pt idx="1749">
                  <c:v>57.81</c:v>
                </c:pt>
                <c:pt idx="1750">
                  <c:v>56.75</c:v>
                </c:pt>
                <c:pt idx="1751">
                  <c:v>56.45</c:v>
                </c:pt>
                <c:pt idx="1752">
                  <c:v>54.86</c:v>
                </c:pt>
                <c:pt idx="1753">
                  <c:v>56.01</c:v>
                </c:pt>
                <c:pt idx="1754">
                  <c:v>57.71</c:v>
                </c:pt>
                <c:pt idx="1755">
                  <c:v>56.54</c:v>
                </c:pt>
                <c:pt idx="1756">
                  <c:v>55.76</c:v>
                </c:pt>
                <c:pt idx="1757">
                  <c:v>55.89</c:v>
                </c:pt>
                <c:pt idx="1758">
                  <c:v>55.47</c:v>
                </c:pt>
                <c:pt idx="1759">
                  <c:v>55.59</c:v>
                </c:pt>
                <c:pt idx="1760">
                  <c:v>55.58</c:v>
                </c:pt>
                <c:pt idx="1761">
                  <c:v>56.84</c:v>
                </c:pt>
                <c:pt idx="1762">
                  <c:v>57.34</c:v>
                </c:pt>
                <c:pt idx="1763">
                  <c:v>57.27</c:v>
                </c:pt>
                <c:pt idx="1764">
                  <c:v>56.9</c:v>
                </c:pt>
                <c:pt idx="1765">
                  <c:v>56.69</c:v>
                </c:pt>
                <c:pt idx="1766">
                  <c:v>57.45</c:v>
                </c:pt>
                <c:pt idx="1767">
                  <c:v>56.43</c:v>
                </c:pt>
                <c:pt idx="1768">
                  <c:v>55.43</c:v>
                </c:pt>
                <c:pt idx="1769">
                  <c:v>55.07</c:v>
                </c:pt>
                <c:pt idx="1770">
                  <c:v>54.57</c:v>
                </c:pt>
                <c:pt idx="1771">
                  <c:v>54.75</c:v>
                </c:pt>
                <c:pt idx="1772">
                  <c:v>54.89</c:v>
                </c:pt>
                <c:pt idx="1773">
                  <c:v>54.97</c:v>
                </c:pt>
                <c:pt idx="1774">
                  <c:v>55.12</c:v>
                </c:pt>
                <c:pt idx="1775">
                  <c:v>54.97</c:v>
                </c:pt>
                <c:pt idx="1776">
                  <c:v>54.86</c:v>
                </c:pt>
                <c:pt idx="1777">
                  <c:v>54.21</c:v>
                </c:pt>
                <c:pt idx="1778">
                  <c:v>53.79</c:v>
                </c:pt>
                <c:pt idx="1779">
                  <c:v>53.53</c:v>
                </c:pt>
                <c:pt idx="1780">
                  <c:v>53.45</c:v>
                </c:pt>
                <c:pt idx="1781">
                  <c:v>53.1</c:v>
                </c:pt>
                <c:pt idx="1782">
                  <c:v>53.25</c:v>
                </c:pt>
                <c:pt idx="1783">
                  <c:v>53.05</c:v>
                </c:pt>
                <c:pt idx="1784">
                  <c:v>52.97</c:v>
                </c:pt>
                <c:pt idx="1785">
                  <c:v>52.75</c:v>
                </c:pt>
                <c:pt idx="1786">
                  <c:v>52.66</c:v>
                </c:pt>
                <c:pt idx="1787">
                  <c:v>52.82</c:v>
                </c:pt>
                <c:pt idx="1788">
                  <c:v>54</c:v>
                </c:pt>
                <c:pt idx="1789">
                  <c:v>53.92</c:v>
                </c:pt>
                <c:pt idx="1790">
                  <c:v>53.56</c:v>
                </c:pt>
                <c:pt idx="1791">
                  <c:v>53.04</c:v>
                </c:pt>
                <c:pt idx="1792">
                  <c:v>52.75</c:v>
                </c:pt>
                <c:pt idx="1793">
                  <c:v>52.59</c:v>
                </c:pt>
                <c:pt idx="1794">
                  <c:v>51.81</c:v>
                </c:pt>
                <c:pt idx="1795">
                  <c:v>51.51</c:v>
                </c:pt>
                <c:pt idx="1796">
                  <c:v>51.92</c:v>
                </c:pt>
                <c:pt idx="1797">
                  <c:v>51.55</c:v>
                </c:pt>
                <c:pt idx="1798">
                  <c:v>52.07</c:v>
                </c:pt>
                <c:pt idx="1799">
                  <c:v>52.07</c:v>
                </c:pt>
                <c:pt idx="1800">
                  <c:v>52.23</c:v>
                </c:pt>
                <c:pt idx="1801">
                  <c:v>51.68</c:v>
                </c:pt>
                <c:pt idx="1802">
                  <c:v>51.93</c:v>
                </c:pt>
                <c:pt idx="1803">
                  <c:v>52.39</c:v>
                </c:pt>
                <c:pt idx="1804">
                  <c:v>51.9</c:v>
                </c:pt>
                <c:pt idx="1805">
                  <c:v>52.15</c:v>
                </c:pt>
                <c:pt idx="1806">
                  <c:v>51.45</c:v>
                </c:pt>
                <c:pt idx="1807">
                  <c:v>51.62</c:v>
                </c:pt>
                <c:pt idx="1808">
                  <c:v>51.17</c:v>
                </c:pt>
                <c:pt idx="1809">
                  <c:v>51.19</c:v>
                </c:pt>
                <c:pt idx="1810">
                  <c:v>50.91</c:v>
                </c:pt>
                <c:pt idx="1811">
                  <c:v>51.34</c:v>
                </c:pt>
                <c:pt idx="1812">
                  <c:v>51.15</c:v>
                </c:pt>
                <c:pt idx="1813">
                  <c:v>51.28</c:v>
                </c:pt>
                <c:pt idx="1814">
                  <c:v>50.94</c:v>
                </c:pt>
                <c:pt idx="1815">
                  <c:v>51.62</c:v>
                </c:pt>
                <c:pt idx="1816">
                  <c:v>50.25</c:v>
                </c:pt>
                <c:pt idx="1817">
                  <c:v>50.14</c:v>
                </c:pt>
                <c:pt idx="1818">
                  <c:v>50.42</c:v>
                </c:pt>
                <c:pt idx="1819">
                  <c:v>49.9</c:v>
                </c:pt>
                <c:pt idx="1820">
                  <c:v>48.98</c:v>
                </c:pt>
                <c:pt idx="1821">
                  <c:v>48.61</c:v>
                </c:pt>
                <c:pt idx="1822">
                  <c:v>48.77</c:v>
                </c:pt>
                <c:pt idx="1823">
                  <c:v>49.06</c:v>
                </c:pt>
                <c:pt idx="1824">
                  <c:v>48.85</c:v>
                </c:pt>
                <c:pt idx="1825">
                  <c:v>48.54</c:v>
                </c:pt>
                <c:pt idx="1826">
                  <c:v>49.84</c:v>
                </c:pt>
                <c:pt idx="1827">
                  <c:v>50.38</c:v>
                </c:pt>
                <c:pt idx="1828">
                  <c:v>50.66</c:v>
                </c:pt>
                <c:pt idx="1829">
                  <c:v>51.24</c:v>
                </c:pt>
                <c:pt idx="1830">
                  <c:v>50.62</c:v>
                </c:pt>
                <c:pt idx="1831">
                  <c:v>52.22</c:v>
                </c:pt>
                <c:pt idx="1832">
                  <c:v>57.43</c:v>
                </c:pt>
                <c:pt idx="1833">
                  <c:v>57.22</c:v>
                </c:pt>
                <c:pt idx="1834">
                  <c:v>57.11</c:v>
                </c:pt>
                <c:pt idx="1835">
                  <c:v>57.02</c:v>
                </c:pt>
                <c:pt idx="1836">
                  <c:v>56.21</c:v>
                </c:pt>
                <c:pt idx="1837">
                  <c:v>56.48</c:v>
                </c:pt>
                <c:pt idx="1838">
                  <c:v>56.48</c:v>
                </c:pt>
                <c:pt idx="1839">
                  <c:v>56.6</c:v>
                </c:pt>
                <c:pt idx="1840">
                  <c:v>57.14</c:v>
                </c:pt>
                <c:pt idx="1841">
                  <c:v>57.17</c:v>
                </c:pt>
                <c:pt idx="1842">
                  <c:v>55.68</c:v>
                </c:pt>
                <c:pt idx="1843">
                  <c:v>57.07</c:v>
                </c:pt>
                <c:pt idx="1844">
                  <c:v>56.91</c:v>
                </c:pt>
                <c:pt idx="1845">
                  <c:v>56.67</c:v>
                </c:pt>
                <c:pt idx="1846">
                  <c:v>57.48</c:v>
                </c:pt>
                <c:pt idx="1847">
                  <c:v>57.23</c:v>
                </c:pt>
                <c:pt idx="1848">
                  <c:v>57.92</c:v>
                </c:pt>
                <c:pt idx="1849">
                  <c:v>57.68</c:v>
                </c:pt>
                <c:pt idx="1850">
                  <c:v>57.49</c:v>
                </c:pt>
                <c:pt idx="1851">
                  <c:v>56.96</c:v>
                </c:pt>
                <c:pt idx="1852">
                  <c:v>57.34</c:v>
                </c:pt>
                <c:pt idx="1853">
                  <c:v>57.16</c:v>
                </c:pt>
                <c:pt idx="1854">
                  <c:v>57.2</c:v>
                </c:pt>
                <c:pt idx="1855">
                  <c:v>57.15</c:v>
                </c:pt>
                <c:pt idx="1856">
                  <c:v>56.64</c:v>
                </c:pt>
                <c:pt idx="1857">
                  <c:v>57.13</c:v>
                </c:pt>
                <c:pt idx="1858">
                  <c:v>57.27</c:v>
                </c:pt>
                <c:pt idx="1859">
                  <c:v>57.65</c:v>
                </c:pt>
                <c:pt idx="1860">
                  <c:v>57.04</c:v>
                </c:pt>
                <c:pt idx="1861">
                  <c:v>57.67</c:v>
                </c:pt>
                <c:pt idx="1862">
                  <c:v>57.45</c:v>
                </c:pt>
                <c:pt idx="1863">
                  <c:v>57.68</c:v>
                </c:pt>
                <c:pt idx="1864">
                  <c:v>56.13</c:v>
                </c:pt>
                <c:pt idx="1865">
                  <c:v>56.7</c:v>
                </c:pt>
                <c:pt idx="1866">
                  <c:v>58.13</c:v>
                </c:pt>
                <c:pt idx="1867">
                  <c:v>57.57</c:v>
                </c:pt>
                <c:pt idx="1868">
                  <c:v>58.36</c:v>
                </c:pt>
                <c:pt idx="1869">
                  <c:v>59.38</c:v>
                </c:pt>
                <c:pt idx="1870">
                  <c:v>57.71</c:v>
                </c:pt>
                <c:pt idx="1871">
                  <c:v>57.81</c:v>
                </c:pt>
                <c:pt idx="1872">
                  <c:v>58.16</c:v>
                </c:pt>
                <c:pt idx="1873">
                  <c:v>58</c:v>
                </c:pt>
                <c:pt idx="1874">
                  <c:v>59.22</c:v>
                </c:pt>
                <c:pt idx="1875">
                  <c:v>59.5</c:v>
                </c:pt>
                <c:pt idx="1876">
                  <c:v>59.83</c:v>
                </c:pt>
                <c:pt idx="1877">
                  <c:v>59.43</c:v>
                </c:pt>
                <c:pt idx="1878">
                  <c:v>59.24</c:v>
                </c:pt>
                <c:pt idx="1879">
                  <c:v>59.43</c:v>
                </c:pt>
                <c:pt idx="1880">
                  <c:v>59.42</c:v>
                </c:pt>
                <c:pt idx="1881">
                  <c:v>59.41</c:v>
                </c:pt>
                <c:pt idx="1882">
                  <c:v>58.7</c:v>
                </c:pt>
                <c:pt idx="1883">
                  <c:v>58.34</c:v>
                </c:pt>
                <c:pt idx="1884">
                  <c:v>59.14</c:v>
                </c:pt>
                <c:pt idx="1885">
                  <c:v>58.83</c:v>
                </c:pt>
                <c:pt idx="1886">
                  <c:v>58</c:v>
                </c:pt>
                <c:pt idx="1887">
                  <c:v>56.24</c:v>
                </c:pt>
                <c:pt idx="1888">
                  <c:v>57.89</c:v>
                </c:pt>
                <c:pt idx="1889">
                  <c:v>57.9</c:v>
                </c:pt>
                <c:pt idx="1890">
                  <c:v>57.46</c:v>
                </c:pt>
                <c:pt idx="1891">
                  <c:v>57.8</c:v>
                </c:pt>
                <c:pt idx="1892">
                  <c:v>56.31</c:v>
                </c:pt>
                <c:pt idx="1893">
                  <c:v>57.77</c:v>
                </c:pt>
                <c:pt idx="1894">
                  <c:v>58.47</c:v>
                </c:pt>
                <c:pt idx="1895">
                  <c:v>58.66</c:v>
                </c:pt>
                <c:pt idx="1896">
                  <c:v>58.3</c:v>
                </c:pt>
                <c:pt idx="1897">
                  <c:v>59</c:v>
                </c:pt>
                <c:pt idx="1898">
                  <c:v>59.37</c:v>
                </c:pt>
                <c:pt idx="1899">
                  <c:v>58.83</c:v>
                </c:pt>
                <c:pt idx="1900">
                  <c:v>59.05</c:v>
                </c:pt>
                <c:pt idx="1901">
                  <c:v>59.4</c:v>
                </c:pt>
                <c:pt idx="1902">
                  <c:v>58.46</c:v>
                </c:pt>
                <c:pt idx="1903">
                  <c:v>57.47</c:v>
                </c:pt>
                <c:pt idx="1904">
                  <c:v>57.03</c:v>
                </c:pt>
                <c:pt idx="1905">
                  <c:v>57.03</c:v>
                </c:pt>
                <c:pt idx="1906">
                  <c:v>56.99</c:v>
                </c:pt>
                <c:pt idx="1907">
                  <c:v>56.93</c:v>
                </c:pt>
                <c:pt idx="1908">
                  <c:v>56.17</c:v>
                </c:pt>
                <c:pt idx="1909">
                  <c:v>57.1</c:v>
                </c:pt>
                <c:pt idx="1910">
                  <c:v>56.57</c:v>
                </c:pt>
                <c:pt idx="1911">
                  <c:v>57.17</c:v>
                </c:pt>
                <c:pt idx="1912">
                  <c:v>56.14</c:v>
                </c:pt>
                <c:pt idx="1913">
                  <c:v>55.4</c:v>
                </c:pt>
                <c:pt idx="1914">
                  <c:v>56.1</c:v>
                </c:pt>
                <c:pt idx="1915">
                  <c:v>55.97</c:v>
                </c:pt>
                <c:pt idx="1916">
                  <c:v>56.48</c:v>
                </c:pt>
                <c:pt idx="1917">
                  <c:v>56.58</c:v>
                </c:pt>
                <c:pt idx="1918">
                  <c:v>55.99</c:v>
                </c:pt>
                <c:pt idx="1919">
                  <c:v>55.67</c:v>
                </c:pt>
                <c:pt idx="1920">
                  <c:v>55.38</c:v>
                </c:pt>
                <c:pt idx="1921">
                  <c:v>54.58</c:v>
                </c:pt>
                <c:pt idx="1922">
                  <c:v>53.77</c:v>
                </c:pt>
                <c:pt idx="1923">
                  <c:v>54.46</c:v>
                </c:pt>
                <c:pt idx="1924">
                  <c:v>55.61</c:v>
                </c:pt>
                <c:pt idx="1925">
                  <c:v>54.69</c:v>
                </c:pt>
                <c:pt idx="1926">
                  <c:v>55.77</c:v>
                </c:pt>
                <c:pt idx="1927">
                  <c:v>56</c:v>
                </c:pt>
                <c:pt idx="1928">
                  <c:v>56.81</c:v>
                </c:pt>
                <c:pt idx="1929">
                  <c:v>57.19</c:v>
                </c:pt>
                <c:pt idx="1930">
                  <c:v>57.02</c:v>
                </c:pt>
                <c:pt idx="1931">
                  <c:v>57.99</c:v>
                </c:pt>
                <c:pt idx="1932">
                  <c:v>60.55</c:v>
                </c:pt>
                <c:pt idx="1933">
                  <c:v>60.83</c:v>
                </c:pt>
                <c:pt idx="1934">
                  <c:v>61.69</c:v>
                </c:pt>
                <c:pt idx="1935">
                  <c:v>61.41</c:v>
                </c:pt>
                <c:pt idx="1936">
                  <c:v>61.26</c:v>
                </c:pt>
                <c:pt idx="1937">
                  <c:v>61.09</c:v>
                </c:pt>
                <c:pt idx="1938">
                  <c:v>60.66</c:v>
                </c:pt>
                <c:pt idx="1939">
                  <c:v>60.56</c:v>
                </c:pt>
                <c:pt idx="1940">
                  <c:v>60.4</c:v>
                </c:pt>
                <c:pt idx="1941">
                  <c:v>60</c:v>
                </c:pt>
                <c:pt idx="1942">
                  <c:v>59.82</c:v>
                </c:pt>
                <c:pt idx="1943">
                  <c:v>59.18</c:v>
                </c:pt>
                <c:pt idx="1944">
                  <c:v>59.31</c:v>
                </c:pt>
                <c:pt idx="1945">
                  <c:v>59.61</c:v>
                </c:pt>
                <c:pt idx="1946">
                  <c:v>58.93</c:v>
                </c:pt>
                <c:pt idx="1947">
                  <c:v>58.71</c:v>
                </c:pt>
                <c:pt idx="1948">
                  <c:v>57.63</c:v>
                </c:pt>
                <c:pt idx="1949">
                  <c:v>57.43</c:v>
                </c:pt>
                <c:pt idx="1950">
                  <c:v>57.81</c:v>
                </c:pt>
                <c:pt idx="1951">
                  <c:v>57.27</c:v>
                </c:pt>
                <c:pt idx="1952">
                  <c:v>57.14</c:v>
                </c:pt>
                <c:pt idx="1953">
                  <c:v>57.3</c:v>
                </c:pt>
                <c:pt idx="1954">
                  <c:v>57.58</c:v>
                </c:pt>
                <c:pt idx="1955">
                  <c:v>57.73</c:v>
                </c:pt>
                <c:pt idx="1956">
                  <c:v>58.01</c:v>
                </c:pt>
                <c:pt idx="1957">
                  <c:v>58.03</c:v>
                </c:pt>
                <c:pt idx="1958">
                  <c:v>58.29</c:v>
                </c:pt>
                <c:pt idx="1959">
                  <c:v>59.7</c:v>
                </c:pt>
                <c:pt idx="1960">
                  <c:v>59.49</c:v>
                </c:pt>
                <c:pt idx="1961">
                  <c:v>59.27</c:v>
                </c:pt>
                <c:pt idx="1962">
                  <c:v>59.07</c:v>
                </c:pt>
                <c:pt idx="1963">
                  <c:v>58.61</c:v>
                </c:pt>
                <c:pt idx="1964">
                  <c:v>59.14</c:v>
                </c:pt>
                <c:pt idx="1965">
                  <c:v>59.28</c:v>
                </c:pt>
                <c:pt idx="1966">
                  <c:v>59.34</c:v>
                </c:pt>
                <c:pt idx="1967">
                  <c:v>58.76</c:v>
                </c:pt>
                <c:pt idx="1968">
                  <c:v>57.32</c:v>
                </c:pt>
                <c:pt idx="1969">
                  <c:v>57.82</c:v>
                </c:pt>
                <c:pt idx="1970">
                  <c:v>57.51</c:v>
                </c:pt>
                <c:pt idx="1971">
                  <c:v>56.66</c:v>
                </c:pt>
                <c:pt idx="1972">
                  <c:v>55.91</c:v>
                </c:pt>
                <c:pt idx="1973">
                  <c:v>56.8</c:v>
                </c:pt>
                <c:pt idx="1974">
                  <c:v>57.14</c:v>
                </c:pt>
                <c:pt idx="1975">
                  <c:v>57.26</c:v>
                </c:pt>
                <c:pt idx="1976">
                  <c:v>56.81</c:v>
                </c:pt>
                <c:pt idx="1977">
                  <c:v>56.93</c:v>
                </c:pt>
                <c:pt idx="1978">
                  <c:v>57.24</c:v>
                </c:pt>
                <c:pt idx="1979">
                  <c:v>56.7</c:v>
                </c:pt>
                <c:pt idx="1980">
                  <c:v>56.93</c:v>
                </c:pt>
                <c:pt idx="1981">
                  <c:v>56.64</c:v>
                </c:pt>
                <c:pt idx="1982">
                  <c:v>57.04</c:v>
                </c:pt>
                <c:pt idx="1983">
                  <c:v>57.36</c:v>
                </c:pt>
                <c:pt idx="1984">
                  <c:v>57.91</c:v>
                </c:pt>
                <c:pt idx="1985">
                  <c:v>57.22</c:v>
                </c:pt>
                <c:pt idx="1986">
                  <c:v>56.57</c:v>
                </c:pt>
                <c:pt idx="1987">
                  <c:v>56.03</c:v>
                </c:pt>
                <c:pt idx="1988">
                  <c:v>54.87</c:v>
                </c:pt>
                <c:pt idx="1989">
                  <c:v>55.13</c:v>
                </c:pt>
                <c:pt idx="1990">
                  <c:v>54.84</c:v>
                </c:pt>
                <c:pt idx="1991">
                  <c:v>55.17</c:v>
                </c:pt>
                <c:pt idx="1992">
                  <c:v>54.88</c:v>
                </c:pt>
                <c:pt idx="1993">
                  <c:v>54.91</c:v>
                </c:pt>
                <c:pt idx="1994">
                  <c:v>54.16</c:v>
                </c:pt>
                <c:pt idx="1995">
                  <c:v>54.28</c:v>
                </c:pt>
                <c:pt idx="1996">
                  <c:v>54.27</c:v>
                </c:pt>
                <c:pt idx="1997">
                  <c:v>54.57</c:v>
                </c:pt>
                <c:pt idx="1998">
                  <c:v>55.4</c:v>
                </c:pt>
                <c:pt idx="1999">
                  <c:v>55.21</c:v>
                </c:pt>
                <c:pt idx="2000">
                  <c:v>54.51</c:v>
                </c:pt>
                <c:pt idx="2001">
                  <c:v>54.91</c:v>
                </c:pt>
                <c:pt idx="2002">
                  <c:v>55.72</c:v>
                </c:pt>
                <c:pt idx="2003">
                  <c:v>55.97</c:v>
                </c:pt>
                <c:pt idx="2004">
                  <c:v>55.64</c:v>
                </c:pt>
                <c:pt idx="2005">
                  <c:v>55.42</c:v>
                </c:pt>
                <c:pt idx="2006">
                  <c:v>55.02</c:v>
                </c:pt>
                <c:pt idx="2007">
                  <c:v>55.17</c:v>
                </c:pt>
                <c:pt idx="2008">
                  <c:v>54.6</c:v>
                </c:pt>
                <c:pt idx="2009">
                  <c:v>53.93</c:v>
                </c:pt>
                <c:pt idx="2010">
                  <c:v>53.99</c:v>
                </c:pt>
                <c:pt idx="2011">
                  <c:v>53.81</c:v>
                </c:pt>
                <c:pt idx="2012">
                  <c:v>53.71</c:v>
                </c:pt>
                <c:pt idx="2013">
                  <c:v>54.5</c:v>
                </c:pt>
                <c:pt idx="2014">
                  <c:v>54.99</c:v>
                </c:pt>
                <c:pt idx="2015">
                  <c:v>55.13</c:v>
                </c:pt>
                <c:pt idx="2016">
                  <c:v>54.95</c:v>
                </c:pt>
                <c:pt idx="2017">
                  <c:v>55.09</c:v>
                </c:pt>
                <c:pt idx="2018">
                  <c:v>55.01</c:v>
                </c:pt>
                <c:pt idx="2019">
                  <c:v>55.15</c:v>
                </c:pt>
                <c:pt idx="2020">
                  <c:v>54.62</c:v>
                </c:pt>
                <c:pt idx="2021">
                  <c:v>54.69</c:v>
                </c:pt>
                <c:pt idx="2022">
                  <c:v>54.67</c:v>
                </c:pt>
                <c:pt idx="2023">
                  <c:v>54.53</c:v>
                </c:pt>
                <c:pt idx="2024">
                  <c:v>54.29</c:v>
                </c:pt>
                <c:pt idx="2025">
                  <c:v>53.54</c:v>
                </c:pt>
                <c:pt idx="2026">
                  <c:v>54.02</c:v>
                </c:pt>
                <c:pt idx="2027">
                  <c:v>53.49</c:v>
                </c:pt>
                <c:pt idx="2028">
                  <c:v>53.47</c:v>
                </c:pt>
                <c:pt idx="2029">
                  <c:v>54.31</c:v>
                </c:pt>
                <c:pt idx="2030">
                  <c:v>55.13</c:v>
                </c:pt>
                <c:pt idx="2031">
                  <c:v>54.93</c:v>
                </c:pt>
                <c:pt idx="2032">
                  <c:v>54.86</c:v>
                </c:pt>
                <c:pt idx="2033">
                  <c:v>54.52</c:v>
                </c:pt>
                <c:pt idx="2034">
                  <c:v>54.1</c:v>
                </c:pt>
                <c:pt idx="2035">
                  <c:v>54.4</c:v>
                </c:pt>
                <c:pt idx="2036">
                  <c:v>54.36</c:v>
                </c:pt>
                <c:pt idx="2037">
                  <c:v>53.94</c:v>
                </c:pt>
                <c:pt idx="2038">
                  <c:v>54.08</c:v>
                </c:pt>
                <c:pt idx="2039">
                  <c:v>54.45</c:v>
                </c:pt>
                <c:pt idx="2040">
                  <c:v>53.15</c:v>
                </c:pt>
                <c:pt idx="2041">
                  <c:v>52.7</c:v>
                </c:pt>
                <c:pt idx="2042">
                  <c:v>53.04</c:v>
                </c:pt>
                <c:pt idx="2043">
                  <c:v>53.5</c:v>
                </c:pt>
                <c:pt idx="2044">
                  <c:v>53.15</c:v>
                </c:pt>
                <c:pt idx="2045">
                  <c:v>53.22</c:v>
                </c:pt>
                <c:pt idx="2046">
                  <c:v>53.18</c:v>
                </c:pt>
                <c:pt idx="2047">
                  <c:v>53.07</c:v>
                </c:pt>
                <c:pt idx="2048">
                  <c:v>53.74</c:v>
                </c:pt>
                <c:pt idx="2049">
                  <c:v>54.52</c:v>
                </c:pt>
                <c:pt idx="2050">
                  <c:v>55.63</c:v>
                </c:pt>
                <c:pt idx="2051">
                  <c:v>55.44</c:v>
                </c:pt>
                <c:pt idx="2052">
                  <c:v>55.68</c:v>
                </c:pt>
                <c:pt idx="2053">
                  <c:v>55.43</c:v>
                </c:pt>
                <c:pt idx="2054">
                  <c:v>54.73</c:v>
                </c:pt>
                <c:pt idx="2055">
                  <c:v>53.98</c:v>
                </c:pt>
                <c:pt idx="2056">
                  <c:v>54</c:v>
                </c:pt>
                <c:pt idx="2057">
                  <c:v>59.5</c:v>
                </c:pt>
                <c:pt idx="2058">
                  <c:v>57.94</c:v>
                </c:pt>
                <c:pt idx="2059">
                  <c:v>58.55</c:v>
                </c:pt>
                <c:pt idx="2060">
                  <c:v>58.02</c:v>
                </c:pt>
                <c:pt idx="2061">
                  <c:v>57.98</c:v>
                </c:pt>
                <c:pt idx="2062">
                  <c:v>58.03</c:v>
                </c:pt>
                <c:pt idx="2063">
                  <c:v>58.11</c:v>
                </c:pt>
                <c:pt idx="2064">
                  <c:v>58.21</c:v>
                </c:pt>
                <c:pt idx="2065">
                  <c:v>58.33</c:v>
                </c:pt>
                <c:pt idx="2066">
                  <c:v>58.76</c:v>
                </c:pt>
                <c:pt idx="2067">
                  <c:v>58.38</c:v>
                </c:pt>
                <c:pt idx="2068">
                  <c:v>58.54</c:v>
                </c:pt>
                <c:pt idx="2069">
                  <c:v>57.9</c:v>
                </c:pt>
                <c:pt idx="2070">
                  <c:v>57.81</c:v>
                </c:pt>
                <c:pt idx="2071">
                  <c:v>58.04</c:v>
                </c:pt>
                <c:pt idx="2072">
                  <c:v>57.6</c:v>
                </c:pt>
                <c:pt idx="2073">
                  <c:v>57.94</c:v>
                </c:pt>
                <c:pt idx="2074">
                  <c:v>58.25</c:v>
                </c:pt>
                <c:pt idx="2075">
                  <c:v>58.31</c:v>
                </c:pt>
                <c:pt idx="2076">
                  <c:v>58.36</c:v>
                </c:pt>
                <c:pt idx="2077">
                  <c:v>59.18</c:v>
                </c:pt>
                <c:pt idx="2078">
                  <c:v>58.96</c:v>
                </c:pt>
                <c:pt idx="2079">
                  <c:v>59.64</c:v>
                </c:pt>
                <c:pt idx="2080">
                  <c:v>59.81</c:v>
                </c:pt>
                <c:pt idx="2081">
                  <c:v>59.51</c:v>
                </c:pt>
                <c:pt idx="2082">
                  <c:v>59.96</c:v>
                </c:pt>
                <c:pt idx="2083">
                  <c:v>59.86</c:v>
                </c:pt>
                <c:pt idx="2084">
                  <c:v>60.9</c:v>
                </c:pt>
                <c:pt idx="2085">
                  <c:v>60.14</c:v>
                </c:pt>
                <c:pt idx="2086">
                  <c:v>60.09</c:v>
                </c:pt>
                <c:pt idx="2087">
                  <c:v>60.27</c:v>
                </c:pt>
                <c:pt idx="2088">
                  <c:v>60.92</c:v>
                </c:pt>
                <c:pt idx="2089">
                  <c:v>61.29</c:v>
                </c:pt>
                <c:pt idx="2090">
                  <c:v>62.19</c:v>
                </c:pt>
                <c:pt idx="2091">
                  <c:v>62.24</c:v>
                </c:pt>
                <c:pt idx="2092">
                  <c:v>63.5</c:v>
                </c:pt>
                <c:pt idx="2093">
                  <c:v>64.16</c:v>
                </c:pt>
                <c:pt idx="2094">
                  <c:v>64.27</c:v>
                </c:pt>
                <c:pt idx="2095">
                  <c:v>64.569999999999993</c:v>
                </c:pt>
                <c:pt idx="2096">
                  <c:v>63.75</c:v>
                </c:pt>
                <c:pt idx="2097">
                  <c:v>63.61</c:v>
                </c:pt>
                <c:pt idx="2098">
                  <c:v>63.26</c:v>
                </c:pt>
                <c:pt idx="2099">
                  <c:v>63.3</c:v>
                </c:pt>
                <c:pt idx="2100">
                  <c:v>62.9</c:v>
                </c:pt>
                <c:pt idx="2101">
                  <c:v>61.89</c:v>
                </c:pt>
                <c:pt idx="2102">
                  <c:v>61.15</c:v>
                </c:pt>
                <c:pt idx="2103">
                  <c:v>61.23</c:v>
                </c:pt>
                <c:pt idx="2104">
                  <c:v>61.36</c:v>
                </c:pt>
                <c:pt idx="2105">
                  <c:v>59.82</c:v>
                </c:pt>
                <c:pt idx="2106">
                  <c:v>59.73</c:v>
                </c:pt>
                <c:pt idx="2107">
                  <c:v>59.98</c:v>
                </c:pt>
                <c:pt idx="2108">
                  <c:v>60.45</c:v>
                </c:pt>
                <c:pt idx="2109">
                  <c:v>59.93</c:v>
                </c:pt>
                <c:pt idx="2110">
                  <c:v>60.27</c:v>
                </c:pt>
                <c:pt idx="2111">
                  <c:v>60.66</c:v>
                </c:pt>
                <c:pt idx="2112">
                  <c:v>60.98</c:v>
                </c:pt>
                <c:pt idx="2113">
                  <c:v>60.94</c:v>
                </c:pt>
                <c:pt idx="2114">
                  <c:v>60.95</c:v>
                </c:pt>
                <c:pt idx="2115">
                  <c:v>60.83</c:v>
                </c:pt>
                <c:pt idx="2116">
                  <c:v>60.59</c:v>
                </c:pt>
                <c:pt idx="2117">
                  <c:v>60.5</c:v>
                </c:pt>
                <c:pt idx="2118">
                  <c:v>60.18</c:v>
                </c:pt>
                <c:pt idx="2119">
                  <c:v>60.06</c:v>
                </c:pt>
                <c:pt idx="2120">
                  <c:v>61.3</c:v>
                </c:pt>
                <c:pt idx="2121">
                  <c:v>61.56</c:v>
                </c:pt>
                <c:pt idx="2122">
                  <c:v>60.96</c:v>
                </c:pt>
                <c:pt idx="2123">
                  <c:v>61.11</c:v>
                </c:pt>
                <c:pt idx="2124">
                  <c:v>60.61</c:v>
                </c:pt>
                <c:pt idx="2125">
                  <c:v>60.08</c:v>
                </c:pt>
                <c:pt idx="2126">
                  <c:v>59.04</c:v>
                </c:pt>
                <c:pt idx="2127">
                  <c:v>58.35</c:v>
                </c:pt>
                <c:pt idx="2128">
                  <c:v>58.08</c:v>
                </c:pt>
                <c:pt idx="2129">
                  <c:v>57.51</c:v>
                </c:pt>
                <c:pt idx="2130">
                  <c:v>57.58</c:v>
                </c:pt>
                <c:pt idx="2131">
                  <c:v>57.88</c:v>
                </c:pt>
                <c:pt idx="2132">
                  <c:v>57.95</c:v>
                </c:pt>
                <c:pt idx="2133">
                  <c:v>58.02</c:v>
                </c:pt>
                <c:pt idx="2134">
                  <c:v>57.92</c:v>
                </c:pt>
                <c:pt idx="2135">
                  <c:v>58.22</c:v>
                </c:pt>
                <c:pt idx="2136">
                  <c:v>58.32</c:v>
                </c:pt>
                <c:pt idx="2137">
                  <c:v>58.44</c:v>
                </c:pt>
                <c:pt idx="2138">
                  <c:v>58.39</c:v>
                </c:pt>
                <c:pt idx="2139">
                  <c:v>58.16</c:v>
                </c:pt>
                <c:pt idx="2140">
                  <c:v>57.54</c:v>
                </c:pt>
                <c:pt idx="2141">
                  <c:v>57.35</c:v>
                </c:pt>
                <c:pt idx="2142">
                  <c:v>57.23</c:v>
                </c:pt>
                <c:pt idx="2143">
                  <c:v>56.81</c:v>
                </c:pt>
                <c:pt idx="2144">
                  <c:v>55.85</c:v>
                </c:pt>
                <c:pt idx="2145">
                  <c:v>55.89</c:v>
                </c:pt>
                <c:pt idx="2146">
                  <c:v>55.54</c:v>
                </c:pt>
                <c:pt idx="2147">
                  <c:v>55.81</c:v>
                </c:pt>
                <c:pt idx="2148">
                  <c:v>55.78</c:v>
                </c:pt>
                <c:pt idx="2149">
                  <c:v>54.8</c:v>
                </c:pt>
                <c:pt idx="2150">
                  <c:v>54.54</c:v>
                </c:pt>
                <c:pt idx="2151">
                  <c:v>54.27</c:v>
                </c:pt>
                <c:pt idx="2152">
                  <c:v>54.63</c:v>
                </c:pt>
                <c:pt idx="2153">
                  <c:v>54.53</c:v>
                </c:pt>
                <c:pt idx="2154">
                  <c:v>55.19</c:v>
                </c:pt>
                <c:pt idx="2155">
                  <c:v>55.74</c:v>
                </c:pt>
                <c:pt idx="2156">
                  <c:v>56.2</c:v>
                </c:pt>
                <c:pt idx="2157">
                  <c:v>56.68</c:v>
                </c:pt>
                <c:pt idx="2158">
                  <c:v>57.1</c:v>
                </c:pt>
                <c:pt idx="2159">
                  <c:v>57.12</c:v>
                </c:pt>
                <c:pt idx="2160">
                  <c:v>57.14</c:v>
                </c:pt>
                <c:pt idx="2161">
                  <c:v>56.87</c:v>
                </c:pt>
                <c:pt idx="2162">
                  <c:v>56.78</c:v>
                </c:pt>
                <c:pt idx="2163">
                  <c:v>57.48</c:v>
                </c:pt>
                <c:pt idx="2164">
                  <c:v>57.64</c:v>
                </c:pt>
                <c:pt idx="2165">
                  <c:v>57.57</c:v>
                </c:pt>
                <c:pt idx="2166">
                  <c:v>57.54</c:v>
                </c:pt>
                <c:pt idx="2167">
                  <c:v>57.35</c:v>
                </c:pt>
                <c:pt idx="2168">
                  <c:v>56.73</c:v>
                </c:pt>
                <c:pt idx="2169">
                  <c:v>56.86</c:v>
                </c:pt>
                <c:pt idx="2170">
                  <c:v>56.58</c:v>
                </c:pt>
                <c:pt idx="2171">
                  <c:v>56.11</c:v>
                </c:pt>
                <c:pt idx="2172">
                  <c:v>56.22</c:v>
                </c:pt>
                <c:pt idx="2173">
                  <c:v>55.81</c:v>
                </c:pt>
                <c:pt idx="2174">
                  <c:v>55.22</c:v>
                </c:pt>
                <c:pt idx="2175">
                  <c:v>55.24</c:v>
                </c:pt>
                <c:pt idx="2176">
                  <c:v>55.73</c:v>
                </c:pt>
                <c:pt idx="2177">
                  <c:v>55.06</c:v>
                </c:pt>
                <c:pt idx="2178">
                  <c:v>53.87</c:v>
                </c:pt>
                <c:pt idx="2179">
                  <c:v>53.9</c:v>
                </c:pt>
                <c:pt idx="2180">
                  <c:v>55.22</c:v>
                </c:pt>
                <c:pt idx="2181">
                  <c:v>55.9</c:v>
                </c:pt>
                <c:pt idx="2182">
                  <c:v>56.12</c:v>
                </c:pt>
                <c:pt idx="2183">
                  <c:v>58.46</c:v>
                </c:pt>
                <c:pt idx="2184">
                  <c:v>58.7</c:v>
                </c:pt>
                <c:pt idx="2185">
                  <c:v>58.44</c:v>
                </c:pt>
                <c:pt idx="2186">
                  <c:v>57.76</c:v>
                </c:pt>
                <c:pt idx="2187">
                  <c:v>57.66</c:v>
                </c:pt>
                <c:pt idx="2188">
                  <c:v>57.89</c:v>
                </c:pt>
                <c:pt idx="2189">
                  <c:v>58.45</c:v>
                </c:pt>
                <c:pt idx="2190">
                  <c:v>58</c:v>
                </c:pt>
                <c:pt idx="2191">
                  <c:v>57.85</c:v>
                </c:pt>
                <c:pt idx="2192">
                  <c:v>58.03</c:v>
                </c:pt>
                <c:pt idx="2193">
                  <c:v>58.1</c:v>
                </c:pt>
                <c:pt idx="2194">
                  <c:v>57.88</c:v>
                </c:pt>
                <c:pt idx="2195">
                  <c:v>58.2</c:v>
                </c:pt>
                <c:pt idx="2196">
                  <c:v>57.13</c:v>
                </c:pt>
                <c:pt idx="2197">
                  <c:v>56.46</c:v>
                </c:pt>
                <c:pt idx="2198">
                  <c:v>55.99</c:v>
                </c:pt>
                <c:pt idx="2199">
                  <c:v>55.35</c:v>
                </c:pt>
                <c:pt idx="2200">
                  <c:v>55.52</c:v>
                </c:pt>
                <c:pt idx="2201">
                  <c:v>56.32</c:v>
                </c:pt>
                <c:pt idx="2202">
                  <c:v>56.35</c:v>
                </c:pt>
                <c:pt idx="2203">
                  <c:v>56.86</c:v>
                </c:pt>
                <c:pt idx="2204">
                  <c:v>57.01</c:v>
                </c:pt>
                <c:pt idx="2205">
                  <c:v>57.11</c:v>
                </c:pt>
                <c:pt idx="2206">
                  <c:v>57.44</c:v>
                </c:pt>
                <c:pt idx="2207">
                  <c:v>57.7</c:v>
                </c:pt>
                <c:pt idx="2208">
                  <c:v>57.65</c:v>
                </c:pt>
                <c:pt idx="2209">
                  <c:v>57.66</c:v>
                </c:pt>
                <c:pt idx="2210">
                  <c:v>57.71</c:v>
                </c:pt>
                <c:pt idx="2211">
                  <c:v>58.75</c:v>
                </c:pt>
                <c:pt idx="2212">
                  <c:v>59.31</c:v>
                </c:pt>
                <c:pt idx="2213">
                  <c:v>58.77</c:v>
                </c:pt>
                <c:pt idx="2214">
                  <c:v>58.75</c:v>
                </c:pt>
                <c:pt idx="2215">
                  <c:v>58.65</c:v>
                </c:pt>
                <c:pt idx="2216">
                  <c:v>58.76</c:v>
                </c:pt>
                <c:pt idx="2217">
                  <c:v>57.44</c:v>
                </c:pt>
                <c:pt idx="2218">
                  <c:v>57.5</c:v>
                </c:pt>
                <c:pt idx="2219">
                  <c:v>57.21</c:v>
                </c:pt>
                <c:pt idx="2220">
                  <c:v>58.51</c:v>
                </c:pt>
                <c:pt idx="2221">
                  <c:v>57.97</c:v>
                </c:pt>
                <c:pt idx="2222">
                  <c:v>58.17</c:v>
                </c:pt>
                <c:pt idx="2223">
                  <c:v>57.59</c:v>
                </c:pt>
                <c:pt idx="2224">
                  <c:v>57.43</c:v>
                </c:pt>
                <c:pt idx="2225">
                  <c:v>57.59</c:v>
                </c:pt>
                <c:pt idx="2226">
                  <c:v>57.12</c:v>
                </c:pt>
                <c:pt idx="2227">
                  <c:v>56.1</c:v>
                </c:pt>
                <c:pt idx="2228">
                  <c:v>55.77</c:v>
                </c:pt>
                <c:pt idx="2229">
                  <c:v>55.85</c:v>
                </c:pt>
                <c:pt idx="2230">
                  <c:v>55.44</c:v>
                </c:pt>
                <c:pt idx="2231">
                  <c:v>54.59</c:v>
                </c:pt>
                <c:pt idx="2232">
                  <c:v>54.22</c:v>
                </c:pt>
                <c:pt idx="2233">
                  <c:v>53.93</c:v>
                </c:pt>
                <c:pt idx="2234">
                  <c:v>53.57</c:v>
                </c:pt>
                <c:pt idx="2235">
                  <c:v>54.58</c:v>
                </c:pt>
                <c:pt idx="2236">
                  <c:v>54.62</c:v>
                </c:pt>
                <c:pt idx="2237">
                  <c:v>54.49</c:v>
                </c:pt>
                <c:pt idx="2238">
                  <c:v>52.75</c:v>
                </c:pt>
                <c:pt idx="2239">
                  <c:v>51.77</c:v>
                </c:pt>
                <c:pt idx="2240">
                  <c:v>52.98</c:v>
                </c:pt>
                <c:pt idx="2241">
                  <c:v>52.5</c:v>
                </c:pt>
                <c:pt idx="2242">
                  <c:v>53.07</c:v>
                </c:pt>
                <c:pt idx="2243">
                  <c:v>53.53</c:v>
                </c:pt>
                <c:pt idx="2244">
                  <c:v>53.59</c:v>
                </c:pt>
                <c:pt idx="2245">
                  <c:v>53.63</c:v>
                </c:pt>
                <c:pt idx="2246">
                  <c:v>53.67</c:v>
                </c:pt>
                <c:pt idx="2247">
                  <c:v>54.18</c:v>
                </c:pt>
                <c:pt idx="2248">
                  <c:v>53.63</c:v>
                </c:pt>
                <c:pt idx="2249">
                  <c:v>53.59</c:v>
                </c:pt>
                <c:pt idx="2250">
                  <c:v>53.15</c:v>
                </c:pt>
                <c:pt idx="2251">
                  <c:v>52.61</c:v>
                </c:pt>
                <c:pt idx="2252">
                  <c:v>52.76</c:v>
                </c:pt>
                <c:pt idx="2253">
                  <c:v>53.08</c:v>
                </c:pt>
                <c:pt idx="2254">
                  <c:v>52.95</c:v>
                </c:pt>
                <c:pt idx="2255">
                  <c:v>53.16</c:v>
                </c:pt>
                <c:pt idx="2256">
                  <c:v>52.92</c:v>
                </c:pt>
                <c:pt idx="2257">
                  <c:v>53.3</c:v>
                </c:pt>
                <c:pt idx="2258">
                  <c:v>53.46</c:v>
                </c:pt>
                <c:pt idx="2259">
                  <c:v>53.14</c:v>
                </c:pt>
                <c:pt idx="2260">
                  <c:v>53.35</c:v>
                </c:pt>
                <c:pt idx="2261">
                  <c:v>53.53</c:v>
                </c:pt>
                <c:pt idx="2262">
                  <c:v>53.84</c:v>
                </c:pt>
                <c:pt idx="2263">
                  <c:v>54.14</c:v>
                </c:pt>
                <c:pt idx="2264">
                  <c:v>53.45</c:v>
                </c:pt>
                <c:pt idx="2265">
                  <c:v>53.98</c:v>
                </c:pt>
                <c:pt idx="2266">
                  <c:v>54.19</c:v>
                </c:pt>
                <c:pt idx="2267">
                  <c:v>54.04</c:v>
                </c:pt>
                <c:pt idx="2268">
                  <c:v>54.43</c:v>
                </c:pt>
                <c:pt idx="2269">
                  <c:v>54.39</c:v>
                </c:pt>
                <c:pt idx="2270">
                  <c:v>53.98</c:v>
                </c:pt>
                <c:pt idx="2271">
                  <c:v>53.3</c:v>
                </c:pt>
                <c:pt idx="2272">
                  <c:v>53.01</c:v>
                </c:pt>
                <c:pt idx="2273">
                  <c:v>53.74</c:v>
                </c:pt>
                <c:pt idx="2274">
                  <c:v>54.11</c:v>
                </c:pt>
                <c:pt idx="2275">
                  <c:v>53.9</c:v>
                </c:pt>
                <c:pt idx="2276">
                  <c:v>53.98</c:v>
                </c:pt>
                <c:pt idx="2277">
                  <c:v>54.71</c:v>
                </c:pt>
                <c:pt idx="2278">
                  <c:v>54.35</c:v>
                </c:pt>
                <c:pt idx="2279">
                  <c:v>55.3</c:v>
                </c:pt>
                <c:pt idx="2280">
                  <c:v>56.32</c:v>
                </c:pt>
                <c:pt idx="2281">
                  <c:v>56.02</c:v>
                </c:pt>
                <c:pt idx="2282">
                  <c:v>56.18</c:v>
                </c:pt>
                <c:pt idx="2283">
                  <c:v>56.31</c:v>
                </c:pt>
                <c:pt idx="2284">
                  <c:v>56.23</c:v>
                </c:pt>
                <c:pt idx="2285">
                  <c:v>56.4</c:v>
                </c:pt>
                <c:pt idx="2286">
                  <c:v>56.8</c:v>
                </c:pt>
                <c:pt idx="2287">
                  <c:v>57.29</c:v>
                </c:pt>
                <c:pt idx="2288">
                  <c:v>57.29</c:v>
                </c:pt>
                <c:pt idx="2289">
                  <c:v>57.09</c:v>
                </c:pt>
                <c:pt idx="2290">
                  <c:v>56.4</c:v>
                </c:pt>
                <c:pt idx="2291">
                  <c:v>55.85</c:v>
                </c:pt>
                <c:pt idx="2292">
                  <c:v>54.94</c:v>
                </c:pt>
                <c:pt idx="2293">
                  <c:v>55.53</c:v>
                </c:pt>
                <c:pt idx="2294">
                  <c:v>55.8</c:v>
                </c:pt>
                <c:pt idx="2295">
                  <c:v>55.37</c:v>
                </c:pt>
                <c:pt idx="2296">
                  <c:v>55.25</c:v>
                </c:pt>
                <c:pt idx="2297">
                  <c:v>55.47</c:v>
                </c:pt>
                <c:pt idx="2298">
                  <c:v>55.47</c:v>
                </c:pt>
                <c:pt idx="2299">
                  <c:v>55.62</c:v>
                </c:pt>
                <c:pt idx="2300">
                  <c:v>55.2</c:v>
                </c:pt>
                <c:pt idx="2301">
                  <c:v>55.36</c:v>
                </c:pt>
                <c:pt idx="2302">
                  <c:v>55.9</c:v>
                </c:pt>
                <c:pt idx="2303">
                  <c:v>55.42</c:v>
                </c:pt>
                <c:pt idx="2304">
                  <c:v>55.94</c:v>
                </c:pt>
                <c:pt idx="2305">
                  <c:v>56.73</c:v>
                </c:pt>
                <c:pt idx="2306">
                  <c:v>57.63</c:v>
                </c:pt>
                <c:pt idx="2307">
                  <c:v>58.05</c:v>
                </c:pt>
                <c:pt idx="2308">
                  <c:v>58.21</c:v>
                </c:pt>
                <c:pt idx="2309">
                  <c:v>57.85</c:v>
                </c:pt>
                <c:pt idx="2310">
                  <c:v>58.31</c:v>
                </c:pt>
                <c:pt idx="2311">
                  <c:v>57.95</c:v>
                </c:pt>
                <c:pt idx="2312">
                  <c:v>57.9</c:v>
                </c:pt>
                <c:pt idx="2313">
                  <c:v>57.6</c:v>
                </c:pt>
                <c:pt idx="2314">
                  <c:v>57.54</c:v>
                </c:pt>
                <c:pt idx="2315">
                  <c:v>56.76</c:v>
                </c:pt>
                <c:pt idx="2316">
                  <c:v>56.92</c:v>
                </c:pt>
                <c:pt idx="2317">
                  <c:v>57.41</c:v>
                </c:pt>
                <c:pt idx="2318">
                  <c:v>57.59</c:v>
                </c:pt>
                <c:pt idx="2319">
                  <c:v>56.48</c:v>
                </c:pt>
                <c:pt idx="2320">
                  <c:v>57.48</c:v>
                </c:pt>
                <c:pt idx="2321">
                  <c:v>56.32</c:v>
                </c:pt>
                <c:pt idx="2322">
                  <c:v>56.51</c:v>
                </c:pt>
                <c:pt idx="2323">
                  <c:v>56.91</c:v>
                </c:pt>
                <c:pt idx="2324">
                  <c:v>56.75</c:v>
                </c:pt>
                <c:pt idx="2325">
                  <c:v>56.77</c:v>
                </c:pt>
                <c:pt idx="2326">
                  <c:v>56.99</c:v>
                </c:pt>
                <c:pt idx="2327">
                  <c:v>57.12</c:v>
                </c:pt>
                <c:pt idx="2328">
                  <c:v>56.74</c:v>
                </c:pt>
                <c:pt idx="2329">
                  <c:v>54.85</c:v>
                </c:pt>
                <c:pt idx="2330">
                  <c:v>53.69</c:v>
                </c:pt>
                <c:pt idx="2331">
                  <c:v>54.68</c:v>
                </c:pt>
                <c:pt idx="2332">
                  <c:v>56.13</c:v>
                </c:pt>
                <c:pt idx="2333">
                  <c:v>55.61</c:v>
                </c:pt>
                <c:pt idx="2334">
                  <c:v>55.81</c:v>
                </c:pt>
                <c:pt idx="2335">
                  <c:v>55.38</c:v>
                </c:pt>
                <c:pt idx="2336">
                  <c:v>55.31</c:v>
                </c:pt>
                <c:pt idx="2337">
                  <c:v>55.53</c:v>
                </c:pt>
                <c:pt idx="2338">
                  <c:v>55.35</c:v>
                </c:pt>
                <c:pt idx="2339">
                  <c:v>55.57</c:v>
                </c:pt>
                <c:pt idx="2340">
                  <c:v>55.04</c:v>
                </c:pt>
                <c:pt idx="2341">
                  <c:v>54.865000000000002</c:v>
                </c:pt>
                <c:pt idx="2342">
                  <c:v>55.58</c:v>
                </c:pt>
                <c:pt idx="2343">
                  <c:v>55.22</c:v>
                </c:pt>
                <c:pt idx="2344">
                  <c:v>55.3</c:v>
                </c:pt>
                <c:pt idx="2345">
                  <c:v>55.59</c:v>
                </c:pt>
                <c:pt idx="2346">
                  <c:v>54.61</c:v>
                </c:pt>
                <c:pt idx="2347">
                  <c:v>54.62</c:v>
                </c:pt>
                <c:pt idx="2348">
                  <c:v>54.82</c:v>
                </c:pt>
                <c:pt idx="2349">
                  <c:v>54.89</c:v>
                </c:pt>
                <c:pt idx="2350">
                  <c:v>55.15</c:v>
                </c:pt>
                <c:pt idx="2351">
                  <c:v>55.29</c:v>
                </c:pt>
                <c:pt idx="2352">
                  <c:v>55.15</c:v>
                </c:pt>
                <c:pt idx="2353">
                  <c:v>55.44</c:v>
                </c:pt>
                <c:pt idx="2354">
                  <c:v>54.6</c:v>
                </c:pt>
                <c:pt idx="2355">
                  <c:v>54.62</c:v>
                </c:pt>
                <c:pt idx="2356">
                  <c:v>54.55</c:v>
                </c:pt>
                <c:pt idx="2357">
                  <c:v>54.8</c:v>
                </c:pt>
                <c:pt idx="2358">
                  <c:v>54.88</c:v>
                </c:pt>
                <c:pt idx="2359">
                  <c:v>55.53</c:v>
                </c:pt>
                <c:pt idx="2360">
                  <c:v>55.82</c:v>
                </c:pt>
                <c:pt idx="2361">
                  <c:v>56.3</c:v>
                </c:pt>
                <c:pt idx="2362">
                  <c:v>56.23</c:v>
                </c:pt>
                <c:pt idx="2363">
                  <c:v>57.49</c:v>
                </c:pt>
                <c:pt idx="2364">
                  <c:v>56.64</c:v>
                </c:pt>
                <c:pt idx="2365">
                  <c:v>56.31</c:v>
                </c:pt>
                <c:pt idx="2366">
                  <c:v>56.25</c:v>
                </c:pt>
                <c:pt idx="2367">
                  <c:v>56.39</c:v>
                </c:pt>
                <c:pt idx="2368">
                  <c:v>56.25</c:v>
                </c:pt>
                <c:pt idx="2369">
                  <c:v>57.36</c:v>
                </c:pt>
                <c:pt idx="2370">
                  <c:v>56.23</c:v>
                </c:pt>
                <c:pt idx="2371">
                  <c:v>56.42</c:v>
                </c:pt>
                <c:pt idx="2372">
                  <c:v>56.9</c:v>
                </c:pt>
                <c:pt idx="2373">
                  <c:v>57.72</c:v>
                </c:pt>
                <c:pt idx="2374">
                  <c:v>57.77</c:v>
                </c:pt>
                <c:pt idx="2375">
                  <c:v>57.68</c:v>
                </c:pt>
                <c:pt idx="2376">
                  <c:v>60.64</c:v>
                </c:pt>
                <c:pt idx="2377">
                  <c:v>60.9</c:v>
                </c:pt>
                <c:pt idx="2378">
                  <c:v>60.9</c:v>
                </c:pt>
                <c:pt idx="2379">
                  <c:v>60.89</c:v>
                </c:pt>
                <c:pt idx="2380">
                  <c:v>60.51</c:v>
                </c:pt>
                <c:pt idx="2381">
                  <c:v>60.13</c:v>
                </c:pt>
                <c:pt idx="2382">
                  <c:v>60.21</c:v>
                </c:pt>
                <c:pt idx="2383">
                  <c:v>59.5</c:v>
                </c:pt>
                <c:pt idx="2384">
                  <c:v>60.9</c:v>
                </c:pt>
                <c:pt idx="2385">
                  <c:v>61.04</c:v>
                </c:pt>
                <c:pt idx="2386">
                  <c:v>61.17</c:v>
                </c:pt>
                <c:pt idx="2387">
                  <c:v>60.83</c:v>
                </c:pt>
                <c:pt idx="2388">
                  <c:v>60.04</c:v>
                </c:pt>
                <c:pt idx="2389">
                  <c:v>60.25</c:v>
                </c:pt>
                <c:pt idx="2390">
                  <c:v>61.02</c:v>
                </c:pt>
                <c:pt idx="2391">
                  <c:v>59.7</c:v>
                </c:pt>
                <c:pt idx="2392">
                  <c:v>60.01</c:v>
                </c:pt>
                <c:pt idx="2393">
                  <c:v>59.55</c:v>
                </c:pt>
                <c:pt idx="2394">
                  <c:v>58.96</c:v>
                </c:pt>
                <c:pt idx="2395">
                  <c:v>58.36</c:v>
                </c:pt>
                <c:pt idx="2396">
                  <c:v>58.83</c:v>
                </c:pt>
                <c:pt idx="2397">
                  <c:v>59.38</c:v>
                </c:pt>
                <c:pt idx="2398">
                  <c:v>59.1</c:v>
                </c:pt>
                <c:pt idx="2399">
                  <c:v>59.7</c:v>
                </c:pt>
                <c:pt idx="2400">
                  <c:v>59.55</c:v>
                </c:pt>
                <c:pt idx="2401">
                  <c:v>59.67</c:v>
                </c:pt>
                <c:pt idx="2402">
                  <c:v>59.08</c:v>
                </c:pt>
                <c:pt idx="2403">
                  <c:v>58.65</c:v>
                </c:pt>
                <c:pt idx="2404">
                  <c:v>57.59</c:v>
                </c:pt>
                <c:pt idx="2405">
                  <c:v>57.52</c:v>
                </c:pt>
                <c:pt idx="2406">
                  <c:v>57.07</c:v>
                </c:pt>
                <c:pt idx="2407">
                  <c:v>57.6</c:v>
                </c:pt>
                <c:pt idx="2408">
                  <c:v>58</c:v>
                </c:pt>
                <c:pt idx="2409">
                  <c:v>58.7</c:v>
                </c:pt>
                <c:pt idx="2410">
                  <c:v>59.04</c:v>
                </c:pt>
                <c:pt idx="2411">
                  <c:v>59.56</c:v>
                </c:pt>
                <c:pt idx="2412">
                  <c:v>60.04</c:v>
                </c:pt>
                <c:pt idx="2413">
                  <c:v>58.21</c:v>
                </c:pt>
                <c:pt idx="2414">
                  <c:v>58.34</c:v>
                </c:pt>
                <c:pt idx="2415">
                  <c:v>58.75</c:v>
                </c:pt>
                <c:pt idx="2416">
                  <c:v>58.11</c:v>
                </c:pt>
                <c:pt idx="2417">
                  <c:v>58.46</c:v>
                </c:pt>
                <c:pt idx="2418">
                  <c:v>58.87</c:v>
                </c:pt>
                <c:pt idx="2419">
                  <c:v>57.67</c:v>
                </c:pt>
                <c:pt idx="2420">
                  <c:v>56.96</c:v>
                </c:pt>
                <c:pt idx="2421">
                  <c:v>57.63</c:v>
                </c:pt>
                <c:pt idx="2422">
                  <c:v>56.41</c:v>
                </c:pt>
                <c:pt idx="2423">
                  <c:v>55.86</c:v>
                </c:pt>
                <c:pt idx="2424">
                  <c:v>54.92</c:v>
                </c:pt>
                <c:pt idx="2425">
                  <c:v>55.14</c:v>
                </c:pt>
                <c:pt idx="2426">
                  <c:v>54.42</c:v>
                </c:pt>
                <c:pt idx="2427">
                  <c:v>54.14</c:v>
                </c:pt>
                <c:pt idx="2428">
                  <c:v>54.49</c:v>
                </c:pt>
                <c:pt idx="2429">
                  <c:v>58.29</c:v>
                </c:pt>
                <c:pt idx="2430">
                  <c:v>59.53</c:v>
                </c:pt>
                <c:pt idx="2431">
                  <c:v>60.695</c:v>
                </c:pt>
                <c:pt idx="2432">
                  <c:v>61.4</c:v>
                </c:pt>
                <c:pt idx="2433">
                  <c:v>60.77</c:v>
                </c:pt>
                <c:pt idx="2434">
                  <c:v>59.284999999999997</c:v>
                </c:pt>
                <c:pt idx="2435">
                  <c:v>57.63</c:v>
                </c:pt>
                <c:pt idx="2436">
                  <c:v>58.61</c:v>
                </c:pt>
                <c:pt idx="2437">
                  <c:v>57.71</c:v>
                </c:pt>
                <c:pt idx="2438">
                  <c:v>59.17</c:v>
                </c:pt>
                <c:pt idx="2439">
                  <c:v>59.03</c:v>
                </c:pt>
                <c:pt idx="2440">
                  <c:v>56.92</c:v>
                </c:pt>
                <c:pt idx="2441">
                  <c:v>58.55</c:v>
                </c:pt>
                <c:pt idx="2442">
                  <c:v>58</c:v>
                </c:pt>
                <c:pt idx="2443">
                  <c:v>58.98</c:v>
                </c:pt>
                <c:pt idx="2444">
                  <c:v>57.87</c:v>
                </c:pt>
                <c:pt idx="2445">
                  <c:v>59.46</c:v>
                </c:pt>
                <c:pt idx="2446">
                  <c:v>57.82</c:v>
                </c:pt>
                <c:pt idx="2447">
                  <c:v>56.63</c:v>
                </c:pt>
                <c:pt idx="2448">
                  <c:v>56.69</c:v>
                </c:pt>
                <c:pt idx="2449">
                  <c:v>58.13</c:v>
                </c:pt>
                <c:pt idx="2450">
                  <c:v>58.65</c:v>
                </c:pt>
                <c:pt idx="2451">
                  <c:v>58.26</c:v>
                </c:pt>
                <c:pt idx="2452">
                  <c:v>60.03</c:v>
                </c:pt>
                <c:pt idx="2453">
                  <c:v>60.82</c:v>
                </c:pt>
                <c:pt idx="2454">
                  <c:v>61.13</c:v>
                </c:pt>
                <c:pt idx="2455">
                  <c:v>60.19</c:v>
                </c:pt>
                <c:pt idx="2456">
                  <c:v>60.32</c:v>
                </c:pt>
                <c:pt idx="2457">
                  <c:v>60.34</c:v>
                </c:pt>
                <c:pt idx="2458">
                  <c:v>59.99</c:v>
                </c:pt>
                <c:pt idx="2459">
                  <c:v>59.54</c:v>
                </c:pt>
                <c:pt idx="2460">
                  <c:v>58.62</c:v>
                </c:pt>
                <c:pt idx="2461">
                  <c:v>59.515000000000001</c:v>
                </c:pt>
                <c:pt idx="2462">
                  <c:v>60.35</c:v>
                </c:pt>
                <c:pt idx="2463">
                  <c:v>59.98</c:v>
                </c:pt>
                <c:pt idx="2464">
                  <c:v>59.92</c:v>
                </c:pt>
                <c:pt idx="2465">
                  <c:v>59.82</c:v>
                </c:pt>
                <c:pt idx="2466">
                  <c:v>61.87</c:v>
                </c:pt>
                <c:pt idx="2467">
                  <c:v>61.18</c:v>
                </c:pt>
                <c:pt idx="2468">
                  <c:v>62.16</c:v>
                </c:pt>
                <c:pt idx="2469">
                  <c:v>61.89</c:v>
                </c:pt>
                <c:pt idx="2470">
                  <c:v>61.75</c:v>
                </c:pt>
                <c:pt idx="2471">
                  <c:v>59.55</c:v>
                </c:pt>
                <c:pt idx="2472">
                  <c:v>61.22</c:v>
                </c:pt>
                <c:pt idx="2473">
                  <c:v>61.37</c:v>
                </c:pt>
                <c:pt idx="2474">
                  <c:v>61.39</c:v>
                </c:pt>
                <c:pt idx="2475">
                  <c:v>62.18</c:v>
                </c:pt>
                <c:pt idx="2476">
                  <c:v>62.19</c:v>
                </c:pt>
                <c:pt idx="2477">
                  <c:v>61.96</c:v>
                </c:pt>
                <c:pt idx="2478">
                  <c:v>62.64</c:v>
                </c:pt>
                <c:pt idx="2479">
                  <c:v>61.99</c:v>
                </c:pt>
                <c:pt idx="2480">
                  <c:v>61.46</c:v>
                </c:pt>
                <c:pt idx="2481">
                  <c:v>61.8</c:v>
                </c:pt>
                <c:pt idx="2482">
                  <c:v>60.55</c:v>
                </c:pt>
                <c:pt idx="2483">
                  <c:v>60.68</c:v>
                </c:pt>
                <c:pt idx="2484">
                  <c:v>59.74</c:v>
                </c:pt>
                <c:pt idx="2485">
                  <c:v>61.07</c:v>
                </c:pt>
                <c:pt idx="2486">
                  <c:v>61.87</c:v>
                </c:pt>
                <c:pt idx="2487">
                  <c:v>62.18</c:v>
                </c:pt>
                <c:pt idx="2488">
                  <c:v>61.34</c:v>
                </c:pt>
                <c:pt idx="2489">
                  <c:v>61.97</c:v>
                </c:pt>
                <c:pt idx="2490">
                  <c:v>62.28</c:v>
                </c:pt>
                <c:pt idx="2491">
                  <c:v>61.96</c:v>
                </c:pt>
                <c:pt idx="2492">
                  <c:v>62.8</c:v>
                </c:pt>
                <c:pt idx="2493">
                  <c:v>62.24</c:v>
                </c:pt>
                <c:pt idx="2494">
                  <c:v>62.57</c:v>
                </c:pt>
                <c:pt idx="2495">
                  <c:v>62.5</c:v>
                </c:pt>
                <c:pt idx="2496">
                  <c:v>63.51</c:v>
                </c:pt>
                <c:pt idx="2497">
                  <c:v>62.71</c:v>
                </c:pt>
                <c:pt idx="2498">
                  <c:v>63.43</c:v>
                </c:pt>
                <c:pt idx="2499">
                  <c:v>62.61</c:v>
                </c:pt>
                <c:pt idx="2500">
                  <c:v>61.49</c:v>
                </c:pt>
                <c:pt idx="2501">
                  <c:v>60.53</c:v>
                </c:pt>
                <c:pt idx="2502">
                  <c:v>60.88</c:v>
                </c:pt>
                <c:pt idx="2503">
                  <c:v>60.97</c:v>
                </c:pt>
                <c:pt idx="2504">
                  <c:v>59.93</c:v>
                </c:pt>
                <c:pt idx="2505">
                  <c:v>59.69</c:v>
                </c:pt>
                <c:pt idx="2506">
                  <c:v>58.82</c:v>
                </c:pt>
                <c:pt idx="2507">
                  <c:v>60.16</c:v>
                </c:pt>
                <c:pt idx="2508">
                  <c:v>60.54</c:v>
                </c:pt>
                <c:pt idx="2509">
                  <c:v>60.07</c:v>
                </c:pt>
                <c:pt idx="2510">
                  <c:v>59.46</c:v>
                </c:pt>
                <c:pt idx="2511">
                  <c:v>58.78</c:v>
                </c:pt>
                <c:pt idx="2512">
                  <c:v>58.69</c:v>
                </c:pt>
                <c:pt idx="2513">
                  <c:v>59.04</c:v>
                </c:pt>
                <c:pt idx="2514">
                  <c:v>58.08</c:v>
                </c:pt>
                <c:pt idx="2515">
                  <c:v>57.48</c:v>
                </c:pt>
                <c:pt idx="2516">
                  <c:v>56.84</c:v>
                </c:pt>
                <c:pt idx="2517">
                  <c:v>55.72</c:v>
                </c:pt>
                <c:pt idx="2518">
                  <c:v>55.77</c:v>
                </c:pt>
                <c:pt idx="2519">
                  <c:v>57.99</c:v>
                </c:pt>
                <c:pt idx="2520">
                  <c:v>58.37</c:v>
                </c:pt>
                <c:pt idx="2521">
                  <c:v>57.79</c:v>
                </c:pt>
                <c:pt idx="2522">
                  <c:v>57.12</c:v>
                </c:pt>
                <c:pt idx="2523">
                  <c:v>57.54</c:v>
                </c:pt>
                <c:pt idx="2524">
                  <c:v>56.84</c:v>
                </c:pt>
                <c:pt idx="2525">
                  <c:v>57.28</c:v>
                </c:pt>
                <c:pt idx="2526">
                  <c:v>57.26</c:v>
                </c:pt>
                <c:pt idx="2527">
                  <c:v>56.91</c:v>
                </c:pt>
                <c:pt idx="2528">
                  <c:v>56.29</c:v>
                </c:pt>
                <c:pt idx="2529">
                  <c:v>56.53</c:v>
                </c:pt>
                <c:pt idx="2530">
                  <c:v>55.37</c:v>
                </c:pt>
                <c:pt idx="2531">
                  <c:v>54.69</c:v>
                </c:pt>
                <c:pt idx="2532">
                  <c:v>55.21</c:v>
                </c:pt>
                <c:pt idx="2533">
                  <c:v>54.28</c:v>
                </c:pt>
                <c:pt idx="2534">
                  <c:v>54.69</c:v>
                </c:pt>
                <c:pt idx="2535">
                  <c:v>55.26</c:v>
                </c:pt>
                <c:pt idx="2536">
                  <c:v>53.5</c:v>
                </c:pt>
                <c:pt idx="2537">
                  <c:v>54.71</c:v>
                </c:pt>
                <c:pt idx="2538">
                  <c:v>55.63</c:v>
                </c:pt>
                <c:pt idx="2539">
                  <c:v>55.95</c:v>
                </c:pt>
                <c:pt idx="2540">
                  <c:v>53.96</c:v>
                </c:pt>
                <c:pt idx="2541">
                  <c:v>51.09</c:v>
                </c:pt>
                <c:pt idx="2542">
                  <c:v>50.34</c:v>
                </c:pt>
                <c:pt idx="2543">
                  <c:v>52.84</c:v>
                </c:pt>
                <c:pt idx="2544">
                  <c:v>55.81</c:v>
                </c:pt>
                <c:pt idx="2545">
                  <c:v>57.59</c:v>
                </c:pt>
                <c:pt idx="2546">
                  <c:v>57.83</c:v>
                </c:pt>
                <c:pt idx="2547">
                  <c:v>57.74</c:v>
                </c:pt>
                <c:pt idx="2548">
                  <c:v>57.1</c:v>
                </c:pt>
                <c:pt idx="2549">
                  <c:v>56.85</c:v>
                </c:pt>
                <c:pt idx="2550">
                  <c:v>56.38</c:v>
                </c:pt>
                <c:pt idx="2551">
                  <c:v>56.35</c:v>
                </c:pt>
                <c:pt idx="2552">
                  <c:v>56.27</c:v>
                </c:pt>
                <c:pt idx="2553">
                  <c:v>57.2</c:v>
                </c:pt>
                <c:pt idx="2554">
                  <c:v>57.23</c:v>
                </c:pt>
                <c:pt idx="2555">
                  <c:v>59.01</c:v>
                </c:pt>
                <c:pt idx="2556">
                  <c:v>58.7</c:v>
                </c:pt>
                <c:pt idx="2557">
                  <c:v>58.19</c:v>
                </c:pt>
                <c:pt idx="2558">
                  <c:v>57.93</c:v>
                </c:pt>
                <c:pt idx="2559">
                  <c:v>58.06</c:v>
                </c:pt>
                <c:pt idx="2560">
                  <c:v>57.51</c:v>
                </c:pt>
                <c:pt idx="2561">
                  <c:v>57.14</c:v>
                </c:pt>
                <c:pt idx="2562">
                  <c:v>56.98</c:v>
                </c:pt>
                <c:pt idx="2563">
                  <c:v>57.29</c:v>
                </c:pt>
                <c:pt idx="2564">
                  <c:v>56.56</c:v>
                </c:pt>
                <c:pt idx="2565">
                  <c:v>56.69</c:v>
                </c:pt>
                <c:pt idx="2566">
                  <c:v>56.2</c:v>
                </c:pt>
                <c:pt idx="2567">
                  <c:v>56.21</c:v>
                </c:pt>
                <c:pt idx="2568">
                  <c:v>55.69</c:v>
                </c:pt>
                <c:pt idx="2569">
                  <c:v>55.74</c:v>
                </c:pt>
                <c:pt idx="2570">
                  <c:v>55.34</c:v>
                </c:pt>
                <c:pt idx="2571">
                  <c:v>55.75</c:v>
                </c:pt>
                <c:pt idx="2572">
                  <c:v>55.7</c:v>
                </c:pt>
                <c:pt idx="2573">
                  <c:v>54.57</c:v>
                </c:pt>
                <c:pt idx="2574">
                  <c:v>54.05</c:v>
                </c:pt>
                <c:pt idx="2575">
                  <c:v>53.39</c:v>
                </c:pt>
                <c:pt idx="2576">
                  <c:v>54.375</c:v>
                </c:pt>
                <c:pt idx="2577">
                  <c:v>54.305</c:v>
                </c:pt>
                <c:pt idx="2578">
                  <c:v>54.24</c:v>
                </c:pt>
                <c:pt idx="2579">
                  <c:v>53.89</c:v>
                </c:pt>
                <c:pt idx="2580">
                  <c:v>53.615000000000002</c:v>
                </c:pt>
                <c:pt idx="2581">
                  <c:v>53.55</c:v>
                </c:pt>
                <c:pt idx="2582">
                  <c:v>54.62</c:v>
                </c:pt>
                <c:pt idx="2583">
                  <c:v>54.07</c:v>
                </c:pt>
                <c:pt idx="2584">
                  <c:v>53.71</c:v>
                </c:pt>
                <c:pt idx="2585">
                  <c:v>54.115000000000002</c:v>
                </c:pt>
                <c:pt idx="2586">
                  <c:v>53.9</c:v>
                </c:pt>
                <c:pt idx="2587">
                  <c:v>53.93</c:v>
                </c:pt>
                <c:pt idx="2588">
                  <c:v>54.11</c:v>
                </c:pt>
                <c:pt idx="2589">
                  <c:v>53.24</c:v>
                </c:pt>
                <c:pt idx="2590">
                  <c:v>52.965000000000003</c:v>
                </c:pt>
                <c:pt idx="2591">
                  <c:v>52.27</c:v>
                </c:pt>
                <c:pt idx="2592">
                  <c:v>52.63</c:v>
                </c:pt>
                <c:pt idx="2593">
                  <c:v>52.49</c:v>
                </c:pt>
                <c:pt idx="2594">
                  <c:v>52.69</c:v>
                </c:pt>
                <c:pt idx="2595">
                  <c:v>51.54</c:v>
                </c:pt>
                <c:pt idx="2596">
                  <c:v>51.53</c:v>
                </c:pt>
                <c:pt idx="2597">
                  <c:v>52.19</c:v>
                </c:pt>
                <c:pt idx="2598">
                  <c:v>51.72</c:v>
                </c:pt>
                <c:pt idx="2599">
                  <c:v>52.12</c:v>
                </c:pt>
                <c:pt idx="2600">
                  <c:v>51.73</c:v>
                </c:pt>
                <c:pt idx="2601">
                  <c:v>52.22</c:v>
                </c:pt>
                <c:pt idx="2602">
                  <c:v>51.96</c:v>
                </c:pt>
                <c:pt idx="2603">
                  <c:v>51.81</c:v>
                </c:pt>
                <c:pt idx="2604">
                  <c:v>51.59</c:v>
                </c:pt>
                <c:pt idx="2605">
                  <c:v>50.84</c:v>
                </c:pt>
                <c:pt idx="2606">
                  <c:v>51.48</c:v>
                </c:pt>
                <c:pt idx="2607">
                  <c:v>51.33</c:v>
                </c:pt>
                <c:pt idx="2608">
                  <c:v>51.03</c:v>
                </c:pt>
                <c:pt idx="2609">
                  <c:v>51.42</c:v>
                </c:pt>
                <c:pt idx="2610">
                  <c:v>51.18</c:v>
                </c:pt>
                <c:pt idx="2611">
                  <c:v>50.8</c:v>
                </c:pt>
                <c:pt idx="2612">
                  <c:v>50.555</c:v>
                </c:pt>
                <c:pt idx="2613">
                  <c:v>49.59</c:v>
                </c:pt>
                <c:pt idx="2614">
                  <c:v>49.71</c:v>
                </c:pt>
                <c:pt idx="2615">
                  <c:v>49.5</c:v>
                </c:pt>
                <c:pt idx="2616">
                  <c:v>49.78</c:v>
                </c:pt>
                <c:pt idx="2617">
                  <c:v>49.35</c:v>
                </c:pt>
                <c:pt idx="2618">
                  <c:v>48.93</c:v>
                </c:pt>
                <c:pt idx="2619">
                  <c:v>49.405000000000001</c:v>
                </c:pt>
                <c:pt idx="2620">
                  <c:v>50.445</c:v>
                </c:pt>
                <c:pt idx="2621">
                  <c:v>50.29</c:v>
                </c:pt>
                <c:pt idx="2622">
                  <c:v>49.58</c:v>
                </c:pt>
                <c:pt idx="2623">
                  <c:v>50.65</c:v>
                </c:pt>
                <c:pt idx="2624">
                  <c:v>50.61</c:v>
                </c:pt>
                <c:pt idx="2625">
                  <c:v>50.87</c:v>
                </c:pt>
                <c:pt idx="2626">
                  <c:v>51.84</c:v>
                </c:pt>
                <c:pt idx="2627">
                  <c:v>49.43</c:v>
                </c:pt>
                <c:pt idx="2628">
                  <c:v>48.335000000000001</c:v>
                </c:pt>
                <c:pt idx="2629">
                  <c:v>48.37</c:v>
                </c:pt>
                <c:pt idx="2630">
                  <c:v>47.97</c:v>
                </c:pt>
                <c:pt idx="2631">
                  <c:v>47.62</c:v>
                </c:pt>
                <c:pt idx="2632">
                  <c:v>48.244999999999997</c:v>
                </c:pt>
                <c:pt idx="2633">
                  <c:v>48.14</c:v>
                </c:pt>
                <c:pt idx="2634">
                  <c:v>48.3</c:v>
                </c:pt>
                <c:pt idx="2635">
                  <c:v>48.5</c:v>
                </c:pt>
                <c:pt idx="2636">
                  <c:v>48.17</c:v>
                </c:pt>
                <c:pt idx="2637">
                  <c:v>47.96</c:v>
                </c:pt>
                <c:pt idx="2638">
                  <c:v>47.615000000000002</c:v>
                </c:pt>
                <c:pt idx="2639">
                  <c:v>47.034999999999997</c:v>
                </c:pt>
                <c:pt idx="2640">
                  <c:v>47.26</c:v>
                </c:pt>
                <c:pt idx="2641">
                  <c:v>47.195</c:v>
                </c:pt>
                <c:pt idx="2642">
                  <c:v>46.51</c:v>
                </c:pt>
                <c:pt idx="2643">
                  <c:v>47.35</c:v>
                </c:pt>
                <c:pt idx="2644">
                  <c:v>47.99</c:v>
                </c:pt>
                <c:pt idx="2645">
                  <c:v>47.534999999999997</c:v>
                </c:pt>
                <c:pt idx="2646">
                  <c:v>47.54</c:v>
                </c:pt>
                <c:pt idx="2647">
                  <c:v>47.884999999999998</c:v>
                </c:pt>
                <c:pt idx="2648">
                  <c:v>48.957500000000003</c:v>
                </c:pt>
                <c:pt idx="2649">
                  <c:v>48.685000000000002</c:v>
                </c:pt>
                <c:pt idx="2650">
                  <c:v>48.73</c:v>
                </c:pt>
                <c:pt idx="2651">
                  <c:v>48.88</c:v>
                </c:pt>
                <c:pt idx="2652">
                  <c:v>47.92</c:v>
                </c:pt>
                <c:pt idx="2653">
                  <c:v>47.192500000000003</c:v>
                </c:pt>
                <c:pt idx="2654">
                  <c:v>47.022500000000001</c:v>
                </c:pt>
                <c:pt idx="2655">
                  <c:v>46.645000000000003</c:v>
                </c:pt>
                <c:pt idx="2656">
                  <c:v>46.69</c:v>
                </c:pt>
                <c:pt idx="2657">
                  <c:v>45.71</c:v>
                </c:pt>
                <c:pt idx="2658">
                  <c:v>46.09</c:v>
                </c:pt>
                <c:pt idx="2659">
                  <c:v>46.52</c:v>
                </c:pt>
                <c:pt idx="2660">
                  <c:v>46.107500000000002</c:v>
                </c:pt>
                <c:pt idx="2661">
                  <c:v>46.814999999999998</c:v>
                </c:pt>
                <c:pt idx="2662">
                  <c:v>46.53</c:v>
                </c:pt>
                <c:pt idx="2663">
                  <c:v>47</c:v>
                </c:pt>
                <c:pt idx="2664">
                  <c:v>47.112499999999997</c:v>
                </c:pt>
                <c:pt idx="2665">
                  <c:v>46.7425</c:v>
                </c:pt>
                <c:pt idx="2666">
                  <c:v>47.274999999999999</c:v>
                </c:pt>
                <c:pt idx="2667">
                  <c:v>47.13</c:v>
                </c:pt>
                <c:pt idx="2668">
                  <c:v>46.725000000000001</c:v>
                </c:pt>
                <c:pt idx="2669">
                  <c:v>46.79</c:v>
                </c:pt>
                <c:pt idx="2670">
                  <c:v>46.755000000000003</c:v>
                </c:pt>
                <c:pt idx="2671">
                  <c:v>46.585000000000001</c:v>
                </c:pt>
                <c:pt idx="2672">
                  <c:v>46.5</c:v>
                </c:pt>
                <c:pt idx="2673">
                  <c:v>46.015000000000001</c:v>
                </c:pt>
                <c:pt idx="2674">
                  <c:v>45.79</c:v>
                </c:pt>
                <c:pt idx="2675">
                  <c:v>45.912500000000001</c:v>
                </c:pt>
                <c:pt idx="2676">
                  <c:v>45.395000000000003</c:v>
                </c:pt>
                <c:pt idx="2677">
                  <c:v>45.59</c:v>
                </c:pt>
                <c:pt idx="2678">
                  <c:v>44.41</c:v>
                </c:pt>
                <c:pt idx="2679">
                  <c:v>44.5</c:v>
                </c:pt>
                <c:pt idx="2680">
                  <c:v>44.82</c:v>
                </c:pt>
                <c:pt idx="2681">
                  <c:v>44.35</c:v>
                </c:pt>
                <c:pt idx="2682">
                  <c:v>44.244999999999997</c:v>
                </c:pt>
                <c:pt idx="2683">
                  <c:v>43.994999999999997</c:v>
                </c:pt>
                <c:pt idx="2684">
                  <c:v>43.765000000000001</c:v>
                </c:pt>
                <c:pt idx="2685">
                  <c:v>44.524999999999999</c:v>
                </c:pt>
                <c:pt idx="2686">
                  <c:v>43.782499999999999</c:v>
                </c:pt>
                <c:pt idx="2687">
                  <c:v>44.17</c:v>
                </c:pt>
                <c:pt idx="2688">
                  <c:v>44.06</c:v>
                </c:pt>
                <c:pt idx="2689">
                  <c:v>44.11</c:v>
                </c:pt>
                <c:pt idx="2690">
                  <c:v>41.37</c:v>
                </c:pt>
                <c:pt idx="2691">
                  <c:v>40.645000000000003</c:v>
                </c:pt>
                <c:pt idx="2692">
                  <c:v>40.612499999999997</c:v>
                </c:pt>
                <c:pt idx="2693">
                  <c:v>40.305</c:v>
                </c:pt>
                <c:pt idx="2694">
                  <c:v>39.79</c:v>
                </c:pt>
                <c:pt idx="2695">
                  <c:v>40.21</c:v>
                </c:pt>
                <c:pt idx="2696">
                  <c:v>40.435000000000002</c:v>
                </c:pt>
                <c:pt idx="2697">
                  <c:v>40.115000000000002</c:v>
                </c:pt>
                <c:pt idx="2698">
                  <c:v>39.895000000000003</c:v>
                </c:pt>
                <c:pt idx="2699">
                  <c:v>41.244999999999997</c:v>
                </c:pt>
                <c:pt idx="2700">
                  <c:v>40.590000000000003</c:v>
                </c:pt>
                <c:pt idx="2701">
                  <c:v>39.615000000000002</c:v>
                </c:pt>
                <c:pt idx="2702">
                  <c:v>39.94</c:v>
                </c:pt>
                <c:pt idx="2703">
                  <c:v>40.72</c:v>
                </c:pt>
              </c:numCache>
            </c:numRef>
          </c:val>
          <c:smooth val="0"/>
          <c:extLst>
            <c:ext xmlns:c16="http://schemas.microsoft.com/office/drawing/2014/chart" uri="{C3380CC4-5D6E-409C-BE32-E72D297353CC}">
              <c16:uniqueId val="{00000002-4DD8-4BCB-BB46-4D6B0B0768BA}"/>
            </c:ext>
          </c:extLst>
        </c:ser>
        <c:dLbls>
          <c:showLegendKey val="0"/>
          <c:showVal val="0"/>
          <c:showCatName val="0"/>
          <c:showSerName val="0"/>
          <c:showPercent val="0"/>
          <c:showBubbleSize val="0"/>
        </c:dLbls>
        <c:smooth val="0"/>
        <c:axId val="140222799"/>
        <c:axId val="140239599"/>
      </c:lineChart>
      <c:catAx>
        <c:axId val="14022279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YEAR</a:t>
                </a:r>
              </a:p>
            </c:rich>
          </c:tx>
          <c:layout>
            <c:manualLayout>
              <c:xMode val="edge"/>
              <c:yMode val="edge"/>
              <c:x val="0.47492952687816126"/>
              <c:y val="0.9449393648474853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39599"/>
        <c:crosses val="autoZero"/>
        <c:auto val="1"/>
        <c:lblAlgn val="ctr"/>
        <c:lblOffset val="100"/>
        <c:noMultiLvlLbl val="0"/>
      </c:catAx>
      <c:valAx>
        <c:axId val="140239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PRICE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27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Sensitivity</a:t>
            </a:r>
            <a:r>
              <a:rPr lang="en-IN" b="1" baseline="0"/>
              <a:t> analysis of Starbucks Intrinsic Value to WACC and Terminal Growth</a:t>
            </a:r>
            <a:endParaRPr lang="en-IN" b="1"/>
          </a:p>
        </c:rich>
      </c:tx>
      <c:layout>
        <c:manualLayout>
          <c:xMode val="edge"/>
          <c:yMode val="edge"/>
          <c:x val="0.14224327155869754"/>
          <c:y val="2.94461245054305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cked"/>
        <c:varyColors val="0"/>
        <c:ser>
          <c:idx val="1"/>
          <c:order val="1"/>
          <c:tx>
            <c:v>WACC=8.0%</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6"/>
              <c:pt idx="0">
                <c:v>2</c:v>
              </c:pt>
              <c:pt idx="1">
                <c:v>3</c:v>
              </c:pt>
              <c:pt idx="2">
                <c:v>4</c:v>
              </c:pt>
              <c:pt idx="3">
                <c:v>5</c:v>
              </c:pt>
              <c:pt idx="4">
                <c:v>6</c:v>
              </c:pt>
              <c:pt idx="5">
                <c:v>7</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'Sensitivity Analysis'!$C$29:$C$35</c15:sqref>
                  </c15:fullRef>
                </c:ext>
              </c:extLst>
              <c:f>'Sensitivity Analysis'!$C$30:$C$35</c:f>
              <c:numCache>
                <c:formatCode>0.00</c:formatCode>
                <c:ptCount val="6"/>
                <c:pt idx="0">
                  <c:v>86.331349428980275</c:v>
                </c:pt>
                <c:pt idx="1">
                  <c:v>93.169889483340427</c:v>
                </c:pt>
                <c:pt idx="2">
                  <c:v>101.52810510533615</c:v>
                </c:pt>
                <c:pt idx="3">
                  <c:v>111.9758746328308</c:v>
                </c:pt>
                <c:pt idx="4">
                  <c:v>125.4087211681811</c:v>
                </c:pt>
                <c:pt idx="5">
                  <c:v>143.31918321531481</c:v>
                </c:pt>
              </c:numCache>
            </c:numRef>
          </c:val>
          <c:smooth val="0"/>
          <c:extLst>
            <c:ext xmlns:c16="http://schemas.microsoft.com/office/drawing/2014/chart" uri="{C3380CC4-5D6E-409C-BE32-E72D297353CC}">
              <c16:uniqueId val="{00000001-62D7-4F69-8406-29D1556C6BFD}"/>
            </c:ext>
          </c:extLst>
        </c:ser>
        <c:ser>
          <c:idx val="2"/>
          <c:order val="2"/>
          <c:tx>
            <c:v>WACC=8.5%</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6"/>
              <c:pt idx="0">
                <c:v>2</c:v>
              </c:pt>
              <c:pt idx="1">
                <c:v>3</c:v>
              </c:pt>
              <c:pt idx="2">
                <c:v>4</c:v>
              </c:pt>
              <c:pt idx="3">
                <c:v>5</c:v>
              </c:pt>
              <c:pt idx="4">
                <c:v>6</c:v>
              </c:pt>
              <c:pt idx="5">
                <c:v>7</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'Sensitivity Analysis'!$D$29:$D$35</c15:sqref>
                  </c15:fullRef>
                </c:ext>
              </c:extLst>
              <c:f>'Sensitivity Analysis'!$D$30:$D$35</c:f>
              <c:numCache>
                <c:formatCode>0.00</c:formatCode>
                <c:ptCount val="6"/>
                <c:pt idx="0">
                  <c:v>74.730158659813654</c:v>
                </c:pt>
                <c:pt idx="1">
                  <c:v>80.047473899981469</c:v>
                </c:pt>
                <c:pt idx="2">
                  <c:v>86.428252188182853</c:v>
                </c:pt>
                <c:pt idx="3">
                  <c:v>94.226981207095648</c:v>
                </c:pt>
                <c:pt idx="4">
                  <c:v>103.97539248073663</c:v>
                </c:pt>
                <c:pt idx="5">
                  <c:v>116.50906411827508</c:v>
                </c:pt>
              </c:numCache>
            </c:numRef>
          </c:val>
          <c:smooth val="0"/>
          <c:extLst>
            <c:ext xmlns:c16="http://schemas.microsoft.com/office/drawing/2014/chart" uri="{C3380CC4-5D6E-409C-BE32-E72D297353CC}">
              <c16:uniqueId val="{00000002-62D7-4F69-8406-29D1556C6BFD}"/>
            </c:ext>
          </c:extLst>
        </c:ser>
        <c:ser>
          <c:idx val="3"/>
          <c:order val="3"/>
          <c:tx>
            <c:v>WACC=9.0%</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Lit>
              <c:ptCount val="6"/>
              <c:pt idx="0">
                <c:v>2</c:v>
              </c:pt>
              <c:pt idx="1">
                <c:v>3</c:v>
              </c:pt>
              <c:pt idx="2">
                <c:v>4</c:v>
              </c:pt>
              <c:pt idx="3">
                <c:v>5</c:v>
              </c:pt>
              <c:pt idx="4">
                <c:v>6</c:v>
              </c:pt>
              <c:pt idx="5">
                <c:v>7</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'Sensitivity Analysis'!$E$29:$E$35</c15:sqref>
                  </c15:fullRef>
                </c:ext>
              </c:extLst>
              <c:f>'Sensitivity Analysis'!$E$30:$E$35</c:f>
              <c:numCache>
                <c:formatCode>0.00</c:formatCode>
                <c:ptCount val="6"/>
                <c:pt idx="0">
                  <c:v>65.014917568752395</c:v>
                </c:pt>
                <c:pt idx="1">
                  <c:v>69.21434755482214</c:v>
                </c:pt>
                <c:pt idx="2">
                  <c:v>74.177310265631831</c:v>
                </c:pt>
                <c:pt idx="3">
                  <c:v>80.132865518603438</c:v>
                </c:pt>
                <c:pt idx="4">
                  <c:v>87.411877494457656</c:v>
                </c:pt>
                <c:pt idx="5">
                  <c:v>96.510642464275421</c:v>
                </c:pt>
              </c:numCache>
            </c:numRef>
          </c:val>
          <c:smooth val="0"/>
          <c:extLst>
            <c:ext xmlns:c16="http://schemas.microsoft.com/office/drawing/2014/chart" uri="{C3380CC4-5D6E-409C-BE32-E72D297353CC}">
              <c16:uniqueId val="{00000003-62D7-4F69-8406-29D1556C6BFD}"/>
            </c:ext>
          </c:extLst>
        </c:ser>
        <c:ser>
          <c:idx val="4"/>
          <c:order val="4"/>
          <c:tx>
            <c:v>WACC=9.5%</c:v>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Lit>
              <c:ptCount val="6"/>
              <c:pt idx="0">
                <c:v>2</c:v>
              </c:pt>
              <c:pt idx="1">
                <c:v>3</c:v>
              </c:pt>
              <c:pt idx="2">
                <c:v>4</c:v>
              </c:pt>
              <c:pt idx="3">
                <c:v>5</c:v>
              </c:pt>
              <c:pt idx="4">
                <c:v>6</c:v>
              </c:pt>
              <c:pt idx="5">
                <c:v>7</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'Sensitivity Analysis'!$F$29:$F$35</c15:sqref>
                  </c15:fullRef>
                </c:ext>
              </c:extLst>
              <c:f>'Sensitivity Analysis'!$F$30:$F$35</c:f>
              <c:numCache>
                <c:formatCode>0.00</c:formatCode>
                <c:ptCount val="6"/>
                <c:pt idx="0">
                  <c:v>56.775843302652767</c:v>
                </c:pt>
                <c:pt idx="1">
                  <c:v>60.136539362664166</c:v>
                </c:pt>
                <c:pt idx="2">
                  <c:v>64.057351432677493</c:v>
                </c:pt>
                <c:pt idx="3">
                  <c:v>68.691038424511405</c:v>
                </c:pt>
                <c:pt idx="4">
                  <c:v>74.251462814712099</c:v>
                </c:pt>
                <c:pt idx="5">
                  <c:v>81.047537069401855</c:v>
                </c:pt>
              </c:numCache>
            </c:numRef>
          </c:val>
          <c:smooth val="0"/>
          <c:extLst>
            <c:ext xmlns:c16="http://schemas.microsoft.com/office/drawing/2014/chart" uri="{C3380CC4-5D6E-409C-BE32-E72D297353CC}">
              <c16:uniqueId val="{00000004-62D7-4F69-8406-29D1556C6BFD}"/>
            </c:ext>
          </c:extLst>
        </c:ser>
        <c:dLbls>
          <c:showLegendKey val="0"/>
          <c:showVal val="0"/>
          <c:showCatName val="0"/>
          <c:showSerName val="0"/>
          <c:showPercent val="0"/>
          <c:showBubbleSize val="0"/>
        </c:dLbls>
        <c:marker val="1"/>
        <c:smooth val="0"/>
        <c:axId val="58864175"/>
        <c:axId val="58861295"/>
        <c:extLst>
          <c:ext xmlns:c15="http://schemas.microsoft.com/office/drawing/2012/chart" uri="{02D57815-91ED-43cb-92C2-25804820EDAC}">
            <c15:filteredLineSeries>
              <c15: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extLst>
                      <c:ext uri="{02D57815-91ED-43cb-92C2-25804820EDAC}">
                        <c15:fullRef>
                          <c15:sqref>'Sensitivity Analysis'!$B$29:$B$35</c15:sqref>
                        </c15:fullRef>
                        <c15:formulaRef>
                          <c15:sqref>'Sensitivity Analysis'!$B$30:$B$35</c15:sqref>
                        </c15:formulaRef>
                      </c:ext>
                    </c:extLst>
                    <c:numCache>
                      <c:formatCode>0.000</c:formatCode>
                      <c:ptCount val="6"/>
                      <c:pt idx="0">
                        <c:v>2.5000000000000001E-2</c:v>
                      </c:pt>
                      <c:pt idx="1">
                        <c:v>0.03</c:v>
                      </c:pt>
                      <c:pt idx="2">
                        <c:v>3.5000000000000003E-2</c:v>
                      </c:pt>
                      <c:pt idx="3">
                        <c:v>0.04</c:v>
                      </c:pt>
                      <c:pt idx="4">
                        <c:v>4.4999999999999998E-2</c:v>
                      </c:pt>
                      <c:pt idx="5">
                        <c:v>0.05</c:v>
                      </c:pt>
                    </c:numCache>
                  </c:numRef>
                </c:val>
                <c:smooth val="0"/>
                <c:extLst>
                  <c:ext xmlns:c16="http://schemas.microsoft.com/office/drawing/2014/chart" uri="{C3380CC4-5D6E-409C-BE32-E72D297353CC}">
                    <c16:uniqueId val="{00000000-62D7-4F69-8406-29D1556C6BFD}"/>
                  </c:ext>
                </c:extLst>
              </c15:ser>
            </c15:filteredLineSeries>
          </c:ext>
        </c:extLst>
      </c:lineChart>
      <c:catAx>
        <c:axId val="588641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Intrinsic</a:t>
                </a:r>
                <a:r>
                  <a:rPr lang="en-IN" b="1" baseline="0"/>
                  <a:t> Value</a:t>
                </a:r>
                <a:endParaRPr lang="en-IN" b="1"/>
              </a:p>
            </c:rich>
          </c:tx>
          <c:layout>
            <c:manualLayout>
              <c:xMode val="edge"/>
              <c:yMode val="edge"/>
              <c:x val="0.42032950002312386"/>
              <c:y val="0.8251560296974058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0.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61295"/>
        <c:crosses val="autoZero"/>
        <c:auto val="1"/>
        <c:lblAlgn val="ctr"/>
        <c:lblOffset val="100"/>
        <c:noMultiLvlLbl val="0"/>
      </c:catAx>
      <c:valAx>
        <c:axId val="58861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Terminal</a:t>
                </a:r>
                <a:r>
                  <a:rPr lang="en-IN" b="1" baseline="0"/>
                  <a:t> Growth</a:t>
                </a:r>
                <a:endParaRPr lang="en-IN" b="1"/>
              </a:p>
            </c:rich>
          </c:tx>
          <c:layout>
            <c:manualLayout>
              <c:xMode val="edge"/>
              <c:yMode val="edge"/>
              <c:x val="6.9825575927810876E-3"/>
              <c:y val="0.3011914738978619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64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24765</xdr:colOff>
      <xdr:row>13</xdr:row>
      <xdr:rowOff>15240</xdr:rowOff>
    </xdr:from>
    <xdr:to>
      <xdr:col>5</xdr:col>
      <xdr:colOff>1724025</xdr:colOff>
      <xdr:row>27</xdr:row>
      <xdr:rowOff>91440</xdr:rowOff>
    </xdr:to>
    <xdr:graphicFrame macro="">
      <xdr:nvGraphicFramePr>
        <xdr:cNvPr id="38" name="Chart 3">
          <a:extLst>
            <a:ext uri="{FF2B5EF4-FFF2-40B4-BE49-F238E27FC236}">
              <a16:creationId xmlns:a16="http://schemas.microsoft.com/office/drawing/2014/main" id="{41F517C0-5DE7-DD72-FD23-A97DCE9A0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9</xdr:row>
      <xdr:rowOff>0</xdr:rowOff>
    </xdr:from>
    <xdr:to>
      <xdr:col>22</xdr:col>
      <xdr:colOff>5292</xdr:colOff>
      <xdr:row>37</xdr:row>
      <xdr:rowOff>1059</xdr:rowOff>
    </xdr:to>
    <xdr:graphicFrame macro="">
      <xdr:nvGraphicFramePr>
        <xdr:cNvPr id="2" name="Chart 1">
          <a:extLst>
            <a:ext uri="{FF2B5EF4-FFF2-40B4-BE49-F238E27FC236}">
              <a16:creationId xmlns:a16="http://schemas.microsoft.com/office/drawing/2014/main" id="{DD8B8E0B-264A-4A7A-8555-A57462A3B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0</xdr:colOff>
      <xdr:row>24</xdr:row>
      <xdr:rowOff>0</xdr:rowOff>
    </xdr:from>
    <xdr:to>
      <xdr:col>20</xdr:col>
      <xdr:colOff>304800</xdr:colOff>
      <xdr:row>25</xdr:row>
      <xdr:rowOff>121920</xdr:rowOff>
    </xdr:to>
    <xdr:sp macro="" textlink="">
      <xdr:nvSpPr>
        <xdr:cNvPr id="18433" name="AutoShape 1" descr="Output image">
          <a:extLst>
            <a:ext uri="{FF2B5EF4-FFF2-40B4-BE49-F238E27FC236}">
              <a16:creationId xmlns:a16="http://schemas.microsoft.com/office/drawing/2014/main" id="{FA30607D-3D6A-92C7-F1CF-3C6A4FD8B2EA}"/>
            </a:ext>
          </a:extLst>
        </xdr:cNvPr>
        <xdr:cNvSpPr>
          <a:spLocks noChangeAspect="1" noChangeArrowheads="1"/>
        </xdr:cNvSpPr>
      </xdr:nvSpPr>
      <xdr:spPr bwMode="auto">
        <a:xfrm>
          <a:off x="12306300" y="43967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4</xdr:row>
      <xdr:rowOff>0</xdr:rowOff>
    </xdr:from>
    <xdr:to>
      <xdr:col>11</xdr:col>
      <xdr:colOff>304800</xdr:colOff>
      <xdr:row>5</xdr:row>
      <xdr:rowOff>114300</xdr:rowOff>
    </xdr:to>
    <xdr:sp macro="" textlink="">
      <xdr:nvSpPr>
        <xdr:cNvPr id="18434" name="AutoShape 2" descr="Output image">
          <a:extLst>
            <a:ext uri="{FF2B5EF4-FFF2-40B4-BE49-F238E27FC236}">
              <a16:creationId xmlns:a16="http://schemas.microsoft.com/office/drawing/2014/main" id="{C757E666-8719-0AD0-5FF3-BA9B4C432CFA}"/>
            </a:ext>
          </a:extLst>
        </xdr:cNvPr>
        <xdr:cNvSpPr>
          <a:spLocks noChangeAspect="1" noChangeArrowheads="1"/>
        </xdr:cNvSpPr>
      </xdr:nvSpPr>
      <xdr:spPr bwMode="auto">
        <a:xfrm>
          <a:off x="681990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10</xdr:col>
      <xdr:colOff>366741</xdr:colOff>
      <xdr:row>3</xdr:row>
      <xdr:rowOff>157974</xdr:rowOff>
    </xdr:from>
    <xdr:to>
      <xdr:col>22</xdr:col>
      <xdr:colOff>120805</xdr:colOff>
      <xdr:row>22</xdr:row>
      <xdr:rowOff>167267</xdr:rowOff>
    </xdr:to>
    <xdr:graphicFrame macro="">
      <xdr:nvGraphicFramePr>
        <xdr:cNvPr id="4" name="Chart 3">
          <a:extLst>
            <a:ext uri="{FF2B5EF4-FFF2-40B4-BE49-F238E27FC236}">
              <a16:creationId xmlns:a16="http://schemas.microsoft.com/office/drawing/2014/main" id="{BA460086-5AFE-8020-E2CA-64741F19F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5a860424701214ce/Documents/Stock%20Price%20SBUX.xlsx" TargetMode="External"/><Relationship Id="rId1" Type="http://schemas.openxmlformats.org/officeDocument/2006/relationships/externalLinkPath" Target="https://d.docs.live.net/5a860424701214ce/Documents/Stock%20Price%20SBU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9">
          <cell r="A9">
            <v>45932</v>
          </cell>
          <cell r="B9">
            <v>86.72</v>
          </cell>
        </row>
        <row r="10">
          <cell r="A10">
            <v>45931</v>
          </cell>
          <cell r="B10">
            <v>84.4</v>
          </cell>
        </row>
        <row r="11">
          <cell r="A11">
            <v>45930</v>
          </cell>
          <cell r="B11">
            <v>84.6</v>
          </cell>
        </row>
        <row r="12">
          <cell r="A12">
            <v>45929</v>
          </cell>
          <cell r="B12">
            <v>85.64</v>
          </cell>
        </row>
        <row r="13">
          <cell r="A13">
            <v>45926</v>
          </cell>
          <cell r="B13">
            <v>83.39</v>
          </cell>
        </row>
        <row r="14">
          <cell r="A14">
            <v>45925</v>
          </cell>
          <cell r="B14">
            <v>83.83</v>
          </cell>
        </row>
        <row r="15">
          <cell r="A15">
            <v>45924</v>
          </cell>
          <cell r="B15">
            <v>84.27</v>
          </cell>
        </row>
        <row r="16">
          <cell r="A16">
            <v>45923</v>
          </cell>
          <cell r="B16">
            <v>85.69</v>
          </cell>
        </row>
        <row r="17">
          <cell r="A17">
            <v>45922</v>
          </cell>
          <cell r="B17">
            <v>85.29</v>
          </cell>
        </row>
        <row r="18">
          <cell r="A18">
            <v>45919</v>
          </cell>
          <cell r="B18">
            <v>84.56</v>
          </cell>
        </row>
        <row r="19">
          <cell r="A19">
            <v>45918</v>
          </cell>
          <cell r="B19">
            <v>83.42</v>
          </cell>
        </row>
        <row r="20">
          <cell r="A20">
            <v>45917</v>
          </cell>
          <cell r="B20">
            <v>83.22</v>
          </cell>
        </row>
        <row r="21">
          <cell r="A21">
            <v>45916</v>
          </cell>
          <cell r="B21">
            <v>84.37</v>
          </cell>
        </row>
        <row r="22">
          <cell r="A22">
            <v>45915</v>
          </cell>
          <cell r="B22">
            <v>82.68</v>
          </cell>
        </row>
        <row r="23">
          <cell r="A23">
            <v>45912</v>
          </cell>
          <cell r="B23">
            <v>81.900000000000006</v>
          </cell>
        </row>
        <row r="24">
          <cell r="A24">
            <v>45911</v>
          </cell>
          <cell r="B24">
            <v>82.36</v>
          </cell>
        </row>
        <row r="25">
          <cell r="A25">
            <v>45910</v>
          </cell>
          <cell r="B25">
            <v>82.88</v>
          </cell>
        </row>
        <row r="26">
          <cell r="A26">
            <v>45909</v>
          </cell>
          <cell r="B26">
            <v>83.81</v>
          </cell>
        </row>
        <row r="27">
          <cell r="A27">
            <v>45908</v>
          </cell>
          <cell r="B27">
            <v>84.17</v>
          </cell>
        </row>
        <row r="28">
          <cell r="A28">
            <v>45905</v>
          </cell>
          <cell r="B28">
            <v>85.43</v>
          </cell>
        </row>
        <row r="29">
          <cell r="A29">
            <v>45904</v>
          </cell>
          <cell r="B29">
            <v>87.01</v>
          </cell>
        </row>
        <row r="30">
          <cell r="A30">
            <v>45903</v>
          </cell>
          <cell r="B30">
            <v>87.25</v>
          </cell>
        </row>
        <row r="31">
          <cell r="A31">
            <v>45902</v>
          </cell>
          <cell r="B31">
            <v>89.78</v>
          </cell>
        </row>
        <row r="32">
          <cell r="A32">
            <v>45898</v>
          </cell>
          <cell r="B32">
            <v>88.19</v>
          </cell>
        </row>
        <row r="33">
          <cell r="A33">
            <v>45897</v>
          </cell>
          <cell r="B33">
            <v>88.02</v>
          </cell>
        </row>
        <row r="34">
          <cell r="A34">
            <v>45896</v>
          </cell>
          <cell r="B34">
            <v>87.66</v>
          </cell>
        </row>
        <row r="35">
          <cell r="A35">
            <v>45895</v>
          </cell>
          <cell r="B35">
            <v>86.63</v>
          </cell>
        </row>
        <row r="36">
          <cell r="A36">
            <v>45894</v>
          </cell>
          <cell r="B36">
            <v>85.81</v>
          </cell>
        </row>
        <row r="37">
          <cell r="A37">
            <v>45891</v>
          </cell>
          <cell r="B37">
            <v>88.38</v>
          </cell>
        </row>
        <row r="38">
          <cell r="A38">
            <v>45890</v>
          </cell>
          <cell r="B38">
            <v>88.56</v>
          </cell>
        </row>
        <row r="39">
          <cell r="A39">
            <v>45889</v>
          </cell>
          <cell r="B39">
            <v>89.51</v>
          </cell>
        </row>
        <row r="40">
          <cell r="A40">
            <v>45888</v>
          </cell>
          <cell r="B40">
            <v>90.93</v>
          </cell>
        </row>
        <row r="41">
          <cell r="A41">
            <v>45887</v>
          </cell>
          <cell r="B41">
            <v>92.54</v>
          </cell>
        </row>
        <row r="42">
          <cell r="A42">
            <v>45884</v>
          </cell>
          <cell r="B42">
            <v>90.6</v>
          </cell>
        </row>
        <row r="43">
          <cell r="A43">
            <v>45883</v>
          </cell>
          <cell r="B43">
            <v>93.06</v>
          </cell>
        </row>
        <row r="44">
          <cell r="A44">
            <v>45882</v>
          </cell>
          <cell r="B44">
            <v>94.18</v>
          </cell>
        </row>
        <row r="45">
          <cell r="A45">
            <v>45881</v>
          </cell>
          <cell r="B45">
            <v>93.37</v>
          </cell>
        </row>
        <row r="46">
          <cell r="A46">
            <v>45880</v>
          </cell>
          <cell r="B46">
            <v>91.74</v>
          </cell>
        </row>
        <row r="47">
          <cell r="A47">
            <v>45877</v>
          </cell>
          <cell r="B47">
            <v>92.12</v>
          </cell>
        </row>
        <row r="48">
          <cell r="A48">
            <v>45876</v>
          </cell>
          <cell r="B48">
            <v>91.02</v>
          </cell>
        </row>
        <row r="49">
          <cell r="A49">
            <v>45875</v>
          </cell>
          <cell r="B49">
            <v>88.99</v>
          </cell>
        </row>
        <row r="50">
          <cell r="A50">
            <v>45874</v>
          </cell>
          <cell r="B50">
            <v>90.2</v>
          </cell>
        </row>
        <row r="51">
          <cell r="A51">
            <v>45873</v>
          </cell>
          <cell r="B51">
            <v>89.78</v>
          </cell>
        </row>
        <row r="52">
          <cell r="A52">
            <v>45870</v>
          </cell>
          <cell r="B52">
            <v>86.86</v>
          </cell>
        </row>
        <row r="53">
          <cell r="A53">
            <v>45869</v>
          </cell>
          <cell r="B53">
            <v>89.16</v>
          </cell>
        </row>
        <row r="54">
          <cell r="A54">
            <v>45868</v>
          </cell>
          <cell r="B54">
            <v>92.76</v>
          </cell>
        </row>
        <row r="55">
          <cell r="A55">
            <v>45867</v>
          </cell>
          <cell r="B55">
            <v>92.96</v>
          </cell>
        </row>
        <row r="56">
          <cell r="A56">
            <v>45866</v>
          </cell>
          <cell r="B56">
            <v>93.67</v>
          </cell>
        </row>
        <row r="57">
          <cell r="A57">
            <v>45863</v>
          </cell>
          <cell r="B57">
            <v>94.42</v>
          </cell>
        </row>
        <row r="58">
          <cell r="A58">
            <v>45862</v>
          </cell>
          <cell r="B58">
            <v>93.7</v>
          </cell>
        </row>
        <row r="59">
          <cell r="A59">
            <v>45861</v>
          </cell>
          <cell r="B59">
            <v>95.92</v>
          </cell>
        </row>
        <row r="60">
          <cell r="A60">
            <v>45860</v>
          </cell>
          <cell r="B60">
            <v>96.94</v>
          </cell>
        </row>
        <row r="61">
          <cell r="A61">
            <v>45859</v>
          </cell>
          <cell r="B61">
            <v>92.66</v>
          </cell>
        </row>
        <row r="62">
          <cell r="A62">
            <v>45856</v>
          </cell>
          <cell r="B62">
            <v>93.8</v>
          </cell>
        </row>
        <row r="63">
          <cell r="A63">
            <v>45855</v>
          </cell>
          <cell r="B63">
            <v>93.19</v>
          </cell>
        </row>
        <row r="64">
          <cell r="A64">
            <v>45854</v>
          </cell>
          <cell r="B64">
            <v>92.51</v>
          </cell>
        </row>
        <row r="65">
          <cell r="A65">
            <v>45853</v>
          </cell>
          <cell r="B65">
            <v>92.48</v>
          </cell>
        </row>
        <row r="66">
          <cell r="A66">
            <v>45852</v>
          </cell>
          <cell r="B66">
            <v>93.42</v>
          </cell>
        </row>
        <row r="67">
          <cell r="A67">
            <v>45849</v>
          </cell>
          <cell r="B67">
            <v>94.94</v>
          </cell>
        </row>
        <row r="68">
          <cell r="A68">
            <v>45848</v>
          </cell>
          <cell r="B68">
            <v>95.15</v>
          </cell>
        </row>
        <row r="69">
          <cell r="A69">
            <v>45847</v>
          </cell>
          <cell r="B69">
            <v>95.25</v>
          </cell>
        </row>
        <row r="70">
          <cell r="A70">
            <v>45846</v>
          </cell>
          <cell r="B70">
            <v>94.94</v>
          </cell>
        </row>
        <row r="71">
          <cell r="A71">
            <v>45845</v>
          </cell>
          <cell r="B71">
            <v>93.64</v>
          </cell>
        </row>
        <row r="72">
          <cell r="A72">
            <v>45841</v>
          </cell>
          <cell r="B72">
            <v>94.44</v>
          </cell>
        </row>
        <row r="73">
          <cell r="A73">
            <v>45840</v>
          </cell>
          <cell r="B73">
            <v>94.18</v>
          </cell>
        </row>
        <row r="74">
          <cell r="A74">
            <v>45839</v>
          </cell>
          <cell r="B74">
            <v>94.92</v>
          </cell>
        </row>
        <row r="75">
          <cell r="A75">
            <v>45838</v>
          </cell>
          <cell r="B75">
            <v>91.63</v>
          </cell>
        </row>
        <row r="76">
          <cell r="A76">
            <v>45835</v>
          </cell>
          <cell r="B76">
            <v>92.11</v>
          </cell>
        </row>
        <row r="77">
          <cell r="A77">
            <v>45834</v>
          </cell>
          <cell r="B77">
            <v>91.84</v>
          </cell>
        </row>
        <row r="78">
          <cell r="A78">
            <v>45833</v>
          </cell>
          <cell r="B78">
            <v>91.1</v>
          </cell>
        </row>
        <row r="79">
          <cell r="A79">
            <v>45832</v>
          </cell>
          <cell r="B79">
            <v>91.5</v>
          </cell>
        </row>
        <row r="80">
          <cell r="A80">
            <v>45831</v>
          </cell>
          <cell r="B80">
            <v>92.34</v>
          </cell>
        </row>
        <row r="81">
          <cell r="A81">
            <v>45828</v>
          </cell>
          <cell r="B81">
            <v>93.12</v>
          </cell>
        </row>
        <row r="82">
          <cell r="A82">
            <v>45826</v>
          </cell>
          <cell r="B82">
            <v>92.28</v>
          </cell>
        </row>
        <row r="83">
          <cell r="A83">
            <v>45825</v>
          </cell>
          <cell r="B83">
            <v>91.59</v>
          </cell>
        </row>
        <row r="84">
          <cell r="A84">
            <v>45824</v>
          </cell>
          <cell r="B84">
            <v>93.48</v>
          </cell>
        </row>
        <row r="85">
          <cell r="A85">
            <v>45821</v>
          </cell>
          <cell r="B85">
            <v>93.26</v>
          </cell>
        </row>
        <row r="86">
          <cell r="A86">
            <v>45820</v>
          </cell>
          <cell r="B86">
            <v>94.32</v>
          </cell>
        </row>
        <row r="87">
          <cell r="A87">
            <v>45819</v>
          </cell>
          <cell r="B87">
            <v>95.39</v>
          </cell>
        </row>
        <row r="88">
          <cell r="A88">
            <v>45818</v>
          </cell>
          <cell r="B88">
            <v>91.43</v>
          </cell>
        </row>
        <row r="89">
          <cell r="A89">
            <v>45817</v>
          </cell>
          <cell r="B89">
            <v>90.67</v>
          </cell>
        </row>
        <row r="90">
          <cell r="A90">
            <v>45814</v>
          </cell>
          <cell r="B90">
            <v>89.64</v>
          </cell>
        </row>
        <row r="91">
          <cell r="A91">
            <v>45813</v>
          </cell>
          <cell r="B91">
            <v>86.99</v>
          </cell>
        </row>
        <row r="92">
          <cell r="A92">
            <v>45812</v>
          </cell>
          <cell r="B92">
            <v>88.11</v>
          </cell>
        </row>
        <row r="93">
          <cell r="A93">
            <v>45811</v>
          </cell>
          <cell r="B93">
            <v>86.6</v>
          </cell>
        </row>
        <row r="94">
          <cell r="A94">
            <v>45810</v>
          </cell>
          <cell r="B94">
            <v>85.19</v>
          </cell>
        </row>
        <row r="95">
          <cell r="A95">
            <v>45807</v>
          </cell>
          <cell r="B95">
            <v>83.95</v>
          </cell>
        </row>
        <row r="96">
          <cell r="A96">
            <v>45806</v>
          </cell>
          <cell r="B96">
            <v>84.05</v>
          </cell>
        </row>
        <row r="97">
          <cell r="A97">
            <v>45805</v>
          </cell>
          <cell r="B97">
            <v>86</v>
          </cell>
        </row>
        <row r="98">
          <cell r="A98">
            <v>45804</v>
          </cell>
          <cell r="B98">
            <v>87.01</v>
          </cell>
        </row>
        <row r="99">
          <cell r="A99">
            <v>45800</v>
          </cell>
          <cell r="B99">
            <v>84.4</v>
          </cell>
        </row>
        <row r="100">
          <cell r="A100">
            <v>45799</v>
          </cell>
          <cell r="B100">
            <v>83.97</v>
          </cell>
        </row>
        <row r="101">
          <cell r="A101">
            <v>45798</v>
          </cell>
          <cell r="B101">
            <v>82.98</v>
          </cell>
        </row>
        <row r="102">
          <cell r="A102">
            <v>45797</v>
          </cell>
          <cell r="B102">
            <v>85.59</v>
          </cell>
        </row>
        <row r="103">
          <cell r="A103">
            <v>45796</v>
          </cell>
          <cell r="B103">
            <v>84.61</v>
          </cell>
        </row>
        <row r="104">
          <cell r="A104">
            <v>45793</v>
          </cell>
          <cell r="B104">
            <v>85.57</v>
          </cell>
        </row>
        <row r="105">
          <cell r="A105">
            <v>45792</v>
          </cell>
          <cell r="B105">
            <v>87.26</v>
          </cell>
        </row>
        <row r="106">
          <cell r="A106">
            <v>45791</v>
          </cell>
          <cell r="B106">
            <v>86.534999999999997</v>
          </cell>
        </row>
        <row r="107">
          <cell r="A107">
            <v>45790</v>
          </cell>
          <cell r="B107">
            <v>86.88</v>
          </cell>
        </row>
        <row r="108">
          <cell r="A108">
            <v>45789</v>
          </cell>
          <cell r="B108">
            <v>85.67</v>
          </cell>
        </row>
        <row r="109">
          <cell r="A109">
            <v>45786</v>
          </cell>
          <cell r="B109">
            <v>80.3</v>
          </cell>
        </row>
        <row r="110">
          <cell r="A110">
            <v>45785</v>
          </cell>
          <cell r="B110">
            <v>82.19</v>
          </cell>
        </row>
        <row r="111">
          <cell r="A111">
            <v>45784</v>
          </cell>
          <cell r="B111">
            <v>82.71</v>
          </cell>
        </row>
        <row r="112">
          <cell r="A112">
            <v>45783</v>
          </cell>
          <cell r="B112">
            <v>82.78</v>
          </cell>
        </row>
        <row r="113">
          <cell r="A113">
            <v>45782</v>
          </cell>
          <cell r="B113">
            <v>81.66</v>
          </cell>
        </row>
        <row r="114">
          <cell r="A114">
            <v>45779</v>
          </cell>
          <cell r="B114">
            <v>84.69</v>
          </cell>
        </row>
        <row r="115">
          <cell r="A115">
            <v>45778</v>
          </cell>
          <cell r="B115">
            <v>82.01</v>
          </cell>
        </row>
        <row r="116">
          <cell r="A116">
            <v>45777</v>
          </cell>
          <cell r="B116">
            <v>80.05</v>
          </cell>
        </row>
        <row r="117">
          <cell r="A117">
            <v>45776</v>
          </cell>
          <cell r="B117">
            <v>84.85</v>
          </cell>
        </row>
        <row r="118">
          <cell r="A118">
            <v>45775</v>
          </cell>
          <cell r="B118">
            <v>83.9</v>
          </cell>
        </row>
        <row r="119">
          <cell r="A119">
            <v>45772</v>
          </cell>
          <cell r="B119">
            <v>83.81</v>
          </cell>
        </row>
        <row r="120">
          <cell r="A120">
            <v>45771</v>
          </cell>
          <cell r="B120">
            <v>83.86</v>
          </cell>
        </row>
        <row r="121">
          <cell r="A121">
            <v>45770</v>
          </cell>
          <cell r="B121">
            <v>82.81</v>
          </cell>
        </row>
        <row r="122">
          <cell r="A122">
            <v>45769</v>
          </cell>
          <cell r="B122">
            <v>81.75</v>
          </cell>
        </row>
        <row r="123">
          <cell r="A123">
            <v>45768</v>
          </cell>
          <cell r="B123">
            <v>80.680000000000007</v>
          </cell>
        </row>
        <row r="124">
          <cell r="A124">
            <v>45764</v>
          </cell>
          <cell r="B124">
            <v>81.5</v>
          </cell>
        </row>
        <row r="125">
          <cell r="A125">
            <v>45763</v>
          </cell>
          <cell r="B125">
            <v>80.760000000000005</v>
          </cell>
        </row>
        <row r="126">
          <cell r="A126">
            <v>45762</v>
          </cell>
          <cell r="B126">
            <v>83.71</v>
          </cell>
        </row>
        <row r="127">
          <cell r="A127">
            <v>45761</v>
          </cell>
          <cell r="B127">
            <v>85.49</v>
          </cell>
        </row>
        <row r="128">
          <cell r="A128">
            <v>45758</v>
          </cell>
          <cell r="B128">
            <v>85.43</v>
          </cell>
        </row>
        <row r="129">
          <cell r="A129">
            <v>45757</v>
          </cell>
          <cell r="B129">
            <v>84.6</v>
          </cell>
        </row>
        <row r="130">
          <cell r="A130">
            <v>45756</v>
          </cell>
          <cell r="B130">
            <v>88.68</v>
          </cell>
        </row>
        <row r="131">
          <cell r="A131">
            <v>45755</v>
          </cell>
          <cell r="B131">
            <v>79.69</v>
          </cell>
        </row>
        <row r="132">
          <cell r="A132">
            <v>45754</v>
          </cell>
          <cell r="B132">
            <v>80</v>
          </cell>
        </row>
        <row r="133">
          <cell r="A133">
            <v>45751</v>
          </cell>
          <cell r="B133">
            <v>82.1</v>
          </cell>
        </row>
        <row r="134">
          <cell r="A134">
            <v>45750</v>
          </cell>
          <cell r="B134">
            <v>88.26</v>
          </cell>
        </row>
        <row r="135">
          <cell r="A135">
            <v>45749</v>
          </cell>
          <cell r="B135">
            <v>99.41</v>
          </cell>
        </row>
        <row r="136">
          <cell r="A136">
            <v>45748</v>
          </cell>
          <cell r="B136">
            <v>98.23</v>
          </cell>
        </row>
        <row r="137">
          <cell r="A137">
            <v>45747</v>
          </cell>
          <cell r="B137">
            <v>98.09</v>
          </cell>
        </row>
        <row r="138">
          <cell r="A138">
            <v>45744</v>
          </cell>
          <cell r="B138">
            <v>97.73</v>
          </cell>
        </row>
        <row r="139">
          <cell r="A139">
            <v>45743</v>
          </cell>
          <cell r="B139">
            <v>98.85</v>
          </cell>
        </row>
        <row r="140">
          <cell r="A140">
            <v>45742</v>
          </cell>
          <cell r="B140">
            <v>97.97</v>
          </cell>
        </row>
        <row r="141">
          <cell r="A141">
            <v>45741</v>
          </cell>
          <cell r="B141">
            <v>95.88</v>
          </cell>
        </row>
        <row r="142">
          <cell r="A142">
            <v>45740</v>
          </cell>
          <cell r="B142">
            <v>95.72</v>
          </cell>
        </row>
        <row r="143">
          <cell r="A143">
            <v>45737</v>
          </cell>
          <cell r="B143">
            <v>97.07</v>
          </cell>
        </row>
        <row r="144">
          <cell r="A144">
            <v>45736</v>
          </cell>
          <cell r="B144">
            <v>99.28</v>
          </cell>
        </row>
        <row r="145">
          <cell r="A145">
            <v>45735</v>
          </cell>
          <cell r="B145">
            <v>99.19</v>
          </cell>
        </row>
        <row r="146">
          <cell r="A146">
            <v>45734</v>
          </cell>
          <cell r="B146">
            <v>98.28</v>
          </cell>
        </row>
        <row r="147">
          <cell r="A147">
            <v>45733</v>
          </cell>
          <cell r="B147">
            <v>99.08</v>
          </cell>
        </row>
        <row r="148">
          <cell r="A148">
            <v>45730</v>
          </cell>
          <cell r="B148">
            <v>98.11</v>
          </cell>
        </row>
        <row r="149">
          <cell r="A149">
            <v>45729</v>
          </cell>
          <cell r="B149">
            <v>96.04</v>
          </cell>
        </row>
        <row r="150">
          <cell r="A150">
            <v>45728</v>
          </cell>
          <cell r="B150">
            <v>98.69</v>
          </cell>
        </row>
        <row r="151">
          <cell r="A151">
            <v>45727</v>
          </cell>
          <cell r="B151">
            <v>99.58</v>
          </cell>
        </row>
        <row r="152">
          <cell r="A152">
            <v>45726</v>
          </cell>
          <cell r="B152">
            <v>101.125</v>
          </cell>
        </row>
        <row r="153">
          <cell r="A153">
            <v>45723</v>
          </cell>
          <cell r="B153">
            <v>106.48</v>
          </cell>
        </row>
        <row r="154">
          <cell r="A154">
            <v>45722</v>
          </cell>
          <cell r="B154">
            <v>105.47</v>
          </cell>
        </row>
        <row r="155">
          <cell r="A155">
            <v>45721</v>
          </cell>
          <cell r="B155">
            <v>111.69</v>
          </cell>
        </row>
        <row r="156">
          <cell r="A156">
            <v>45720</v>
          </cell>
          <cell r="B156">
            <v>112.06</v>
          </cell>
        </row>
        <row r="157">
          <cell r="A157">
            <v>45719</v>
          </cell>
          <cell r="B157">
            <v>115.41</v>
          </cell>
        </row>
        <row r="158">
          <cell r="A158">
            <v>45716</v>
          </cell>
          <cell r="B158">
            <v>115.81</v>
          </cell>
        </row>
        <row r="159">
          <cell r="A159">
            <v>45715</v>
          </cell>
          <cell r="B159">
            <v>114.49</v>
          </cell>
        </row>
        <row r="160">
          <cell r="A160">
            <v>45714</v>
          </cell>
          <cell r="B160">
            <v>113</v>
          </cell>
        </row>
        <row r="161">
          <cell r="A161">
            <v>45713</v>
          </cell>
          <cell r="B161">
            <v>114.59</v>
          </cell>
        </row>
        <row r="162">
          <cell r="A162">
            <v>45712</v>
          </cell>
          <cell r="B162">
            <v>113.19</v>
          </cell>
        </row>
        <row r="163">
          <cell r="A163">
            <v>45709</v>
          </cell>
          <cell r="B163">
            <v>111.75</v>
          </cell>
        </row>
        <row r="164">
          <cell r="A164">
            <v>45708</v>
          </cell>
          <cell r="B164">
            <v>113.34</v>
          </cell>
        </row>
        <row r="165">
          <cell r="A165">
            <v>45707</v>
          </cell>
          <cell r="B165">
            <v>112.49</v>
          </cell>
        </row>
        <row r="166">
          <cell r="A166">
            <v>45706</v>
          </cell>
          <cell r="B166">
            <v>113.03</v>
          </cell>
        </row>
        <row r="167">
          <cell r="A167">
            <v>45702</v>
          </cell>
          <cell r="B167">
            <v>112.55</v>
          </cell>
        </row>
        <row r="168">
          <cell r="A168">
            <v>45701</v>
          </cell>
          <cell r="B168">
            <v>113</v>
          </cell>
        </row>
        <row r="169">
          <cell r="A169">
            <v>45700</v>
          </cell>
          <cell r="B169">
            <v>113.04</v>
          </cell>
        </row>
        <row r="170">
          <cell r="A170">
            <v>45699</v>
          </cell>
          <cell r="B170">
            <v>111.03</v>
          </cell>
        </row>
        <row r="171">
          <cell r="A171">
            <v>45698</v>
          </cell>
          <cell r="B171">
            <v>111.45</v>
          </cell>
        </row>
        <row r="172">
          <cell r="A172">
            <v>45695</v>
          </cell>
          <cell r="B172">
            <v>112.2</v>
          </cell>
        </row>
        <row r="173">
          <cell r="A173">
            <v>45694</v>
          </cell>
          <cell r="B173">
            <v>111.7</v>
          </cell>
        </row>
        <row r="174">
          <cell r="A174">
            <v>45693</v>
          </cell>
          <cell r="B174">
            <v>112.25</v>
          </cell>
        </row>
        <row r="175">
          <cell r="A175">
            <v>45692</v>
          </cell>
          <cell r="B175">
            <v>110.6</v>
          </cell>
        </row>
        <row r="176">
          <cell r="A176">
            <v>45691</v>
          </cell>
          <cell r="B176">
            <v>108.16</v>
          </cell>
        </row>
        <row r="177">
          <cell r="A177">
            <v>45688</v>
          </cell>
          <cell r="B177">
            <v>107.68</v>
          </cell>
        </row>
        <row r="178">
          <cell r="A178">
            <v>45687</v>
          </cell>
          <cell r="B178">
            <v>109</v>
          </cell>
        </row>
        <row r="179">
          <cell r="A179">
            <v>45686</v>
          </cell>
          <cell r="B179">
            <v>108.58</v>
          </cell>
        </row>
        <row r="180">
          <cell r="A180">
            <v>45685</v>
          </cell>
          <cell r="B180">
            <v>100.41</v>
          </cell>
        </row>
        <row r="181">
          <cell r="A181">
            <v>45684</v>
          </cell>
          <cell r="B181">
            <v>100.02</v>
          </cell>
        </row>
        <row r="182">
          <cell r="A182">
            <v>45681</v>
          </cell>
          <cell r="B182">
            <v>98.81</v>
          </cell>
        </row>
        <row r="183">
          <cell r="A183">
            <v>45680</v>
          </cell>
          <cell r="B183">
            <v>97.99</v>
          </cell>
        </row>
        <row r="184">
          <cell r="A184">
            <v>45679</v>
          </cell>
          <cell r="B184">
            <v>97.73</v>
          </cell>
        </row>
        <row r="185">
          <cell r="A185">
            <v>45678</v>
          </cell>
          <cell r="B185">
            <v>97.98</v>
          </cell>
        </row>
        <row r="186">
          <cell r="A186">
            <v>45674</v>
          </cell>
          <cell r="B186">
            <v>95.13</v>
          </cell>
        </row>
        <row r="187">
          <cell r="A187">
            <v>45673</v>
          </cell>
          <cell r="B187">
            <v>94.43</v>
          </cell>
        </row>
        <row r="188">
          <cell r="A188">
            <v>45672</v>
          </cell>
          <cell r="B188">
            <v>93.08</v>
          </cell>
        </row>
        <row r="189">
          <cell r="A189">
            <v>45671</v>
          </cell>
          <cell r="B189">
            <v>93.07</v>
          </cell>
        </row>
        <row r="190">
          <cell r="A190">
            <v>45670</v>
          </cell>
          <cell r="B190">
            <v>93.51</v>
          </cell>
        </row>
        <row r="191">
          <cell r="A191">
            <v>45667</v>
          </cell>
          <cell r="B191">
            <v>92.25</v>
          </cell>
        </row>
        <row r="192">
          <cell r="A192">
            <v>45665</v>
          </cell>
          <cell r="B192">
            <v>92.6</v>
          </cell>
        </row>
        <row r="193">
          <cell r="A193">
            <v>45664</v>
          </cell>
          <cell r="B193">
            <v>92.84</v>
          </cell>
        </row>
        <row r="194">
          <cell r="A194">
            <v>45663</v>
          </cell>
          <cell r="B194">
            <v>93.13</v>
          </cell>
        </row>
        <row r="195">
          <cell r="A195">
            <v>45660</v>
          </cell>
          <cell r="B195">
            <v>92.58</v>
          </cell>
        </row>
        <row r="196">
          <cell r="A196">
            <v>45659</v>
          </cell>
          <cell r="B196">
            <v>92.17</v>
          </cell>
        </row>
        <row r="197">
          <cell r="A197">
            <v>45657</v>
          </cell>
          <cell r="B197">
            <v>91.25</v>
          </cell>
        </row>
        <row r="198">
          <cell r="A198">
            <v>45656</v>
          </cell>
          <cell r="B198">
            <v>90.58</v>
          </cell>
        </row>
        <row r="199">
          <cell r="A199">
            <v>45653</v>
          </cell>
          <cell r="B199">
            <v>92.25</v>
          </cell>
        </row>
        <row r="200">
          <cell r="A200">
            <v>45652</v>
          </cell>
          <cell r="B200">
            <v>91.86</v>
          </cell>
        </row>
        <row r="201">
          <cell r="A201">
            <v>45650</v>
          </cell>
          <cell r="B201">
            <v>89.91</v>
          </cell>
        </row>
        <row r="202">
          <cell r="A202">
            <v>45649</v>
          </cell>
          <cell r="B202">
            <v>87.44</v>
          </cell>
        </row>
        <row r="203">
          <cell r="A203">
            <v>45646</v>
          </cell>
          <cell r="B203">
            <v>87.97</v>
          </cell>
        </row>
        <row r="204">
          <cell r="A204">
            <v>45645</v>
          </cell>
          <cell r="B204">
            <v>88.76</v>
          </cell>
        </row>
        <row r="205">
          <cell r="A205">
            <v>45644</v>
          </cell>
          <cell r="B205">
            <v>89.9</v>
          </cell>
        </row>
        <row r="206">
          <cell r="A206">
            <v>45643</v>
          </cell>
          <cell r="B206">
            <v>92.09</v>
          </cell>
        </row>
        <row r="207">
          <cell r="A207">
            <v>45642</v>
          </cell>
          <cell r="B207">
            <v>93.12</v>
          </cell>
        </row>
        <row r="208">
          <cell r="A208">
            <v>45639</v>
          </cell>
          <cell r="B208">
            <v>97.42</v>
          </cell>
        </row>
        <row r="209">
          <cell r="A209">
            <v>45638</v>
          </cell>
          <cell r="B209">
            <v>97.82</v>
          </cell>
        </row>
        <row r="210">
          <cell r="A210">
            <v>45637</v>
          </cell>
          <cell r="B210">
            <v>98.42</v>
          </cell>
        </row>
        <row r="211">
          <cell r="A211">
            <v>45636</v>
          </cell>
          <cell r="B211">
            <v>98.16</v>
          </cell>
        </row>
        <row r="212">
          <cell r="A212">
            <v>45635</v>
          </cell>
          <cell r="B212">
            <v>99.31</v>
          </cell>
        </row>
        <row r="213">
          <cell r="A213">
            <v>45632</v>
          </cell>
          <cell r="B213">
            <v>100.11</v>
          </cell>
        </row>
        <row r="214">
          <cell r="A214">
            <v>45631</v>
          </cell>
          <cell r="B214">
            <v>99.23</v>
          </cell>
        </row>
        <row r="215">
          <cell r="A215">
            <v>45630</v>
          </cell>
          <cell r="B215">
            <v>100.7</v>
          </cell>
        </row>
        <row r="216">
          <cell r="A216">
            <v>45629</v>
          </cell>
          <cell r="B216">
            <v>101.57</v>
          </cell>
        </row>
        <row r="217">
          <cell r="A217">
            <v>45628</v>
          </cell>
          <cell r="B217">
            <v>101.51</v>
          </cell>
        </row>
        <row r="218">
          <cell r="A218">
            <v>45625</v>
          </cell>
          <cell r="B218">
            <v>102.46</v>
          </cell>
        </row>
        <row r="219">
          <cell r="A219">
            <v>45623</v>
          </cell>
          <cell r="B219">
            <v>101.51</v>
          </cell>
        </row>
        <row r="220">
          <cell r="A220">
            <v>45622</v>
          </cell>
          <cell r="B220">
            <v>100.68</v>
          </cell>
        </row>
        <row r="221">
          <cell r="A221">
            <v>45621</v>
          </cell>
          <cell r="B221">
            <v>101.84</v>
          </cell>
        </row>
        <row r="222">
          <cell r="A222">
            <v>45618</v>
          </cell>
          <cell r="B222">
            <v>102.5</v>
          </cell>
        </row>
        <row r="223">
          <cell r="A223">
            <v>45617</v>
          </cell>
          <cell r="B223">
            <v>100.06</v>
          </cell>
        </row>
        <row r="224">
          <cell r="A224">
            <v>45616</v>
          </cell>
          <cell r="B224">
            <v>98.26</v>
          </cell>
        </row>
        <row r="225">
          <cell r="A225">
            <v>45615</v>
          </cell>
          <cell r="B225">
            <v>98.35</v>
          </cell>
        </row>
        <row r="226">
          <cell r="A226">
            <v>45614</v>
          </cell>
          <cell r="B226">
            <v>100.4</v>
          </cell>
        </row>
        <row r="227">
          <cell r="A227">
            <v>45611</v>
          </cell>
          <cell r="B227">
            <v>98.42</v>
          </cell>
        </row>
        <row r="228">
          <cell r="A228">
            <v>45610</v>
          </cell>
          <cell r="B228">
            <v>99.23</v>
          </cell>
        </row>
        <row r="229">
          <cell r="A229">
            <v>45609</v>
          </cell>
          <cell r="B229">
            <v>99.8</v>
          </cell>
        </row>
        <row r="230">
          <cell r="A230">
            <v>45608</v>
          </cell>
          <cell r="B230">
            <v>98.8</v>
          </cell>
        </row>
        <row r="231">
          <cell r="A231">
            <v>45607</v>
          </cell>
          <cell r="B231">
            <v>100.31</v>
          </cell>
        </row>
        <row r="232">
          <cell r="A232">
            <v>45604</v>
          </cell>
          <cell r="B232">
            <v>97.55</v>
          </cell>
        </row>
        <row r="233">
          <cell r="A233">
            <v>45603</v>
          </cell>
          <cell r="B233">
            <v>96.12</v>
          </cell>
        </row>
        <row r="234">
          <cell r="A234">
            <v>45602</v>
          </cell>
          <cell r="B234">
            <v>96.08</v>
          </cell>
        </row>
        <row r="235">
          <cell r="A235">
            <v>45601</v>
          </cell>
          <cell r="B235">
            <v>97.09</v>
          </cell>
        </row>
        <row r="236">
          <cell r="A236">
            <v>45600</v>
          </cell>
          <cell r="B236">
            <v>97.03</v>
          </cell>
        </row>
        <row r="237">
          <cell r="A237">
            <v>45597</v>
          </cell>
          <cell r="B237">
            <v>98.87</v>
          </cell>
        </row>
        <row r="238">
          <cell r="A238">
            <v>45596</v>
          </cell>
          <cell r="B238">
            <v>97.7</v>
          </cell>
        </row>
        <row r="239">
          <cell r="A239">
            <v>45595</v>
          </cell>
          <cell r="B239">
            <v>97.32</v>
          </cell>
        </row>
        <row r="240">
          <cell r="A240">
            <v>45594</v>
          </cell>
          <cell r="B240">
            <v>97.39</v>
          </cell>
        </row>
        <row r="241">
          <cell r="A241">
            <v>45593</v>
          </cell>
          <cell r="B241">
            <v>98.02</v>
          </cell>
        </row>
        <row r="242">
          <cell r="A242">
            <v>45590</v>
          </cell>
          <cell r="B242">
            <v>97.31</v>
          </cell>
        </row>
        <row r="243">
          <cell r="A243">
            <v>45589</v>
          </cell>
          <cell r="B243">
            <v>97.15</v>
          </cell>
        </row>
        <row r="244">
          <cell r="A244">
            <v>45588</v>
          </cell>
          <cell r="B244">
            <v>97.65</v>
          </cell>
        </row>
        <row r="245">
          <cell r="A245">
            <v>45587</v>
          </cell>
          <cell r="B245">
            <v>96.82</v>
          </cell>
        </row>
        <row r="246">
          <cell r="A246">
            <v>45586</v>
          </cell>
          <cell r="B246">
            <v>96.45</v>
          </cell>
        </row>
        <row r="247">
          <cell r="A247">
            <v>45583</v>
          </cell>
          <cell r="B247">
            <v>96.84</v>
          </cell>
        </row>
        <row r="248">
          <cell r="A248">
            <v>45582</v>
          </cell>
          <cell r="B248">
            <v>95.27</v>
          </cell>
        </row>
        <row r="249">
          <cell r="A249">
            <v>45581</v>
          </cell>
          <cell r="B249">
            <v>95.46</v>
          </cell>
        </row>
        <row r="250">
          <cell r="A250">
            <v>45580</v>
          </cell>
          <cell r="B250">
            <v>95.04</v>
          </cell>
        </row>
        <row r="251">
          <cell r="A251">
            <v>45579</v>
          </cell>
          <cell r="B251">
            <v>94.76</v>
          </cell>
        </row>
        <row r="252">
          <cell r="A252">
            <v>45576</v>
          </cell>
          <cell r="B252">
            <v>95.55</v>
          </cell>
        </row>
        <row r="253">
          <cell r="A253">
            <v>45575</v>
          </cell>
          <cell r="B253">
            <v>93.88</v>
          </cell>
        </row>
        <row r="254">
          <cell r="A254">
            <v>45574</v>
          </cell>
          <cell r="B254">
            <v>95.88</v>
          </cell>
        </row>
        <row r="255">
          <cell r="A255">
            <v>45573</v>
          </cell>
          <cell r="B255">
            <v>96.21</v>
          </cell>
        </row>
        <row r="256">
          <cell r="A256">
            <v>45572</v>
          </cell>
          <cell r="B256">
            <v>96.09</v>
          </cell>
        </row>
        <row r="257">
          <cell r="A257">
            <v>45569</v>
          </cell>
          <cell r="B257">
            <v>96.58</v>
          </cell>
        </row>
        <row r="258">
          <cell r="A258">
            <v>45568</v>
          </cell>
          <cell r="B258">
            <v>95.56</v>
          </cell>
        </row>
        <row r="259">
          <cell r="A259">
            <v>45567</v>
          </cell>
          <cell r="B259">
            <v>96.5</v>
          </cell>
        </row>
        <row r="260">
          <cell r="A260">
            <v>45566</v>
          </cell>
          <cell r="B260">
            <v>97.43</v>
          </cell>
        </row>
        <row r="261">
          <cell r="A261">
            <v>45565</v>
          </cell>
          <cell r="B261">
            <v>97.49</v>
          </cell>
        </row>
        <row r="262">
          <cell r="A262">
            <v>45562</v>
          </cell>
          <cell r="B262">
            <v>97.36</v>
          </cell>
        </row>
        <row r="263">
          <cell r="A263">
            <v>45561</v>
          </cell>
          <cell r="B263">
            <v>97.47</v>
          </cell>
        </row>
        <row r="264">
          <cell r="A264">
            <v>45560</v>
          </cell>
          <cell r="B264">
            <v>95.62</v>
          </cell>
        </row>
        <row r="265">
          <cell r="A265">
            <v>45559</v>
          </cell>
          <cell r="B265">
            <v>94.45</v>
          </cell>
        </row>
        <row r="266">
          <cell r="A266">
            <v>45558</v>
          </cell>
          <cell r="B266">
            <v>95.48</v>
          </cell>
        </row>
        <row r="267">
          <cell r="A267">
            <v>45555</v>
          </cell>
          <cell r="B267">
            <v>96.05</v>
          </cell>
        </row>
        <row r="268">
          <cell r="A268">
            <v>45554</v>
          </cell>
          <cell r="B268">
            <v>96.9</v>
          </cell>
        </row>
        <row r="269">
          <cell r="A269">
            <v>45553</v>
          </cell>
          <cell r="B269">
            <v>96.12</v>
          </cell>
        </row>
        <row r="270">
          <cell r="A270">
            <v>45552</v>
          </cell>
          <cell r="B270">
            <v>96.44</v>
          </cell>
        </row>
        <row r="271">
          <cell r="A271">
            <v>45551</v>
          </cell>
          <cell r="B271">
            <v>96.31</v>
          </cell>
        </row>
        <row r="272">
          <cell r="A272">
            <v>45548</v>
          </cell>
          <cell r="B272">
            <v>98.57</v>
          </cell>
        </row>
        <row r="273">
          <cell r="A273">
            <v>45547</v>
          </cell>
          <cell r="B273">
            <v>99.28</v>
          </cell>
        </row>
        <row r="274">
          <cell r="A274">
            <v>45546</v>
          </cell>
          <cell r="B274">
            <v>98.2</v>
          </cell>
        </row>
        <row r="275">
          <cell r="A275">
            <v>45545</v>
          </cell>
          <cell r="B275">
            <v>93.34</v>
          </cell>
        </row>
        <row r="276">
          <cell r="A276">
            <v>45544</v>
          </cell>
          <cell r="B276">
            <v>92.21</v>
          </cell>
        </row>
        <row r="277">
          <cell r="A277">
            <v>45541</v>
          </cell>
          <cell r="B277">
            <v>91.15</v>
          </cell>
        </row>
        <row r="278">
          <cell r="A278">
            <v>45540</v>
          </cell>
          <cell r="B278">
            <v>91.56</v>
          </cell>
        </row>
        <row r="279">
          <cell r="A279">
            <v>45539</v>
          </cell>
          <cell r="B279">
            <v>92.33</v>
          </cell>
        </row>
        <row r="280">
          <cell r="A280">
            <v>45538</v>
          </cell>
          <cell r="B280">
            <v>93.18</v>
          </cell>
        </row>
        <row r="281">
          <cell r="A281">
            <v>45534</v>
          </cell>
          <cell r="B281">
            <v>94.57</v>
          </cell>
        </row>
        <row r="282">
          <cell r="A282">
            <v>45533</v>
          </cell>
          <cell r="B282">
            <v>94.86</v>
          </cell>
        </row>
        <row r="283">
          <cell r="A283">
            <v>45532</v>
          </cell>
          <cell r="B283">
            <v>95.3</v>
          </cell>
        </row>
        <row r="284">
          <cell r="A284">
            <v>45531</v>
          </cell>
          <cell r="B284">
            <v>98.6</v>
          </cell>
        </row>
        <row r="285">
          <cell r="A285">
            <v>45530</v>
          </cell>
          <cell r="B285">
            <v>95.63</v>
          </cell>
        </row>
        <row r="286">
          <cell r="A286">
            <v>45527</v>
          </cell>
          <cell r="B286">
            <v>94.02</v>
          </cell>
        </row>
        <row r="287">
          <cell r="A287">
            <v>45526</v>
          </cell>
          <cell r="B287">
            <v>92.43</v>
          </cell>
        </row>
        <row r="288">
          <cell r="A288">
            <v>45525</v>
          </cell>
          <cell r="B288">
            <v>92.78</v>
          </cell>
        </row>
        <row r="289">
          <cell r="A289">
            <v>45524</v>
          </cell>
          <cell r="B289">
            <v>93.01</v>
          </cell>
        </row>
        <row r="290">
          <cell r="A290">
            <v>45523</v>
          </cell>
          <cell r="B290">
            <v>92.3</v>
          </cell>
        </row>
        <row r="291">
          <cell r="A291">
            <v>45520</v>
          </cell>
          <cell r="B291">
            <v>94.81</v>
          </cell>
        </row>
        <row r="292">
          <cell r="A292">
            <v>45519</v>
          </cell>
          <cell r="B292">
            <v>94.88</v>
          </cell>
        </row>
        <row r="293">
          <cell r="A293">
            <v>45518</v>
          </cell>
          <cell r="B293">
            <v>93.9</v>
          </cell>
        </row>
        <row r="294">
          <cell r="A294">
            <v>45517</v>
          </cell>
          <cell r="B294">
            <v>95.9</v>
          </cell>
        </row>
        <row r="295">
          <cell r="A295">
            <v>45516</v>
          </cell>
          <cell r="B295">
            <v>77.03</v>
          </cell>
        </row>
        <row r="296">
          <cell r="A296">
            <v>45513</v>
          </cell>
          <cell r="B296">
            <v>75.09</v>
          </cell>
        </row>
        <row r="297">
          <cell r="A297">
            <v>45512</v>
          </cell>
          <cell r="B297">
            <v>75.75</v>
          </cell>
        </row>
        <row r="298">
          <cell r="A298">
            <v>45511</v>
          </cell>
          <cell r="B298">
            <v>75.290000000000006</v>
          </cell>
        </row>
        <row r="299">
          <cell r="A299">
            <v>45510</v>
          </cell>
          <cell r="B299">
            <v>75.37</v>
          </cell>
        </row>
        <row r="300">
          <cell r="A300">
            <v>45509</v>
          </cell>
          <cell r="B300">
            <v>73.86</v>
          </cell>
        </row>
        <row r="301">
          <cell r="A301">
            <v>45506</v>
          </cell>
          <cell r="B301">
            <v>75.88</v>
          </cell>
        </row>
        <row r="302">
          <cell r="A302">
            <v>45505</v>
          </cell>
          <cell r="B302">
            <v>75.11</v>
          </cell>
        </row>
        <row r="303">
          <cell r="A303">
            <v>45504</v>
          </cell>
          <cell r="B303">
            <v>77.95</v>
          </cell>
        </row>
        <row r="304">
          <cell r="A304">
            <v>45503</v>
          </cell>
          <cell r="B304">
            <v>75.94</v>
          </cell>
        </row>
        <row r="305">
          <cell r="A305">
            <v>45502</v>
          </cell>
          <cell r="B305">
            <v>75.2</v>
          </cell>
        </row>
        <row r="306">
          <cell r="A306">
            <v>45499</v>
          </cell>
          <cell r="B306">
            <v>74.05</v>
          </cell>
        </row>
        <row r="307">
          <cell r="A307">
            <v>45498</v>
          </cell>
          <cell r="B307">
            <v>73.319999999999993</v>
          </cell>
        </row>
        <row r="308">
          <cell r="A308">
            <v>45497</v>
          </cell>
          <cell r="B308">
            <v>74.680000000000007</v>
          </cell>
        </row>
        <row r="309">
          <cell r="A309">
            <v>45496</v>
          </cell>
          <cell r="B309">
            <v>76.260000000000005</v>
          </cell>
        </row>
        <row r="310">
          <cell r="A310">
            <v>45495</v>
          </cell>
          <cell r="B310">
            <v>76.55</v>
          </cell>
        </row>
        <row r="311">
          <cell r="A311">
            <v>45492</v>
          </cell>
          <cell r="B311">
            <v>79.27</v>
          </cell>
        </row>
        <row r="312">
          <cell r="A312">
            <v>45491</v>
          </cell>
          <cell r="B312">
            <v>74.19</v>
          </cell>
        </row>
        <row r="313">
          <cell r="A313">
            <v>45490</v>
          </cell>
          <cell r="B313">
            <v>75.099999999999994</v>
          </cell>
        </row>
        <row r="314">
          <cell r="A314">
            <v>45489</v>
          </cell>
          <cell r="B314">
            <v>75.510000000000005</v>
          </cell>
        </row>
        <row r="315">
          <cell r="A315">
            <v>45488</v>
          </cell>
          <cell r="B315">
            <v>72.75</v>
          </cell>
        </row>
        <row r="316">
          <cell r="A316">
            <v>45485</v>
          </cell>
          <cell r="B316">
            <v>74.83</v>
          </cell>
        </row>
        <row r="317">
          <cell r="A317">
            <v>45484</v>
          </cell>
          <cell r="B317">
            <v>73.3</v>
          </cell>
        </row>
        <row r="318">
          <cell r="A318">
            <v>45483</v>
          </cell>
          <cell r="B318">
            <v>72.510000000000005</v>
          </cell>
        </row>
        <row r="319">
          <cell r="A319">
            <v>45482</v>
          </cell>
          <cell r="B319">
            <v>72.75</v>
          </cell>
        </row>
        <row r="320">
          <cell r="A320">
            <v>45481</v>
          </cell>
          <cell r="B320">
            <v>74.569999999999993</v>
          </cell>
        </row>
        <row r="321">
          <cell r="A321">
            <v>45478</v>
          </cell>
          <cell r="B321">
            <v>76.05</v>
          </cell>
        </row>
        <row r="322">
          <cell r="A322">
            <v>45476</v>
          </cell>
          <cell r="B322">
            <v>76.260000000000005</v>
          </cell>
        </row>
        <row r="323">
          <cell r="A323">
            <v>45475</v>
          </cell>
          <cell r="B323">
            <v>76.83</v>
          </cell>
        </row>
        <row r="324">
          <cell r="A324">
            <v>45474</v>
          </cell>
          <cell r="B324">
            <v>77.13</v>
          </cell>
        </row>
        <row r="325">
          <cell r="A325">
            <v>45471</v>
          </cell>
          <cell r="B325">
            <v>77.849999999999994</v>
          </cell>
        </row>
        <row r="326">
          <cell r="A326">
            <v>45470</v>
          </cell>
          <cell r="B326">
            <v>79.234999999999999</v>
          </cell>
        </row>
        <row r="327">
          <cell r="A327">
            <v>45469</v>
          </cell>
          <cell r="B327">
            <v>79.150000000000006</v>
          </cell>
        </row>
        <row r="328">
          <cell r="A328">
            <v>45468</v>
          </cell>
          <cell r="B328">
            <v>79.28</v>
          </cell>
        </row>
        <row r="329">
          <cell r="A329">
            <v>45467</v>
          </cell>
          <cell r="B329">
            <v>79.73</v>
          </cell>
        </row>
        <row r="330">
          <cell r="A330">
            <v>45464</v>
          </cell>
          <cell r="B330">
            <v>79.91</v>
          </cell>
        </row>
        <row r="331">
          <cell r="A331">
            <v>45463</v>
          </cell>
          <cell r="B331">
            <v>79.72</v>
          </cell>
        </row>
        <row r="332">
          <cell r="A332">
            <v>45461</v>
          </cell>
          <cell r="B332">
            <v>80.2</v>
          </cell>
        </row>
        <row r="333">
          <cell r="A333">
            <v>45460</v>
          </cell>
          <cell r="B333">
            <v>81.33</v>
          </cell>
        </row>
        <row r="334">
          <cell r="A334">
            <v>45457</v>
          </cell>
          <cell r="B334">
            <v>79.650000000000006</v>
          </cell>
        </row>
        <row r="335">
          <cell r="A335">
            <v>45456</v>
          </cell>
          <cell r="B335">
            <v>80.239999999999995</v>
          </cell>
        </row>
        <row r="336">
          <cell r="A336">
            <v>45455</v>
          </cell>
          <cell r="B336">
            <v>79.38</v>
          </cell>
        </row>
        <row r="337">
          <cell r="A337">
            <v>45454</v>
          </cell>
          <cell r="B337">
            <v>79.89</v>
          </cell>
        </row>
        <row r="338">
          <cell r="A338">
            <v>45453</v>
          </cell>
          <cell r="B338">
            <v>81.599999999999994</v>
          </cell>
        </row>
        <row r="339">
          <cell r="A339">
            <v>45450</v>
          </cell>
          <cell r="B339">
            <v>81.430000000000007</v>
          </cell>
        </row>
        <row r="340">
          <cell r="A340">
            <v>45449</v>
          </cell>
          <cell r="B340">
            <v>81.47</v>
          </cell>
        </row>
        <row r="341">
          <cell r="A341">
            <v>45448</v>
          </cell>
          <cell r="B341">
            <v>81.16</v>
          </cell>
        </row>
        <row r="342">
          <cell r="A342">
            <v>45447</v>
          </cell>
          <cell r="B342">
            <v>82.79</v>
          </cell>
        </row>
        <row r="343">
          <cell r="A343">
            <v>45446</v>
          </cell>
          <cell r="B343">
            <v>82.08</v>
          </cell>
        </row>
        <row r="344">
          <cell r="A344">
            <v>45443</v>
          </cell>
          <cell r="B344">
            <v>80.22</v>
          </cell>
        </row>
        <row r="345">
          <cell r="A345">
            <v>45442</v>
          </cell>
          <cell r="B345">
            <v>78.760000000000005</v>
          </cell>
        </row>
        <row r="346">
          <cell r="A346">
            <v>45441</v>
          </cell>
          <cell r="B346">
            <v>76.88</v>
          </cell>
        </row>
        <row r="347">
          <cell r="A347">
            <v>45440</v>
          </cell>
          <cell r="B347">
            <v>77.48</v>
          </cell>
        </row>
        <row r="348">
          <cell r="A348">
            <v>45436</v>
          </cell>
          <cell r="B348">
            <v>78.87</v>
          </cell>
        </row>
        <row r="349">
          <cell r="A349">
            <v>45435</v>
          </cell>
          <cell r="B349">
            <v>78.305000000000007</v>
          </cell>
        </row>
        <row r="350">
          <cell r="A350">
            <v>45434</v>
          </cell>
          <cell r="B350">
            <v>80.72</v>
          </cell>
        </row>
        <row r="351">
          <cell r="A351">
            <v>45433</v>
          </cell>
          <cell r="B351">
            <v>77.72</v>
          </cell>
        </row>
        <row r="352">
          <cell r="A352">
            <v>45432</v>
          </cell>
          <cell r="B352">
            <v>77.540000000000006</v>
          </cell>
        </row>
        <row r="353">
          <cell r="A353">
            <v>45429</v>
          </cell>
          <cell r="B353">
            <v>77.849999999999994</v>
          </cell>
        </row>
        <row r="354">
          <cell r="A354">
            <v>45428</v>
          </cell>
          <cell r="B354">
            <v>75.28</v>
          </cell>
        </row>
        <row r="355">
          <cell r="A355">
            <v>45427</v>
          </cell>
          <cell r="B355">
            <v>75.7</v>
          </cell>
        </row>
        <row r="356">
          <cell r="A356">
            <v>45426</v>
          </cell>
          <cell r="B356">
            <v>75.63</v>
          </cell>
        </row>
        <row r="357">
          <cell r="A357">
            <v>45425</v>
          </cell>
          <cell r="B357">
            <v>76.180000000000007</v>
          </cell>
        </row>
        <row r="358">
          <cell r="A358">
            <v>45422</v>
          </cell>
          <cell r="B358">
            <v>76.11</v>
          </cell>
        </row>
        <row r="359">
          <cell r="A359">
            <v>45421</v>
          </cell>
          <cell r="B359">
            <v>75.680000000000007</v>
          </cell>
        </row>
        <row r="360">
          <cell r="A360">
            <v>45420</v>
          </cell>
          <cell r="B360">
            <v>73.5</v>
          </cell>
        </row>
        <row r="361">
          <cell r="A361">
            <v>45419</v>
          </cell>
          <cell r="B361">
            <v>72.5</v>
          </cell>
        </row>
        <row r="362">
          <cell r="A362">
            <v>45418</v>
          </cell>
          <cell r="B362">
            <v>72.900000000000006</v>
          </cell>
        </row>
        <row r="363">
          <cell r="A363">
            <v>45415</v>
          </cell>
          <cell r="B363">
            <v>73.11</v>
          </cell>
        </row>
        <row r="364">
          <cell r="A364">
            <v>45414</v>
          </cell>
          <cell r="B364">
            <v>74.930000000000007</v>
          </cell>
        </row>
        <row r="365">
          <cell r="A365">
            <v>45413</v>
          </cell>
          <cell r="B365">
            <v>74.44</v>
          </cell>
        </row>
        <row r="366">
          <cell r="A366">
            <v>45412</v>
          </cell>
          <cell r="B366">
            <v>88.49</v>
          </cell>
        </row>
        <row r="367">
          <cell r="A367">
            <v>45411</v>
          </cell>
          <cell r="B367">
            <v>88.33</v>
          </cell>
        </row>
        <row r="368">
          <cell r="A368">
            <v>45408</v>
          </cell>
          <cell r="B368">
            <v>88.25</v>
          </cell>
        </row>
        <row r="369">
          <cell r="A369">
            <v>45407</v>
          </cell>
          <cell r="B369">
            <v>87.84</v>
          </cell>
        </row>
        <row r="370">
          <cell r="A370">
            <v>45406</v>
          </cell>
          <cell r="B370">
            <v>88.75</v>
          </cell>
        </row>
        <row r="371">
          <cell r="A371">
            <v>45405</v>
          </cell>
          <cell r="B371">
            <v>87.87</v>
          </cell>
        </row>
        <row r="372">
          <cell r="A372">
            <v>45404</v>
          </cell>
          <cell r="B372">
            <v>88.18</v>
          </cell>
        </row>
        <row r="373">
          <cell r="A373">
            <v>45401</v>
          </cell>
          <cell r="B373">
            <v>87.61</v>
          </cell>
        </row>
        <row r="374">
          <cell r="A374">
            <v>45400</v>
          </cell>
          <cell r="B374">
            <v>87.15</v>
          </cell>
        </row>
        <row r="375">
          <cell r="A375">
            <v>45399</v>
          </cell>
          <cell r="B375">
            <v>86.21</v>
          </cell>
        </row>
        <row r="376">
          <cell r="A376">
            <v>45398</v>
          </cell>
          <cell r="B376">
            <v>85.42</v>
          </cell>
        </row>
        <row r="377">
          <cell r="A377">
            <v>45397</v>
          </cell>
          <cell r="B377">
            <v>85.17</v>
          </cell>
        </row>
        <row r="378">
          <cell r="A378">
            <v>45394</v>
          </cell>
          <cell r="B378">
            <v>84.92</v>
          </cell>
        </row>
        <row r="379">
          <cell r="A379">
            <v>45393</v>
          </cell>
          <cell r="B379">
            <v>85.9</v>
          </cell>
        </row>
        <row r="380">
          <cell r="A380">
            <v>45392</v>
          </cell>
          <cell r="B380">
            <v>85.95</v>
          </cell>
        </row>
        <row r="381">
          <cell r="A381">
            <v>45391</v>
          </cell>
          <cell r="B381">
            <v>87.13</v>
          </cell>
        </row>
        <row r="382">
          <cell r="A382">
            <v>45390</v>
          </cell>
          <cell r="B382">
            <v>87.19</v>
          </cell>
        </row>
        <row r="383">
          <cell r="A383">
            <v>45387</v>
          </cell>
          <cell r="B383">
            <v>86.85</v>
          </cell>
        </row>
        <row r="384">
          <cell r="A384">
            <v>45386</v>
          </cell>
          <cell r="B384">
            <v>87.62</v>
          </cell>
        </row>
        <row r="385">
          <cell r="A385">
            <v>45385</v>
          </cell>
          <cell r="B385">
            <v>88.7</v>
          </cell>
        </row>
        <row r="386">
          <cell r="A386">
            <v>45384</v>
          </cell>
          <cell r="B386">
            <v>89.3</v>
          </cell>
        </row>
        <row r="387">
          <cell r="A387">
            <v>45383</v>
          </cell>
          <cell r="B387">
            <v>91.53</v>
          </cell>
        </row>
        <row r="388">
          <cell r="A388">
            <v>45379</v>
          </cell>
          <cell r="B388">
            <v>91.39</v>
          </cell>
        </row>
        <row r="389">
          <cell r="A389">
            <v>45378</v>
          </cell>
          <cell r="B389">
            <v>91.5</v>
          </cell>
        </row>
        <row r="390">
          <cell r="A390">
            <v>45377</v>
          </cell>
          <cell r="B390">
            <v>90.36</v>
          </cell>
        </row>
        <row r="391">
          <cell r="A391">
            <v>45376</v>
          </cell>
          <cell r="B391">
            <v>90.67</v>
          </cell>
        </row>
        <row r="392">
          <cell r="A392">
            <v>45373</v>
          </cell>
          <cell r="B392">
            <v>90.71</v>
          </cell>
        </row>
        <row r="393">
          <cell r="A393">
            <v>45372</v>
          </cell>
          <cell r="B393">
            <v>91.66</v>
          </cell>
        </row>
        <row r="394">
          <cell r="A394">
            <v>45371</v>
          </cell>
          <cell r="B394">
            <v>92.6</v>
          </cell>
        </row>
        <row r="395">
          <cell r="A395">
            <v>45370</v>
          </cell>
          <cell r="B395">
            <v>91.59</v>
          </cell>
        </row>
        <row r="396">
          <cell r="A396">
            <v>45369</v>
          </cell>
          <cell r="B396">
            <v>91.01</v>
          </cell>
        </row>
        <row r="397">
          <cell r="A397">
            <v>45366</v>
          </cell>
          <cell r="B397">
            <v>90.12</v>
          </cell>
        </row>
        <row r="398">
          <cell r="A398">
            <v>45365</v>
          </cell>
          <cell r="B398">
            <v>91.66</v>
          </cell>
        </row>
        <row r="399">
          <cell r="A399">
            <v>45364</v>
          </cell>
          <cell r="B399">
            <v>91.61</v>
          </cell>
        </row>
        <row r="400">
          <cell r="A400">
            <v>45363</v>
          </cell>
          <cell r="B400">
            <v>92.4</v>
          </cell>
        </row>
        <row r="401">
          <cell r="A401">
            <v>45362</v>
          </cell>
          <cell r="B401">
            <v>92.07</v>
          </cell>
        </row>
        <row r="402">
          <cell r="A402">
            <v>45359</v>
          </cell>
          <cell r="B402">
            <v>91.06</v>
          </cell>
        </row>
        <row r="403">
          <cell r="A403">
            <v>45358</v>
          </cell>
          <cell r="B403">
            <v>90.95</v>
          </cell>
        </row>
        <row r="404">
          <cell r="A404">
            <v>45357</v>
          </cell>
          <cell r="B404">
            <v>91.65</v>
          </cell>
        </row>
        <row r="405">
          <cell r="A405">
            <v>45356</v>
          </cell>
          <cell r="B405">
            <v>91.22</v>
          </cell>
        </row>
        <row r="406">
          <cell r="A406">
            <v>45355</v>
          </cell>
          <cell r="B406">
            <v>92.46</v>
          </cell>
        </row>
        <row r="407">
          <cell r="A407">
            <v>45352</v>
          </cell>
          <cell r="B407">
            <v>93.16</v>
          </cell>
        </row>
        <row r="408">
          <cell r="A408">
            <v>45351</v>
          </cell>
          <cell r="B408">
            <v>94.9</v>
          </cell>
        </row>
        <row r="409">
          <cell r="A409">
            <v>45350</v>
          </cell>
          <cell r="B409">
            <v>93</v>
          </cell>
        </row>
        <row r="410">
          <cell r="A410">
            <v>45349</v>
          </cell>
          <cell r="B410">
            <v>94.13</v>
          </cell>
        </row>
        <row r="411">
          <cell r="A411">
            <v>45348</v>
          </cell>
          <cell r="B411">
            <v>94.28</v>
          </cell>
        </row>
        <row r="412">
          <cell r="A412">
            <v>45345</v>
          </cell>
          <cell r="B412">
            <v>95.62</v>
          </cell>
        </row>
        <row r="413">
          <cell r="A413">
            <v>45344</v>
          </cell>
          <cell r="B413">
            <v>95.78</v>
          </cell>
        </row>
        <row r="414">
          <cell r="A414">
            <v>45343</v>
          </cell>
          <cell r="B414">
            <v>95.02</v>
          </cell>
        </row>
        <row r="415">
          <cell r="A415">
            <v>45342</v>
          </cell>
          <cell r="B415">
            <v>93.46</v>
          </cell>
        </row>
        <row r="416">
          <cell r="A416">
            <v>45338</v>
          </cell>
          <cell r="B416">
            <v>93.22</v>
          </cell>
        </row>
        <row r="417">
          <cell r="A417">
            <v>45337</v>
          </cell>
          <cell r="B417">
            <v>93.22</v>
          </cell>
        </row>
        <row r="418">
          <cell r="A418">
            <v>45336</v>
          </cell>
          <cell r="B418">
            <v>94.07</v>
          </cell>
        </row>
        <row r="419">
          <cell r="A419">
            <v>45335</v>
          </cell>
          <cell r="B419">
            <v>93.87</v>
          </cell>
        </row>
        <row r="420">
          <cell r="A420">
            <v>45334</v>
          </cell>
          <cell r="B420">
            <v>95.47</v>
          </cell>
        </row>
        <row r="421">
          <cell r="A421">
            <v>45331</v>
          </cell>
          <cell r="B421">
            <v>97.3</v>
          </cell>
        </row>
        <row r="422">
          <cell r="A422">
            <v>45330</v>
          </cell>
          <cell r="B422">
            <v>96.59</v>
          </cell>
        </row>
        <row r="423">
          <cell r="A423">
            <v>45329</v>
          </cell>
          <cell r="B423">
            <v>95.31</v>
          </cell>
        </row>
        <row r="424">
          <cell r="A424">
            <v>45328</v>
          </cell>
          <cell r="B424">
            <v>95.67</v>
          </cell>
        </row>
        <row r="425">
          <cell r="A425">
            <v>45327</v>
          </cell>
          <cell r="B425">
            <v>92.51</v>
          </cell>
        </row>
        <row r="426">
          <cell r="A426">
            <v>45324</v>
          </cell>
          <cell r="B426">
            <v>92.99</v>
          </cell>
        </row>
        <row r="427">
          <cell r="A427">
            <v>45323</v>
          </cell>
          <cell r="B427">
            <v>93.37</v>
          </cell>
        </row>
        <row r="428">
          <cell r="A428">
            <v>45322</v>
          </cell>
          <cell r="B428">
            <v>93.03</v>
          </cell>
        </row>
        <row r="429">
          <cell r="A429">
            <v>45321</v>
          </cell>
          <cell r="B429">
            <v>94.08</v>
          </cell>
        </row>
        <row r="430">
          <cell r="A430">
            <v>45320</v>
          </cell>
          <cell r="B430">
            <v>93.8</v>
          </cell>
        </row>
        <row r="431">
          <cell r="A431">
            <v>45317</v>
          </cell>
          <cell r="B431">
            <v>92.8</v>
          </cell>
        </row>
        <row r="432">
          <cell r="A432">
            <v>45316</v>
          </cell>
          <cell r="B432">
            <v>92.61</v>
          </cell>
        </row>
        <row r="433">
          <cell r="A433">
            <v>45315</v>
          </cell>
          <cell r="B433">
            <v>92.04</v>
          </cell>
        </row>
        <row r="434">
          <cell r="A434">
            <v>45314</v>
          </cell>
          <cell r="B434">
            <v>91.97</v>
          </cell>
        </row>
        <row r="435">
          <cell r="A435">
            <v>45313</v>
          </cell>
          <cell r="B435">
            <v>93.07</v>
          </cell>
        </row>
        <row r="436">
          <cell r="A436">
            <v>45310</v>
          </cell>
          <cell r="B436">
            <v>93.86</v>
          </cell>
        </row>
        <row r="437">
          <cell r="A437">
            <v>45309</v>
          </cell>
          <cell r="B437">
            <v>93.34</v>
          </cell>
        </row>
        <row r="438">
          <cell r="A438">
            <v>45308</v>
          </cell>
          <cell r="B438">
            <v>91.77</v>
          </cell>
        </row>
        <row r="439">
          <cell r="A439">
            <v>45307</v>
          </cell>
          <cell r="B439">
            <v>92.7</v>
          </cell>
        </row>
        <row r="440">
          <cell r="A440">
            <v>45303</v>
          </cell>
          <cell r="B440">
            <v>91.98</v>
          </cell>
        </row>
        <row r="441">
          <cell r="A441">
            <v>45302</v>
          </cell>
          <cell r="B441">
            <v>92.94</v>
          </cell>
        </row>
        <row r="442">
          <cell r="A442">
            <v>45301</v>
          </cell>
          <cell r="B442">
            <v>93.5</v>
          </cell>
        </row>
        <row r="443">
          <cell r="A443">
            <v>45300</v>
          </cell>
          <cell r="B443">
            <v>93.09</v>
          </cell>
        </row>
        <row r="444">
          <cell r="A444">
            <v>45299</v>
          </cell>
          <cell r="B444">
            <v>94.19</v>
          </cell>
        </row>
        <row r="445">
          <cell r="A445">
            <v>45296</v>
          </cell>
          <cell r="B445">
            <v>92.99</v>
          </cell>
        </row>
        <row r="446">
          <cell r="A446">
            <v>45295</v>
          </cell>
          <cell r="B446">
            <v>93.55</v>
          </cell>
        </row>
        <row r="447">
          <cell r="A447">
            <v>45294</v>
          </cell>
          <cell r="B447">
            <v>93.23</v>
          </cell>
        </row>
        <row r="448">
          <cell r="A448">
            <v>45293</v>
          </cell>
          <cell r="B448">
            <v>93.67</v>
          </cell>
        </row>
        <row r="449">
          <cell r="A449">
            <v>45289</v>
          </cell>
          <cell r="B449">
            <v>96.01</v>
          </cell>
        </row>
        <row r="450">
          <cell r="A450">
            <v>45288</v>
          </cell>
          <cell r="B450">
            <v>95.93</v>
          </cell>
        </row>
        <row r="451">
          <cell r="A451">
            <v>45287</v>
          </cell>
          <cell r="B451">
            <v>95.29</v>
          </cell>
        </row>
        <row r="452">
          <cell r="A452">
            <v>45286</v>
          </cell>
          <cell r="B452">
            <v>95.67</v>
          </cell>
        </row>
        <row r="453">
          <cell r="A453">
            <v>45282</v>
          </cell>
          <cell r="B453">
            <v>95.28</v>
          </cell>
        </row>
        <row r="454">
          <cell r="A454">
            <v>45281</v>
          </cell>
          <cell r="B454">
            <v>95.33</v>
          </cell>
        </row>
        <row r="455">
          <cell r="A455">
            <v>45280</v>
          </cell>
          <cell r="B455">
            <v>94.71</v>
          </cell>
        </row>
        <row r="456">
          <cell r="A456">
            <v>45279</v>
          </cell>
          <cell r="B456">
            <v>97.72</v>
          </cell>
        </row>
        <row r="457">
          <cell r="A457">
            <v>45278</v>
          </cell>
          <cell r="B457">
            <v>96.56</v>
          </cell>
        </row>
        <row r="458">
          <cell r="A458">
            <v>45275</v>
          </cell>
          <cell r="B458">
            <v>96.75</v>
          </cell>
        </row>
        <row r="459">
          <cell r="A459">
            <v>45274</v>
          </cell>
          <cell r="B459">
            <v>97.84</v>
          </cell>
        </row>
        <row r="460">
          <cell r="A460">
            <v>45273</v>
          </cell>
          <cell r="B460">
            <v>98.11</v>
          </cell>
        </row>
        <row r="461">
          <cell r="A461">
            <v>45272</v>
          </cell>
          <cell r="B461">
            <v>98.15</v>
          </cell>
        </row>
        <row r="462">
          <cell r="A462">
            <v>45271</v>
          </cell>
          <cell r="B462">
            <v>98.12</v>
          </cell>
        </row>
        <row r="463">
          <cell r="A463">
            <v>45268</v>
          </cell>
          <cell r="B463">
            <v>96.61</v>
          </cell>
        </row>
        <row r="464">
          <cell r="A464">
            <v>45267</v>
          </cell>
          <cell r="B464">
            <v>96.44</v>
          </cell>
        </row>
        <row r="465">
          <cell r="A465">
            <v>45266</v>
          </cell>
          <cell r="B465">
            <v>97.02</v>
          </cell>
        </row>
        <row r="466">
          <cell r="A466">
            <v>45265</v>
          </cell>
          <cell r="B466">
            <v>95.54</v>
          </cell>
        </row>
        <row r="467">
          <cell r="A467">
            <v>45264</v>
          </cell>
          <cell r="B467">
            <v>97.6</v>
          </cell>
        </row>
        <row r="468">
          <cell r="A468">
            <v>45261</v>
          </cell>
          <cell r="B468">
            <v>99.2</v>
          </cell>
        </row>
        <row r="469">
          <cell r="A469">
            <v>45260</v>
          </cell>
          <cell r="B469">
            <v>99.3</v>
          </cell>
        </row>
        <row r="470">
          <cell r="A470">
            <v>45259</v>
          </cell>
          <cell r="B470">
            <v>99.85</v>
          </cell>
        </row>
        <row r="471">
          <cell r="A471">
            <v>45258</v>
          </cell>
          <cell r="B471">
            <v>101.18</v>
          </cell>
        </row>
        <row r="472">
          <cell r="A472">
            <v>45257</v>
          </cell>
          <cell r="B472">
            <v>102.36</v>
          </cell>
        </row>
        <row r="473">
          <cell r="A473">
            <v>45254</v>
          </cell>
          <cell r="B473">
            <v>102.78</v>
          </cell>
        </row>
        <row r="474">
          <cell r="A474">
            <v>45252</v>
          </cell>
          <cell r="B474">
            <v>103.44</v>
          </cell>
        </row>
        <row r="475">
          <cell r="A475">
            <v>45251</v>
          </cell>
          <cell r="B475">
            <v>103.69</v>
          </cell>
        </row>
        <row r="476">
          <cell r="A476">
            <v>45250</v>
          </cell>
          <cell r="B476">
            <v>104.3</v>
          </cell>
        </row>
        <row r="477">
          <cell r="A477">
            <v>45247</v>
          </cell>
          <cell r="B477">
            <v>105.57</v>
          </cell>
        </row>
        <row r="478">
          <cell r="A478">
            <v>45246</v>
          </cell>
          <cell r="B478">
            <v>107.21</v>
          </cell>
        </row>
        <row r="479">
          <cell r="A479">
            <v>45245</v>
          </cell>
          <cell r="B479">
            <v>106.03</v>
          </cell>
        </row>
        <row r="480">
          <cell r="A480">
            <v>45244</v>
          </cell>
          <cell r="B480">
            <v>105.6</v>
          </cell>
        </row>
        <row r="481">
          <cell r="A481">
            <v>45243</v>
          </cell>
          <cell r="B481">
            <v>103.51</v>
          </cell>
        </row>
        <row r="482">
          <cell r="A482">
            <v>45240</v>
          </cell>
          <cell r="B482">
            <v>104.33</v>
          </cell>
        </row>
        <row r="483">
          <cell r="A483">
            <v>45239</v>
          </cell>
          <cell r="B483">
            <v>102.23</v>
          </cell>
        </row>
        <row r="484">
          <cell r="A484">
            <v>45238</v>
          </cell>
          <cell r="B484">
            <v>104.3</v>
          </cell>
        </row>
        <row r="485">
          <cell r="A485">
            <v>45237</v>
          </cell>
          <cell r="B485">
            <v>103.68</v>
          </cell>
        </row>
        <row r="486">
          <cell r="A486">
            <v>45236</v>
          </cell>
          <cell r="B486">
            <v>104.03</v>
          </cell>
        </row>
        <row r="487">
          <cell r="A487">
            <v>45233</v>
          </cell>
          <cell r="B487">
            <v>102.65</v>
          </cell>
        </row>
        <row r="488">
          <cell r="A488">
            <v>45232</v>
          </cell>
          <cell r="B488">
            <v>100.01</v>
          </cell>
        </row>
        <row r="489">
          <cell r="A489">
            <v>45231</v>
          </cell>
          <cell r="B489">
            <v>91.35</v>
          </cell>
        </row>
        <row r="490">
          <cell r="A490">
            <v>45230</v>
          </cell>
          <cell r="B490">
            <v>92.24</v>
          </cell>
        </row>
        <row r="491">
          <cell r="A491">
            <v>45229</v>
          </cell>
          <cell r="B491">
            <v>93.15</v>
          </cell>
        </row>
        <row r="492">
          <cell r="A492">
            <v>45226</v>
          </cell>
          <cell r="B492">
            <v>92.02</v>
          </cell>
        </row>
        <row r="493">
          <cell r="A493">
            <v>45225</v>
          </cell>
          <cell r="B493">
            <v>92.67</v>
          </cell>
        </row>
        <row r="494">
          <cell r="A494">
            <v>45224</v>
          </cell>
          <cell r="B494">
            <v>94</v>
          </cell>
        </row>
        <row r="495">
          <cell r="A495">
            <v>45223</v>
          </cell>
          <cell r="B495">
            <v>94.62</v>
          </cell>
        </row>
        <row r="496">
          <cell r="A496">
            <v>45222</v>
          </cell>
          <cell r="B496">
            <v>94.2</v>
          </cell>
        </row>
        <row r="497">
          <cell r="A497">
            <v>45219</v>
          </cell>
          <cell r="B497">
            <v>94.19</v>
          </cell>
        </row>
        <row r="498">
          <cell r="A498">
            <v>45218</v>
          </cell>
          <cell r="B498">
            <v>94.42</v>
          </cell>
        </row>
        <row r="499">
          <cell r="A499">
            <v>45217</v>
          </cell>
          <cell r="B499">
            <v>93.75</v>
          </cell>
        </row>
        <row r="500">
          <cell r="A500">
            <v>45216</v>
          </cell>
          <cell r="B500">
            <v>94.18</v>
          </cell>
        </row>
        <row r="501">
          <cell r="A501">
            <v>45215</v>
          </cell>
          <cell r="B501">
            <v>93.65</v>
          </cell>
        </row>
        <row r="502">
          <cell r="A502">
            <v>45212</v>
          </cell>
          <cell r="B502">
            <v>91.48</v>
          </cell>
        </row>
        <row r="503">
          <cell r="A503">
            <v>45211</v>
          </cell>
          <cell r="B503">
            <v>91.42</v>
          </cell>
        </row>
        <row r="504">
          <cell r="A504">
            <v>45210</v>
          </cell>
          <cell r="B504">
            <v>91.95</v>
          </cell>
        </row>
        <row r="505">
          <cell r="A505">
            <v>45209</v>
          </cell>
          <cell r="B505">
            <v>93.18</v>
          </cell>
        </row>
        <row r="506">
          <cell r="A506">
            <v>45208</v>
          </cell>
          <cell r="B506">
            <v>92.68</v>
          </cell>
        </row>
        <row r="507">
          <cell r="A507">
            <v>45205</v>
          </cell>
          <cell r="B507">
            <v>92.85</v>
          </cell>
        </row>
        <row r="508">
          <cell r="A508">
            <v>45204</v>
          </cell>
          <cell r="B508">
            <v>92.37</v>
          </cell>
        </row>
        <row r="509">
          <cell r="A509">
            <v>45203</v>
          </cell>
          <cell r="B509">
            <v>91.15</v>
          </cell>
        </row>
        <row r="510">
          <cell r="A510">
            <v>45202</v>
          </cell>
          <cell r="B510">
            <v>89.48</v>
          </cell>
        </row>
        <row r="511">
          <cell r="A511">
            <v>45201</v>
          </cell>
          <cell r="B511">
            <v>91.13</v>
          </cell>
        </row>
        <row r="512">
          <cell r="A512">
            <v>45198</v>
          </cell>
          <cell r="B512">
            <v>91.27</v>
          </cell>
        </row>
        <row r="513">
          <cell r="A513">
            <v>45197</v>
          </cell>
          <cell r="B513">
            <v>91.08</v>
          </cell>
        </row>
        <row r="514">
          <cell r="A514">
            <v>45196</v>
          </cell>
          <cell r="B514">
            <v>91.17</v>
          </cell>
        </row>
        <row r="515">
          <cell r="A515">
            <v>45195</v>
          </cell>
          <cell r="B515">
            <v>92</v>
          </cell>
        </row>
        <row r="516">
          <cell r="A516">
            <v>45194</v>
          </cell>
          <cell r="B516">
            <v>92.74</v>
          </cell>
        </row>
        <row r="517">
          <cell r="A517">
            <v>45191</v>
          </cell>
          <cell r="B517">
            <v>93.68</v>
          </cell>
        </row>
        <row r="518">
          <cell r="A518">
            <v>45190</v>
          </cell>
          <cell r="B518">
            <v>93.1</v>
          </cell>
        </row>
        <row r="519">
          <cell r="A519">
            <v>45189</v>
          </cell>
          <cell r="B519">
            <v>95.16</v>
          </cell>
        </row>
        <row r="520">
          <cell r="A520">
            <v>45188</v>
          </cell>
          <cell r="B520">
            <v>95.29</v>
          </cell>
        </row>
        <row r="521">
          <cell r="A521">
            <v>45187</v>
          </cell>
          <cell r="B521">
            <v>96.76</v>
          </cell>
        </row>
        <row r="522">
          <cell r="A522">
            <v>45184</v>
          </cell>
          <cell r="B522">
            <v>96.23</v>
          </cell>
        </row>
        <row r="523">
          <cell r="A523">
            <v>45183</v>
          </cell>
          <cell r="B523">
            <v>97.16</v>
          </cell>
        </row>
        <row r="524">
          <cell r="A524">
            <v>45182</v>
          </cell>
          <cell r="B524">
            <v>96.93</v>
          </cell>
        </row>
        <row r="525">
          <cell r="A525">
            <v>45181</v>
          </cell>
          <cell r="B525">
            <v>96.24</v>
          </cell>
        </row>
        <row r="526">
          <cell r="A526">
            <v>45180</v>
          </cell>
          <cell r="B526">
            <v>95.67</v>
          </cell>
        </row>
        <row r="527">
          <cell r="A527">
            <v>45177</v>
          </cell>
          <cell r="B527">
            <v>95.28</v>
          </cell>
        </row>
        <row r="528">
          <cell r="A528">
            <v>45176</v>
          </cell>
          <cell r="B528">
            <v>95.1</v>
          </cell>
        </row>
        <row r="529">
          <cell r="A529">
            <v>45175</v>
          </cell>
          <cell r="B529">
            <v>95.95</v>
          </cell>
        </row>
        <row r="530">
          <cell r="A530">
            <v>45174</v>
          </cell>
          <cell r="B530">
            <v>96.84</v>
          </cell>
        </row>
        <row r="531">
          <cell r="A531">
            <v>45170</v>
          </cell>
          <cell r="B531">
            <v>98</v>
          </cell>
        </row>
        <row r="532">
          <cell r="A532">
            <v>45169</v>
          </cell>
          <cell r="B532">
            <v>97.44</v>
          </cell>
        </row>
        <row r="533">
          <cell r="A533">
            <v>45168</v>
          </cell>
          <cell r="B533">
            <v>99.24</v>
          </cell>
        </row>
        <row r="534">
          <cell r="A534">
            <v>45167</v>
          </cell>
          <cell r="B534">
            <v>99.15</v>
          </cell>
        </row>
        <row r="535">
          <cell r="A535">
            <v>45166</v>
          </cell>
          <cell r="B535">
            <v>97.04</v>
          </cell>
        </row>
        <row r="536">
          <cell r="A536">
            <v>45163</v>
          </cell>
          <cell r="B536">
            <v>95.48</v>
          </cell>
        </row>
        <row r="537">
          <cell r="A537">
            <v>45162</v>
          </cell>
          <cell r="B537">
            <v>94.83</v>
          </cell>
        </row>
        <row r="538">
          <cell r="A538">
            <v>45161</v>
          </cell>
          <cell r="B538">
            <v>95.18</v>
          </cell>
        </row>
        <row r="539">
          <cell r="A539">
            <v>45160</v>
          </cell>
          <cell r="B539">
            <v>96.07</v>
          </cell>
        </row>
        <row r="540">
          <cell r="A540">
            <v>45159</v>
          </cell>
          <cell r="B540">
            <v>96.46</v>
          </cell>
        </row>
        <row r="541">
          <cell r="A541">
            <v>45156</v>
          </cell>
          <cell r="B541">
            <v>97.23</v>
          </cell>
        </row>
        <row r="542">
          <cell r="A542">
            <v>45155</v>
          </cell>
          <cell r="B542">
            <v>96.57</v>
          </cell>
        </row>
        <row r="543">
          <cell r="A543">
            <v>45154</v>
          </cell>
          <cell r="B543">
            <v>98.98</v>
          </cell>
        </row>
        <row r="544">
          <cell r="A544">
            <v>45153</v>
          </cell>
          <cell r="B544">
            <v>100.04</v>
          </cell>
        </row>
        <row r="545">
          <cell r="A545">
            <v>45152</v>
          </cell>
          <cell r="B545">
            <v>101.01</v>
          </cell>
        </row>
        <row r="546">
          <cell r="A546">
            <v>45149</v>
          </cell>
          <cell r="B546">
            <v>100.99</v>
          </cell>
        </row>
        <row r="547">
          <cell r="A547">
            <v>45148</v>
          </cell>
          <cell r="B547">
            <v>101.66</v>
          </cell>
        </row>
        <row r="548">
          <cell r="A548">
            <v>45147</v>
          </cell>
          <cell r="B548">
            <v>99.92</v>
          </cell>
        </row>
        <row r="549">
          <cell r="A549">
            <v>45146</v>
          </cell>
          <cell r="B549">
            <v>100.69499999999999</v>
          </cell>
        </row>
        <row r="550">
          <cell r="A550">
            <v>45145</v>
          </cell>
          <cell r="B550">
            <v>101.74</v>
          </cell>
        </row>
        <row r="551">
          <cell r="A551">
            <v>45142</v>
          </cell>
          <cell r="B551">
            <v>100.68</v>
          </cell>
        </row>
        <row r="552">
          <cell r="A552">
            <v>45141</v>
          </cell>
          <cell r="B552">
            <v>102.33</v>
          </cell>
        </row>
        <row r="553">
          <cell r="A553">
            <v>45140</v>
          </cell>
          <cell r="B553">
            <v>102.13</v>
          </cell>
        </row>
        <row r="554">
          <cell r="A554">
            <v>45139</v>
          </cell>
          <cell r="B554">
            <v>101.26</v>
          </cell>
        </row>
        <row r="555">
          <cell r="A555">
            <v>45138</v>
          </cell>
          <cell r="B555">
            <v>101.57</v>
          </cell>
        </row>
        <row r="556">
          <cell r="A556">
            <v>45135</v>
          </cell>
          <cell r="B556">
            <v>101.25</v>
          </cell>
        </row>
        <row r="557">
          <cell r="A557">
            <v>45134</v>
          </cell>
          <cell r="B557">
            <v>100.78</v>
          </cell>
        </row>
        <row r="558">
          <cell r="A558">
            <v>45133</v>
          </cell>
          <cell r="B558">
            <v>101.73</v>
          </cell>
        </row>
        <row r="559">
          <cell r="A559">
            <v>45132</v>
          </cell>
          <cell r="B559">
            <v>102.92</v>
          </cell>
        </row>
        <row r="560">
          <cell r="A560">
            <v>45131</v>
          </cell>
          <cell r="B560">
            <v>102.78</v>
          </cell>
        </row>
        <row r="561">
          <cell r="A561">
            <v>45128</v>
          </cell>
          <cell r="B561">
            <v>102.82</v>
          </cell>
        </row>
        <row r="562">
          <cell r="A562">
            <v>45127</v>
          </cell>
          <cell r="B562">
            <v>100.88</v>
          </cell>
        </row>
        <row r="563">
          <cell r="A563">
            <v>45126</v>
          </cell>
          <cell r="B563">
            <v>101.83</v>
          </cell>
        </row>
        <row r="564">
          <cell r="A564">
            <v>45125</v>
          </cell>
          <cell r="B564">
            <v>100.76</v>
          </cell>
        </row>
        <row r="565">
          <cell r="A565">
            <v>45124</v>
          </cell>
          <cell r="B565">
            <v>100.93</v>
          </cell>
        </row>
        <row r="566">
          <cell r="A566">
            <v>45121</v>
          </cell>
          <cell r="B566">
            <v>101.61</v>
          </cell>
        </row>
        <row r="567">
          <cell r="A567">
            <v>45120</v>
          </cell>
          <cell r="B567">
            <v>101.6</v>
          </cell>
        </row>
        <row r="568">
          <cell r="A568">
            <v>45119</v>
          </cell>
          <cell r="B568">
            <v>101.14</v>
          </cell>
        </row>
        <row r="569">
          <cell r="A569">
            <v>45118</v>
          </cell>
          <cell r="B569">
            <v>100.09</v>
          </cell>
        </row>
        <row r="570">
          <cell r="A570">
            <v>45117</v>
          </cell>
          <cell r="B570">
            <v>99.13</v>
          </cell>
        </row>
        <row r="571">
          <cell r="A571">
            <v>45114</v>
          </cell>
          <cell r="B571">
            <v>96.05</v>
          </cell>
        </row>
        <row r="572">
          <cell r="A572">
            <v>45113</v>
          </cell>
          <cell r="B572">
            <v>96.2</v>
          </cell>
        </row>
        <row r="573">
          <cell r="A573">
            <v>45112</v>
          </cell>
          <cell r="B573">
            <v>98.46</v>
          </cell>
        </row>
        <row r="574">
          <cell r="A574">
            <v>45110</v>
          </cell>
          <cell r="B574">
            <v>99.15</v>
          </cell>
        </row>
        <row r="575">
          <cell r="A575">
            <v>45107</v>
          </cell>
          <cell r="B575">
            <v>99.06</v>
          </cell>
        </row>
        <row r="576">
          <cell r="A576">
            <v>45106</v>
          </cell>
          <cell r="B576">
            <v>98.68</v>
          </cell>
        </row>
        <row r="577">
          <cell r="A577">
            <v>45105</v>
          </cell>
          <cell r="B577">
            <v>98.61</v>
          </cell>
        </row>
        <row r="578">
          <cell r="A578">
            <v>45104</v>
          </cell>
          <cell r="B578">
            <v>98.72</v>
          </cell>
        </row>
        <row r="579">
          <cell r="A579">
            <v>45103</v>
          </cell>
          <cell r="B579">
            <v>98.23</v>
          </cell>
        </row>
        <row r="580">
          <cell r="A580">
            <v>45100</v>
          </cell>
          <cell r="B580">
            <v>98.34</v>
          </cell>
        </row>
        <row r="581">
          <cell r="A581">
            <v>45099</v>
          </cell>
          <cell r="B581">
            <v>100.85</v>
          </cell>
        </row>
        <row r="582">
          <cell r="A582">
            <v>45098</v>
          </cell>
          <cell r="B582">
            <v>101.87</v>
          </cell>
        </row>
        <row r="583">
          <cell r="A583">
            <v>45097</v>
          </cell>
          <cell r="B583">
            <v>101.27</v>
          </cell>
        </row>
        <row r="584">
          <cell r="A584">
            <v>45093</v>
          </cell>
          <cell r="B584">
            <v>101.87</v>
          </cell>
        </row>
        <row r="585">
          <cell r="A585">
            <v>45092</v>
          </cell>
          <cell r="B585">
            <v>101.38</v>
          </cell>
        </row>
        <row r="586">
          <cell r="A586">
            <v>45091</v>
          </cell>
          <cell r="B586">
            <v>100.66</v>
          </cell>
        </row>
        <row r="587">
          <cell r="A587">
            <v>45090</v>
          </cell>
          <cell r="B587">
            <v>99.26</v>
          </cell>
        </row>
        <row r="588">
          <cell r="A588">
            <v>45089</v>
          </cell>
          <cell r="B588">
            <v>98.46</v>
          </cell>
        </row>
        <row r="589">
          <cell r="A589">
            <v>45086</v>
          </cell>
          <cell r="B589">
            <v>97.96</v>
          </cell>
        </row>
        <row r="590">
          <cell r="A590">
            <v>45085</v>
          </cell>
          <cell r="B590">
            <v>99.15</v>
          </cell>
        </row>
        <row r="591">
          <cell r="A591">
            <v>45084</v>
          </cell>
          <cell r="B591">
            <v>97.92</v>
          </cell>
        </row>
        <row r="592">
          <cell r="A592">
            <v>45083</v>
          </cell>
          <cell r="B592">
            <v>98.22</v>
          </cell>
        </row>
        <row r="593">
          <cell r="A593">
            <v>45082</v>
          </cell>
          <cell r="B593">
            <v>99.93</v>
          </cell>
        </row>
        <row r="594">
          <cell r="A594">
            <v>45079</v>
          </cell>
          <cell r="B594">
            <v>99.5</v>
          </cell>
        </row>
        <row r="595">
          <cell r="A595">
            <v>45078</v>
          </cell>
          <cell r="B595">
            <v>97.52</v>
          </cell>
        </row>
        <row r="596">
          <cell r="A596">
            <v>45077</v>
          </cell>
          <cell r="B596">
            <v>97.64</v>
          </cell>
        </row>
        <row r="597">
          <cell r="A597">
            <v>45076</v>
          </cell>
          <cell r="B597">
            <v>97.75</v>
          </cell>
        </row>
        <row r="598">
          <cell r="A598">
            <v>45072</v>
          </cell>
          <cell r="B598">
            <v>98.53</v>
          </cell>
        </row>
        <row r="599">
          <cell r="A599">
            <v>45071</v>
          </cell>
          <cell r="B599">
            <v>98.44</v>
          </cell>
        </row>
        <row r="600">
          <cell r="A600">
            <v>45070</v>
          </cell>
          <cell r="B600">
            <v>99.61</v>
          </cell>
        </row>
        <row r="601">
          <cell r="A601">
            <v>45069</v>
          </cell>
          <cell r="B601">
            <v>100.34</v>
          </cell>
        </row>
        <row r="602">
          <cell r="A602">
            <v>45068</v>
          </cell>
          <cell r="B602">
            <v>102.9</v>
          </cell>
        </row>
        <row r="603">
          <cell r="A603">
            <v>45065</v>
          </cell>
          <cell r="B603">
            <v>105.51</v>
          </cell>
        </row>
        <row r="604">
          <cell r="A604">
            <v>45064</v>
          </cell>
          <cell r="B604">
            <v>107.09</v>
          </cell>
        </row>
        <row r="605">
          <cell r="A605">
            <v>45063</v>
          </cell>
          <cell r="B605">
            <v>105.69</v>
          </cell>
        </row>
        <row r="606">
          <cell r="A606">
            <v>45062</v>
          </cell>
          <cell r="B606">
            <v>105.28</v>
          </cell>
        </row>
        <row r="607">
          <cell r="A607">
            <v>45061</v>
          </cell>
          <cell r="B607">
            <v>106.64</v>
          </cell>
        </row>
        <row r="608">
          <cell r="A608">
            <v>45058</v>
          </cell>
          <cell r="B608">
            <v>106.12</v>
          </cell>
        </row>
        <row r="609">
          <cell r="A609">
            <v>45057</v>
          </cell>
          <cell r="B609">
            <v>105.63</v>
          </cell>
        </row>
        <row r="610">
          <cell r="A610">
            <v>45056</v>
          </cell>
          <cell r="B610">
            <v>106.97</v>
          </cell>
        </row>
        <row r="611">
          <cell r="A611">
            <v>45055</v>
          </cell>
          <cell r="B611">
            <v>106.71</v>
          </cell>
        </row>
        <row r="612">
          <cell r="A612">
            <v>45054</v>
          </cell>
          <cell r="B612">
            <v>107.17</v>
          </cell>
        </row>
        <row r="613">
          <cell r="A613">
            <v>45051</v>
          </cell>
          <cell r="B613">
            <v>107.21</v>
          </cell>
        </row>
        <row r="614">
          <cell r="A614">
            <v>45050</v>
          </cell>
          <cell r="B614">
            <v>104.72</v>
          </cell>
        </row>
        <row r="615">
          <cell r="A615">
            <v>45049</v>
          </cell>
          <cell r="B615">
            <v>103.96</v>
          </cell>
        </row>
        <row r="616">
          <cell r="A616">
            <v>45048</v>
          </cell>
          <cell r="B616">
            <v>114.46</v>
          </cell>
        </row>
        <row r="617">
          <cell r="A617">
            <v>45047</v>
          </cell>
          <cell r="B617">
            <v>114.56</v>
          </cell>
        </row>
        <row r="618">
          <cell r="A618">
            <v>45044</v>
          </cell>
          <cell r="B618">
            <v>114.29</v>
          </cell>
        </row>
        <row r="619">
          <cell r="A619">
            <v>45043</v>
          </cell>
          <cell r="B619">
            <v>112.75</v>
          </cell>
        </row>
        <row r="620">
          <cell r="A620">
            <v>45042</v>
          </cell>
          <cell r="B620">
            <v>111.47</v>
          </cell>
        </row>
        <row r="621">
          <cell r="A621">
            <v>45041</v>
          </cell>
          <cell r="B621">
            <v>109.34</v>
          </cell>
        </row>
        <row r="622">
          <cell r="A622">
            <v>45040</v>
          </cell>
          <cell r="B622">
            <v>109.29</v>
          </cell>
        </row>
        <row r="623">
          <cell r="A623">
            <v>45037</v>
          </cell>
          <cell r="B623">
            <v>108.19</v>
          </cell>
        </row>
        <row r="624">
          <cell r="A624">
            <v>45036</v>
          </cell>
          <cell r="B624">
            <v>107.05</v>
          </cell>
        </row>
        <row r="625">
          <cell r="A625">
            <v>45035</v>
          </cell>
          <cell r="B625">
            <v>107.16</v>
          </cell>
        </row>
        <row r="626">
          <cell r="A626">
            <v>45034</v>
          </cell>
          <cell r="B626">
            <v>107.91</v>
          </cell>
        </row>
        <row r="627">
          <cell r="A627">
            <v>45033</v>
          </cell>
          <cell r="B627">
            <v>108.31</v>
          </cell>
        </row>
        <row r="628">
          <cell r="A628">
            <v>45030</v>
          </cell>
          <cell r="B628">
            <v>107.47</v>
          </cell>
        </row>
        <row r="629">
          <cell r="A629">
            <v>45029</v>
          </cell>
          <cell r="B629">
            <v>106.99</v>
          </cell>
        </row>
        <row r="630">
          <cell r="A630">
            <v>45028</v>
          </cell>
          <cell r="B630">
            <v>105.6</v>
          </cell>
        </row>
        <row r="631">
          <cell r="A631">
            <v>45027</v>
          </cell>
          <cell r="B631">
            <v>105.74</v>
          </cell>
        </row>
        <row r="632">
          <cell r="A632">
            <v>45026</v>
          </cell>
          <cell r="B632">
            <v>104.74</v>
          </cell>
        </row>
        <row r="633">
          <cell r="A633">
            <v>45022</v>
          </cell>
          <cell r="B633">
            <v>104.68</v>
          </cell>
        </row>
        <row r="634">
          <cell r="A634">
            <v>45021</v>
          </cell>
          <cell r="B634">
            <v>104.9</v>
          </cell>
        </row>
        <row r="635">
          <cell r="A635">
            <v>45020</v>
          </cell>
          <cell r="B635">
            <v>104</v>
          </cell>
        </row>
        <row r="636">
          <cell r="A636">
            <v>45019</v>
          </cell>
          <cell r="B636">
            <v>104.85</v>
          </cell>
        </row>
        <row r="637">
          <cell r="A637">
            <v>45016</v>
          </cell>
          <cell r="B637">
            <v>104.13</v>
          </cell>
        </row>
        <row r="638">
          <cell r="A638">
            <v>45015</v>
          </cell>
          <cell r="B638">
            <v>101.32</v>
          </cell>
        </row>
        <row r="639">
          <cell r="A639">
            <v>45014</v>
          </cell>
          <cell r="B639">
            <v>100.62</v>
          </cell>
        </row>
        <row r="640">
          <cell r="A640">
            <v>45013</v>
          </cell>
          <cell r="B640">
            <v>98.72</v>
          </cell>
        </row>
        <row r="641">
          <cell r="A641">
            <v>45012</v>
          </cell>
          <cell r="B641">
            <v>98.66</v>
          </cell>
        </row>
        <row r="642">
          <cell r="A642">
            <v>45009</v>
          </cell>
          <cell r="B642">
            <v>98.34</v>
          </cell>
        </row>
        <row r="643">
          <cell r="A643">
            <v>45008</v>
          </cell>
          <cell r="B643">
            <v>98.42</v>
          </cell>
        </row>
        <row r="644">
          <cell r="A644">
            <v>45007</v>
          </cell>
          <cell r="B644">
            <v>99.12</v>
          </cell>
        </row>
        <row r="645">
          <cell r="A645">
            <v>45006</v>
          </cell>
          <cell r="B645">
            <v>100.54</v>
          </cell>
        </row>
        <row r="646">
          <cell r="A646">
            <v>45005</v>
          </cell>
          <cell r="B646">
            <v>99.85</v>
          </cell>
        </row>
        <row r="647">
          <cell r="A647">
            <v>45002</v>
          </cell>
          <cell r="B647">
            <v>98.7</v>
          </cell>
        </row>
        <row r="648">
          <cell r="A648">
            <v>45001</v>
          </cell>
          <cell r="B648">
            <v>100.43</v>
          </cell>
        </row>
        <row r="649">
          <cell r="A649">
            <v>45000</v>
          </cell>
          <cell r="B649">
            <v>99.34</v>
          </cell>
        </row>
        <row r="650">
          <cell r="A650">
            <v>44999</v>
          </cell>
          <cell r="B650">
            <v>99.46</v>
          </cell>
        </row>
        <row r="651">
          <cell r="A651">
            <v>44998</v>
          </cell>
          <cell r="B651">
            <v>99.08</v>
          </cell>
        </row>
        <row r="652">
          <cell r="A652">
            <v>44995</v>
          </cell>
          <cell r="B652">
            <v>99.38</v>
          </cell>
        </row>
        <row r="653">
          <cell r="A653">
            <v>44994</v>
          </cell>
          <cell r="B653">
            <v>100.3</v>
          </cell>
        </row>
        <row r="654">
          <cell r="A654">
            <v>44993</v>
          </cell>
          <cell r="B654">
            <v>102.5</v>
          </cell>
        </row>
        <row r="655">
          <cell r="A655">
            <v>44992</v>
          </cell>
          <cell r="B655">
            <v>103.34</v>
          </cell>
        </row>
        <row r="656">
          <cell r="A656">
            <v>44991</v>
          </cell>
          <cell r="B656">
            <v>104.99</v>
          </cell>
        </row>
        <row r="657">
          <cell r="A657">
            <v>44988</v>
          </cell>
          <cell r="B657">
            <v>104.55</v>
          </cell>
        </row>
        <row r="658">
          <cell r="A658">
            <v>44987</v>
          </cell>
          <cell r="B658">
            <v>103.01</v>
          </cell>
        </row>
        <row r="659">
          <cell r="A659">
            <v>44986</v>
          </cell>
          <cell r="B659">
            <v>101.43</v>
          </cell>
        </row>
        <row r="660">
          <cell r="A660">
            <v>44985</v>
          </cell>
          <cell r="B660">
            <v>102.09</v>
          </cell>
        </row>
        <row r="661">
          <cell r="A661">
            <v>44984</v>
          </cell>
          <cell r="B661">
            <v>102.44</v>
          </cell>
        </row>
        <row r="662">
          <cell r="A662">
            <v>44981</v>
          </cell>
          <cell r="B662">
            <v>101.6</v>
          </cell>
        </row>
        <row r="663">
          <cell r="A663">
            <v>44980</v>
          </cell>
          <cell r="B663">
            <v>103.51</v>
          </cell>
        </row>
        <row r="664">
          <cell r="A664">
            <v>44979</v>
          </cell>
          <cell r="B664">
            <v>104.77</v>
          </cell>
        </row>
        <row r="665">
          <cell r="A665">
            <v>44978</v>
          </cell>
          <cell r="B665">
            <v>104.78</v>
          </cell>
        </row>
        <row r="666">
          <cell r="A666">
            <v>44974</v>
          </cell>
          <cell r="B666">
            <v>107.1</v>
          </cell>
        </row>
        <row r="667">
          <cell r="A667">
            <v>44973</v>
          </cell>
          <cell r="B667">
            <v>107.54</v>
          </cell>
        </row>
        <row r="668">
          <cell r="A668">
            <v>44972</v>
          </cell>
          <cell r="B668">
            <v>109</v>
          </cell>
        </row>
        <row r="669">
          <cell r="A669">
            <v>44971</v>
          </cell>
          <cell r="B669">
            <v>107.98</v>
          </cell>
        </row>
        <row r="670">
          <cell r="A670">
            <v>44970</v>
          </cell>
          <cell r="B670">
            <v>108.52</v>
          </cell>
        </row>
        <row r="671">
          <cell r="A671">
            <v>44967</v>
          </cell>
          <cell r="B671">
            <v>107.09</v>
          </cell>
        </row>
        <row r="672">
          <cell r="A672">
            <v>44966</v>
          </cell>
          <cell r="B672">
            <v>106.05</v>
          </cell>
        </row>
        <row r="673">
          <cell r="A673">
            <v>44965</v>
          </cell>
          <cell r="B673">
            <v>106.3</v>
          </cell>
        </row>
        <row r="674">
          <cell r="A674">
            <v>44964</v>
          </cell>
          <cell r="B674">
            <v>106.825</v>
          </cell>
        </row>
        <row r="675">
          <cell r="A675">
            <v>44963</v>
          </cell>
          <cell r="B675">
            <v>105.02</v>
          </cell>
        </row>
        <row r="676">
          <cell r="A676">
            <v>44960</v>
          </cell>
          <cell r="B676">
            <v>104.3</v>
          </cell>
        </row>
        <row r="677">
          <cell r="A677">
            <v>44959</v>
          </cell>
          <cell r="B677">
            <v>109.15</v>
          </cell>
        </row>
        <row r="678">
          <cell r="A678">
            <v>44958</v>
          </cell>
          <cell r="B678">
            <v>109.99</v>
          </cell>
        </row>
        <row r="679">
          <cell r="A679">
            <v>44957</v>
          </cell>
          <cell r="B679">
            <v>109.14</v>
          </cell>
        </row>
        <row r="680">
          <cell r="A680">
            <v>44956</v>
          </cell>
          <cell r="B680">
            <v>108.4</v>
          </cell>
        </row>
        <row r="681">
          <cell r="A681">
            <v>44953</v>
          </cell>
          <cell r="B681">
            <v>109.02</v>
          </cell>
        </row>
        <row r="682">
          <cell r="A682">
            <v>44952</v>
          </cell>
          <cell r="B682">
            <v>108.76</v>
          </cell>
        </row>
        <row r="683">
          <cell r="A683">
            <v>44951</v>
          </cell>
          <cell r="B683">
            <v>106.98</v>
          </cell>
        </row>
        <row r="684">
          <cell r="A684">
            <v>44950</v>
          </cell>
          <cell r="B684">
            <v>106.64</v>
          </cell>
        </row>
        <row r="685">
          <cell r="A685">
            <v>44949</v>
          </cell>
          <cell r="B685">
            <v>106.21</v>
          </cell>
        </row>
        <row r="686">
          <cell r="A686">
            <v>44946</v>
          </cell>
          <cell r="B686">
            <v>105.04</v>
          </cell>
        </row>
        <row r="687">
          <cell r="A687">
            <v>44945</v>
          </cell>
          <cell r="B687">
            <v>104.26</v>
          </cell>
        </row>
        <row r="688">
          <cell r="A688">
            <v>44944</v>
          </cell>
          <cell r="B688">
            <v>105</v>
          </cell>
        </row>
        <row r="689">
          <cell r="A689">
            <v>44943</v>
          </cell>
          <cell r="B689">
            <v>106.75</v>
          </cell>
        </row>
        <row r="690">
          <cell r="A690">
            <v>44939</v>
          </cell>
          <cell r="B690">
            <v>107.23</v>
          </cell>
        </row>
        <row r="691">
          <cell r="A691">
            <v>44938</v>
          </cell>
          <cell r="B691">
            <v>105.85</v>
          </cell>
        </row>
        <row r="692">
          <cell r="A692">
            <v>44937</v>
          </cell>
          <cell r="B692">
            <v>106.3</v>
          </cell>
        </row>
        <row r="693">
          <cell r="A693">
            <v>44936</v>
          </cell>
          <cell r="B693">
            <v>106</v>
          </cell>
        </row>
        <row r="694">
          <cell r="A694">
            <v>44935</v>
          </cell>
          <cell r="B694">
            <v>104.74</v>
          </cell>
        </row>
        <row r="695">
          <cell r="A695">
            <v>44932</v>
          </cell>
          <cell r="B695">
            <v>106.69</v>
          </cell>
        </row>
        <row r="696">
          <cell r="A696">
            <v>44931</v>
          </cell>
          <cell r="B696">
            <v>104.43</v>
          </cell>
        </row>
        <row r="697">
          <cell r="A697">
            <v>44930</v>
          </cell>
          <cell r="B697">
            <v>104.46</v>
          </cell>
        </row>
        <row r="698">
          <cell r="A698">
            <v>44929</v>
          </cell>
          <cell r="B698">
            <v>100.83</v>
          </cell>
        </row>
        <row r="699">
          <cell r="A699">
            <v>44925</v>
          </cell>
          <cell r="B699">
            <v>99.2</v>
          </cell>
        </row>
        <row r="700">
          <cell r="A700">
            <v>44924</v>
          </cell>
          <cell r="B700">
            <v>99.77</v>
          </cell>
        </row>
        <row r="701">
          <cell r="A701">
            <v>44923</v>
          </cell>
          <cell r="B701">
            <v>98.6</v>
          </cell>
        </row>
        <row r="702">
          <cell r="A702">
            <v>44922</v>
          </cell>
          <cell r="B702">
            <v>99.2</v>
          </cell>
        </row>
        <row r="703">
          <cell r="A703">
            <v>44918</v>
          </cell>
          <cell r="B703">
            <v>98.27</v>
          </cell>
        </row>
        <row r="704">
          <cell r="A704">
            <v>44917</v>
          </cell>
          <cell r="B704">
            <v>97.76</v>
          </cell>
        </row>
        <row r="705">
          <cell r="A705">
            <v>44916</v>
          </cell>
          <cell r="B705">
            <v>98.67</v>
          </cell>
        </row>
        <row r="706">
          <cell r="A706">
            <v>44915</v>
          </cell>
          <cell r="B706">
            <v>98</v>
          </cell>
        </row>
        <row r="707">
          <cell r="A707">
            <v>44914</v>
          </cell>
          <cell r="B707">
            <v>98.3</v>
          </cell>
        </row>
        <row r="708">
          <cell r="A708">
            <v>44911</v>
          </cell>
          <cell r="B708">
            <v>98.83</v>
          </cell>
        </row>
        <row r="709">
          <cell r="A709">
            <v>44910</v>
          </cell>
          <cell r="B709">
            <v>99.99</v>
          </cell>
        </row>
        <row r="710">
          <cell r="A710">
            <v>44909</v>
          </cell>
          <cell r="B710">
            <v>102.19</v>
          </cell>
        </row>
        <row r="711">
          <cell r="A711">
            <v>44908</v>
          </cell>
          <cell r="B711">
            <v>102.11</v>
          </cell>
        </row>
        <row r="712">
          <cell r="A712">
            <v>44907</v>
          </cell>
          <cell r="B712">
            <v>102.7</v>
          </cell>
        </row>
        <row r="713">
          <cell r="A713">
            <v>44904</v>
          </cell>
          <cell r="B713">
            <v>101.79</v>
          </cell>
        </row>
        <row r="714">
          <cell r="A714">
            <v>44903</v>
          </cell>
          <cell r="B714">
            <v>103.74</v>
          </cell>
        </row>
        <row r="715">
          <cell r="A715">
            <v>44902</v>
          </cell>
          <cell r="B715">
            <v>101.87</v>
          </cell>
        </row>
        <row r="716">
          <cell r="A716">
            <v>44901</v>
          </cell>
          <cell r="B716">
            <v>102.08</v>
          </cell>
        </row>
        <row r="717">
          <cell r="A717">
            <v>44900</v>
          </cell>
          <cell r="B717">
            <v>103.55</v>
          </cell>
        </row>
        <row r="718">
          <cell r="A718">
            <v>44897</v>
          </cell>
          <cell r="B718">
            <v>105.05</v>
          </cell>
        </row>
        <row r="719">
          <cell r="A719">
            <v>44896</v>
          </cell>
          <cell r="B719">
            <v>103.37</v>
          </cell>
        </row>
        <row r="720">
          <cell r="A720">
            <v>44895</v>
          </cell>
          <cell r="B720">
            <v>102.2</v>
          </cell>
        </row>
        <row r="721">
          <cell r="A721">
            <v>44894</v>
          </cell>
          <cell r="B721">
            <v>98.66</v>
          </cell>
        </row>
        <row r="722">
          <cell r="A722">
            <v>44893</v>
          </cell>
          <cell r="B722">
            <v>98.66</v>
          </cell>
        </row>
        <row r="723">
          <cell r="A723">
            <v>44890</v>
          </cell>
          <cell r="B723">
            <v>99.56</v>
          </cell>
        </row>
        <row r="724">
          <cell r="A724">
            <v>44888</v>
          </cell>
          <cell r="B724">
            <v>99.52</v>
          </cell>
        </row>
        <row r="725">
          <cell r="A725">
            <v>44887</v>
          </cell>
          <cell r="B725">
            <v>98.43</v>
          </cell>
        </row>
        <row r="726">
          <cell r="A726">
            <v>44886</v>
          </cell>
          <cell r="B726">
            <v>98.32</v>
          </cell>
        </row>
        <row r="727">
          <cell r="A727">
            <v>44883</v>
          </cell>
          <cell r="B727">
            <v>97.95</v>
          </cell>
        </row>
        <row r="728">
          <cell r="A728">
            <v>44882</v>
          </cell>
          <cell r="B728">
            <v>96.97</v>
          </cell>
        </row>
        <row r="729">
          <cell r="A729">
            <v>44881</v>
          </cell>
          <cell r="B729">
            <v>97.07</v>
          </cell>
        </row>
        <row r="730">
          <cell r="A730">
            <v>44880</v>
          </cell>
          <cell r="B730">
            <v>97.83</v>
          </cell>
        </row>
        <row r="731">
          <cell r="A731">
            <v>44879</v>
          </cell>
          <cell r="B731">
            <v>97.42</v>
          </cell>
        </row>
        <row r="732">
          <cell r="A732">
            <v>44876</v>
          </cell>
          <cell r="B732">
            <v>97.38</v>
          </cell>
        </row>
        <row r="733">
          <cell r="A733">
            <v>44875</v>
          </cell>
          <cell r="B733">
            <v>96.26</v>
          </cell>
        </row>
        <row r="734">
          <cell r="A734">
            <v>44874</v>
          </cell>
          <cell r="B734">
            <v>91.63</v>
          </cell>
        </row>
        <row r="735">
          <cell r="A735">
            <v>44873</v>
          </cell>
          <cell r="B735">
            <v>92.75</v>
          </cell>
        </row>
        <row r="736">
          <cell r="A736">
            <v>44872</v>
          </cell>
          <cell r="B736">
            <v>90.45</v>
          </cell>
        </row>
        <row r="737">
          <cell r="A737">
            <v>44869</v>
          </cell>
          <cell r="B737">
            <v>91.86</v>
          </cell>
        </row>
        <row r="738">
          <cell r="A738">
            <v>44868</v>
          </cell>
          <cell r="B738">
            <v>84.68</v>
          </cell>
        </row>
        <row r="739">
          <cell r="A739">
            <v>44867</v>
          </cell>
          <cell r="B739">
            <v>84.58</v>
          </cell>
        </row>
        <row r="740">
          <cell r="A740">
            <v>44866</v>
          </cell>
          <cell r="B740">
            <v>87.1</v>
          </cell>
        </row>
        <row r="741">
          <cell r="A741">
            <v>44865</v>
          </cell>
          <cell r="B741">
            <v>86.59</v>
          </cell>
        </row>
        <row r="742">
          <cell r="A742">
            <v>44862</v>
          </cell>
          <cell r="B742">
            <v>87.1</v>
          </cell>
        </row>
        <row r="743">
          <cell r="A743">
            <v>44861</v>
          </cell>
          <cell r="B743">
            <v>85.28</v>
          </cell>
        </row>
        <row r="744">
          <cell r="A744">
            <v>44860</v>
          </cell>
          <cell r="B744">
            <v>85.89</v>
          </cell>
        </row>
        <row r="745">
          <cell r="A745">
            <v>44859</v>
          </cell>
          <cell r="B745">
            <v>85.21</v>
          </cell>
        </row>
        <row r="746">
          <cell r="A746">
            <v>44858</v>
          </cell>
          <cell r="B746">
            <v>83.76</v>
          </cell>
        </row>
        <row r="747">
          <cell r="A747">
            <v>44855</v>
          </cell>
          <cell r="B747">
            <v>88.61</v>
          </cell>
        </row>
        <row r="748">
          <cell r="A748">
            <v>44854</v>
          </cell>
          <cell r="B748">
            <v>86.79</v>
          </cell>
        </row>
        <row r="749">
          <cell r="A749">
            <v>44853</v>
          </cell>
          <cell r="B749">
            <v>87.52</v>
          </cell>
        </row>
        <row r="750">
          <cell r="A750">
            <v>44852</v>
          </cell>
          <cell r="B750">
            <v>88.96</v>
          </cell>
        </row>
        <row r="751">
          <cell r="A751">
            <v>44851</v>
          </cell>
          <cell r="B751">
            <v>88.9</v>
          </cell>
        </row>
        <row r="752">
          <cell r="A752">
            <v>44848</v>
          </cell>
          <cell r="B752">
            <v>86.37</v>
          </cell>
        </row>
        <row r="753">
          <cell r="A753">
            <v>44847</v>
          </cell>
          <cell r="B753">
            <v>89.37</v>
          </cell>
        </row>
        <row r="754">
          <cell r="A754">
            <v>44846</v>
          </cell>
          <cell r="B754">
            <v>86.87</v>
          </cell>
        </row>
        <row r="755">
          <cell r="A755">
            <v>44845</v>
          </cell>
          <cell r="B755">
            <v>86.21</v>
          </cell>
        </row>
        <row r="756">
          <cell r="A756">
            <v>44844</v>
          </cell>
          <cell r="B756">
            <v>87.06</v>
          </cell>
        </row>
        <row r="757">
          <cell r="A757">
            <v>44841</v>
          </cell>
          <cell r="B757">
            <v>87.03</v>
          </cell>
        </row>
        <row r="758">
          <cell r="A758">
            <v>44840</v>
          </cell>
          <cell r="B758">
            <v>89.35</v>
          </cell>
        </row>
        <row r="759">
          <cell r="A759">
            <v>44839</v>
          </cell>
          <cell r="B759">
            <v>90.12</v>
          </cell>
        </row>
        <row r="760">
          <cell r="A760">
            <v>44838</v>
          </cell>
          <cell r="B760">
            <v>88.51</v>
          </cell>
        </row>
        <row r="761">
          <cell r="A761">
            <v>44837</v>
          </cell>
          <cell r="B761">
            <v>85.62</v>
          </cell>
        </row>
        <row r="762">
          <cell r="A762">
            <v>44834</v>
          </cell>
          <cell r="B762">
            <v>84.26</v>
          </cell>
        </row>
        <row r="763">
          <cell r="A763">
            <v>44833</v>
          </cell>
          <cell r="B763">
            <v>86.57</v>
          </cell>
        </row>
        <row r="764">
          <cell r="A764">
            <v>44832</v>
          </cell>
          <cell r="B764">
            <v>87.11</v>
          </cell>
        </row>
        <row r="765">
          <cell r="A765">
            <v>44831</v>
          </cell>
          <cell r="B765">
            <v>84.28</v>
          </cell>
        </row>
        <row r="766">
          <cell r="A766">
            <v>44830</v>
          </cell>
          <cell r="B766">
            <v>84.81</v>
          </cell>
        </row>
        <row r="767">
          <cell r="A767">
            <v>44827</v>
          </cell>
          <cell r="B767">
            <v>84.17</v>
          </cell>
        </row>
        <row r="768">
          <cell r="A768">
            <v>44826</v>
          </cell>
          <cell r="B768">
            <v>84.7</v>
          </cell>
        </row>
        <row r="769">
          <cell r="A769">
            <v>44825</v>
          </cell>
          <cell r="B769">
            <v>88.6</v>
          </cell>
        </row>
        <row r="770">
          <cell r="A770">
            <v>44824</v>
          </cell>
          <cell r="B770">
            <v>90.79</v>
          </cell>
        </row>
        <row r="771">
          <cell r="A771">
            <v>44823</v>
          </cell>
          <cell r="B771">
            <v>92.14</v>
          </cell>
        </row>
        <row r="772">
          <cell r="A772">
            <v>44820</v>
          </cell>
          <cell r="B772">
            <v>91.31</v>
          </cell>
        </row>
        <row r="773">
          <cell r="A773">
            <v>44819</v>
          </cell>
          <cell r="B773">
            <v>92.22</v>
          </cell>
        </row>
        <row r="774">
          <cell r="A774">
            <v>44818</v>
          </cell>
          <cell r="B774">
            <v>92.7</v>
          </cell>
        </row>
        <row r="775">
          <cell r="A775">
            <v>44817</v>
          </cell>
          <cell r="B775">
            <v>87.84</v>
          </cell>
        </row>
        <row r="776">
          <cell r="A776">
            <v>44816</v>
          </cell>
          <cell r="B776">
            <v>89.07</v>
          </cell>
        </row>
        <row r="777">
          <cell r="A777">
            <v>44813</v>
          </cell>
          <cell r="B777">
            <v>88.69</v>
          </cell>
        </row>
        <row r="778">
          <cell r="A778">
            <v>44812</v>
          </cell>
          <cell r="B778">
            <v>89.46</v>
          </cell>
        </row>
        <row r="779">
          <cell r="A779">
            <v>44811</v>
          </cell>
          <cell r="B779">
            <v>88.31</v>
          </cell>
        </row>
        <row r="780">
          <cell r="A780">
            <v>44810</v>
          </cell>
          <cell r="B780">
            <v>84.52</v>
          </cell>
        </row>
        <row r="781">
          <cell r="A781">
            <v>44806</v>
          </cell>
          <cell r="B781">
            <v>82.94</v>
          </cell>
        </row>
        <row r="782">
          <cell r="A782">
            <v>44805</v>
          </cell>
          <cell r="B782">
            <v>85.4</v>
          </cell>
        </row>
        <row r="783">
          <cell r="A783">
            <v>44804</v>
          </cell>
          <cell r="B783">
            <v>84.07</v>
          </cell>
        </row>
        <row r="784">
          <cell r="A784">
            <v>44803</v>
          </cell>
          <cell r="B784">
            <v>83.41</v>
          </cell>
        </row>
        <row r="785">
          <cell r="A785">
            <v>44802</v>
          </cell>
          <cell r="B785">
            <v>84.12</v>
          </cell>
        </row>
        <row r="786">
          <cell r="A786">
            <v>44799</v>
          </cell>
          <cell r="B786">
            <v>84.06</v>
          </cell>
        </row>
        <row r="787">
          <cell r="A787">
            <v>44798</v>
          </cell>
          <cell r="B787">
            <v>87.39</v>
          </cell>
        </row>
        <row r="788">
          <cell r="A788">
            <v>44797</v>
          </cell>
          <cell r="B788">
            <v>86.05</v>
          </cell>
        </row>
        <row r="789">
          <cell r="A789">
            <v>44796</v>
          </cell>
          <cell r="B789">
            <v>84.69</v>
          </cell>
        </row>
        <row r="790">
          <cell r="A790">
            <v>44795</v>
          </cell>
          <cell r="B790">
            <v>84.95</v>
          </cell>
        </row>
        <row r="791">
          <cell r="A791">
            <v>44792</v>
          </cell>
          <cell r="B791">
            <v>86.92</v>
          </cell>
        </row>
        <row r="792">
          <cell r="A792">
            <v>44791</v>
          </cell>
          <cell r="B792">
            <v>88.55</v>
          </cell>
        </row>
        <row r="793">
          <cell r="A793">
            <v>44790</v>
          </cell>
          <cell r="B793">
            <v>88.35</v>
          </cell>
        </row>
        <row r="794">
          <cell r="A794">
            <v>44789</v>
          </cell>
          <cell r="B794">
            <v>89.4</v>
          </cell>
        </row>
        <row r="795">
          <cell r="A795">
            <v>44788</v>
          </cell>
          <cell r="B795">
            <v>89.16</v>
          </cell>
        </row>
        <row r="796">
          <cell r="A796">
            <v>44785</v>
          </cell>
          <cell r="B796">
            <v>88.31</v>
          </cell>
        </row>
        <row r="797">
          <cell r="A797">
            <v>44784</v>
          </cell>
          <cell r="B797">
            <v>87.27</v>
          </cell>
        </row>
        <row r="798">
          <cell r="A798">
            <v>44783</v>
          </cell>
          <cell r="B798">
            <v>86.49</v>
          </cell>
        </row>
        <row r="799">
          <cell r="A799">
            <v>44782</v>
          </cell>
          <cell r="B799">
            <v>84.84</v>
          </cell>
        </row>
        <row r="800">
          <cell r="A800">
            <v>44781</v>
          </cell>
          <cell r="B800">
            <v>85.72</v>
          </cell>
        </row>
        <row r="801">
          <cell r="A801">
            <v>44778</v>
          </cell>
          <cell r="B801">
            <v>85.73</v>
          </cell>
        </row>
        <row r="802">
          <cell r="A802">
            <v>44777</v>
          </cell>
          <cell r="B802">
            <v>86.88</v>
          </cell>
        </row>
        <row r="803">
          <cell r="A803">
            <v>44776</v>
          </cell>
          <cell r="B803">
            <v>87.27</v>
          </cell>
        </row>
        <row r="804">
          <cell r="A804">
            <v>44775</v>
          </cell>
          <cell r="B804">
            <v>83.71</v>
          </cell>
        </row>
        <row r="805">
          <cell r="A805">
            <v>44774</v>
          </cell>
          <cell r="B805">
            <v>84.91</v>
          </cell>
        </row>
        <row r="806">
          <cell r="A806">
            <v>44771</v>
          </cell>
          <cell r="B806">
            <v>84.78</v>
          </cell>
        </row>
        <row r="807">
          <cell r="A807">
            <v>44770</v>
          </cell>
          <cell r="B807">
            <v>84.67</v>
          </cell>
        </row>
        <row r="808">
          <cell r="A808">
            <v>44769</v>
          </cell>
          <cell r="B808">
            <v>82.96</v>
          </cell>
        </row>
        <row r="809">
          <cell r="A809">
            <v>44768</v>
          </cell>
          <cell r="B809">
            <v>80.31</v>
          </cell>
        </row>
        <row r="810">
          <cell r="A810">
            <v>44767</v>
          </cell>
          <cell r="B810">
            <v>81.5</v>
          </cell>
        </row>
        <row r="811">
          <cell r="A811">
            <v>44764</v>
          </cell>
          <cell r="B811">
            <v>83.59</v>
          </cell>
        </row>
        <row r="812">
          <cell r="A812">
            <v>44763</v>
          </cell>
          <cell r="B812">
            <v>83.54</v>
          </cell>
        </row>
        <row r="813">
          <cell r="A813">
            <v>44762</v>
          </cell>
          <cell r="B813">
            <v>83.27</v>
          </cell>
        </row>
        <row r="814">
          <cell r="A814">
            <v>44761</v>
          </cell>
          <cell r="B814">
            <v>82.55</v>
          </cell>
        </row>
        <row r="815">
          <cell r="A815">
            <v>44760</v>
          </cell>
          <cell r="B815">
            <v>80.23</v>
          </cell>
        </row>
        <row r="816">
          <cell r="A816">
            <v>44757</v>
          </cell>
          <cell r="B816">
            <v>79.62</v>
          </cell>
        </row>
        <row r="817">
          <cell r="A817">
            <v>44756</v>
          </cell>
          <cell r="B817">
            <v>78.2</v>
          </cell>
        </row>
        <row r="818">
          <cell r="A818">
            <v>44755</v>
          </cell>
          <cell r="B818">
            <v>77.92</v>
          </cell>
        </row>
        <row r="819">
          <cell r="A819">
            <v>44754</v>
          </cell>
          <cell r="B819">
            <v>77.760000000000005</v>
          </cell>
        </row>
        <row r="820">
          <cell r="A820">
            <v>44753</v>
          </cell>
          <cell r="B820">
            <v>77.900000000000006</v>
          </cell>
        </row>
        <row r="821">
          <cell r="A821">
            <v>44750</v>
          </cell>
          <cell r="B821">
            <v>79.28</v>
          </cell>
        </row>
        <row r="822">
          <cell r="A822">
            <v>44749</v>
          </cell>
          <cell r="B822">
            <v>79.239999999999995</v>
          </cell>
        </row>
        <row r="823">
          <cell r="A823">
            <v>44748</v>
          </cell>
          <cell r="B823">
            <v>78.86</v>
          </cell>
        </row>
        <row r="824">
          <cell r="A824">
            <v>44747</v>
          </cell>
          <cell r="B824">
            <v>79.52</v>
          </cell>
        </row>
        <row r="825">
          <cell r="A825">
            <v>44743</v>
          </cell>
          <cell r="B825">
            <v>79.260000000000005</v>
          </cell>
        </row>
        <row r="826">
          <cell r="A826">
            <v>44742</v>
          </cell>
          <cell r="B826">
            <v>76.39</v>
          </cell>
        </row>
        <row r="827">
          <cell r="A827">
            <v>44741</v>
          </cell>
          <cell r="B827">
            <v>76.430000000000007</v>
          </cell>
        </row>
        <row r="828">
          <cell r="A828">
            <v>44740</v>
          </cell>
          <cell r="B828">
            <v>76.34</v>
          </cell>
        </row>
        <row r="829">
          <cell r="A829">
            <v>44739</v>
          </cell>
          <cell r="B829">
            <v>77.680000000000007</v>
          </cell>
        </row>
        <row r="830">
          <cell r="A830">
            <v>44736</v>
          </cell>
          <cell r="B830">
            <v>78.11</v>
          </cell>
        </row>
        <row r="831">
          <cell r="A831">
            <v>44735</v>
          </cell>
          <cell r="B831">
            <v>75.2</v>
          </cell>
        </row>
        <row r="832">
          <cell r="A832">
            <v>44734</v>
          </cell>
          <cell r="B832">
            <v>73.3</v>
          </cell>
        </row>
        <row r="833">
          <cell r="A833">
            <v>44733</v>
          </cell>
          <cell r="B833">
            <v>72.959999999999994</v>
          </cell>
        </row>
        <row r="834">
          <cell r="A834">
            <v>44729</v>
          </cell>
          <cell r="B834">
            <v>71.87</v>
          </cell>
        </row>
        <row r="835">
          <cell r="A835">
            <v>44728</v>
          </cell>
          <cell r="B835">
            <v>70.95</v>
          </cell>
        </row>
        <row r="836">
          <cell r="A836">
            <v>44727</v>
          </cell>
          <cell r="B836">
            <v>74.19</v>
          </cell>
        </row>
        <row r="837">
          <cell r="A837">
            <v>44726</v>
          </cell>
          <cell r="B837">
            <v>72.31</v>
          </cell>
        </row>
        <row r="838">
          <cell r="A838">
            <v>44725</v>
          </cell>
          <cell r="B838">
            <v>72.36</v>
          </cell>
        </row>
        <row r="839">
          <cell r="A839">
            <v>44722</v>
          </cell>
          <cell r="B839">
            <v>75.67</v>
          </cell>
        </row>
        <row r="840">
          <cell r="A840">
            <v>44721</v>
          </cell>
          <cell r="B840">
            <v>78.91</v>
          </cell>
        </row>
        <row r="841">
          <cell r="A841">
            <v>44720</v>
          </cell>
          <cell r="B841">
            <v>78.47</v>
          </cell>
        </row>
        <row r="842">
          <cell r="A842">
            <v>44719</v>
          </cell>
          <cell r="B842">
            <v>79.47</v>
          </cell>
        </row>
        <row r="843">
          <cell r="A843">
            <v>44718</v>
          </cell>
          <cell r="B843">
            <v>78.98</v>
          </cell>
        </row>
        <row r="844">
          <cell r="A844">
            <v>44715</v>
          </cell>
          <cell r="B844">
            <v>79.05</v>
          </cell>
        </row>
        <row r="845">
          <cell r="A845">
            <v>44714</v>
          </cell>
          <cell r="B845">
            <v>79.42</v>
          </cell>
        </row>
        <row r="846">
          <cell r="A846">
            <v>44713</v>
          </cell>
          <cell r="B846">
            <v>76.28</v>
          </cell>
        </row>
        <row r="847">
          <cell r="A847">
            <v>44712</v>
          </cell>
          <cell r="B847">
            <v>78.5</v>
          </cell>
        </row>
        <row r="848">
          <cell r="A848">
            <v>44708</v>
          </cell>
          <cell r="B848">
            <v>76.709999999999994</v>
          </cell>
        </row>
        <row r="849">
          <cell r="A849">
            <v>44707</v>
          </cell>
          <cell r="B849">
            <v>74.489999999999995</v>
          </cell>
        </row>
        <row r="850">
          <cell r="A850">
            <v>44706</v>
          </cell>
          <cell r="B850">
            <v>72.48</v>
          </cell>
        </row>
        <row r="851">
          <cell r="A851">
            <v>44705</v>
          </cell>
          <cell r="B851">
            <v>72.72</v>
          </cell>
        </row>
        <row r="852">
          <cell r="A852">
            <v>44704</v>
          </cell>
          <cell r="B852">
            <v>73.42</v>
          </cell>
        </row>
        <row r="853">
          <cell r="A853">
            <v>44701</v>
          </cell>
          <cell r="B853">
            <v>73.39</v>
          </cell>
        </row>
        <row r="854">
          <cell r="A854">
            <v>44700</v>
          </cell>
          <cell r="B854">
            <v>71.930000000000007</v>
          </cell>
        </row>
        <row r="855">
          <cell r="A855">
            <v>44699</v>
          </cell>
          <cell r="B855">
            <v>71.28</v>
          </cell>
        </row>
        <row r="856">
          <cell r="A856">
            <v>44698</v>
          </cell>
          <cell r="B856">
            <v>73.72</v>
          </cell>
        </row>
        <row r="857">
          <cell r="A857">
            <v>44697</v>
          </cell>
          <cell r="B857">
            <v>72.42</v>
          </cell>
        </row>
        <row r="858">
          <cell r="A858">
            <v>44694</v>
          </cell>
          <cell r="B858">
            <v>75.599999999999994</v>
          </cell>
        </row>
        <row r="859">
          <cell r="A859">
            <v>44693</v>
          </cell>
          <cell r="B859">
            <v>69.900000000000006</v>
          </cell>
        </row>
        <row r="860">
          <cell r="A860">
            <v>44692</v>
          </cell>
          <cell r="B860">
            <v>70.06</v>
          </cell>
        </row>
        <row r="861">
          <cell r="A861">
            <v>44691</v>
          </cell>
          <cell r="B861">
            <v>71.86</v>
          </cell>
        </row>
        <row r="862">
          <cell r="A862">
            <v>44690</v>
          </cell>
          <cell r="B862">
            <v>73.489999999999995</v>
          </cell>
        </row>
        <row r="863">
          <cell r="A863">
            <v>44687</v>
          </cell>
          <cell r="B863">
            <v>76.52</v>
          </cell>
        </row>
        <row r="864">
          <cell r="A864">
            <v>44686</v>
          </cell>
          <cell r="B864">
            <v>77.48</v>
          </cell>
        </row>
        <row r="865">
          <cell r="A865">
            <v>44685</v>
          </cell>
          <cell r="B865">
            <v>81.64</v>
          </cell>
        </row>
        <row r="866">
          <cell r="A866">
            <v>44684</v>
          </cell>
          <cell r="B866">
            <v>74.33</v>
          </cell>
        </row>
        <row r="867">
          <cell r="A867">
            <v>44683</v>
          </cell>
          <cell r="B867">
            <v>75.37</v>
          </cell>
        </row>
        <row r="868">
          <cell r="A868">
            <v>44680</v>
          </cell>
          <cell r="B868">
            <v>74.64</v>
          </cell>
        </row>
        <row r="869">
          <cell r="A869">
            <v>44679</v>
          </cell>
          <cell r="B869">
            <v>76.58</v>
          </cell>
        </row>
        <row r="870">
          <cell r="A870">
            <v>44678</v>
          </cell>
          <cell r="B870">
            <v>74.739999999999995</v>
          </cell>
        </row>
        <row r="871">
          <cell r="A871">
            <v>44677</v>
          </cell>
          <cell r="B871">
            <v>75.63</v>
          </cell>
        </row>
        <row r="872">
          <cell r="A872">
            <v>44676</v>
          </cell>
          <cell r="B872">
            <v>77.98</v>
          </cell>
        </row>
        <row r="873">
          <cell r="A873">
            <v>44673</v>
          </cell>
          <cell r="B873">
            <v>77.92</v>
          </cell>
        </row>
        <row r="874">
          <cell r="A874">
            <v>44672</v>
          </cell>
          <cell r="B874">
            <v>78.959999999999994</v>
          </cell>
        </row>
        <row r="875">
          <cell r="A875">
            <v>44671</v>
          </cell>
          <cell r="B875">
            <v>80.17</v>
          </cell>
        </row>
        <row r="876">
          <cell r="A876">
            <v>44670</v>
          </cell>
          <cell r="B876">
            <v>81.22</v>
          </cell>
        </row>
        <row r="877">
          <cell r="A877">
            <v>44669</v>
          </cell>
          <cell r="B877">
            <v>79.599999999999994</v>
          </cell>
        </row>
        <row r="878">
          <cell r="A878">
            <v>44665</v>
          </cell>
          <cell r="B878">
            <v>79.5</v>
          </cell>
        </row>
        <row r="879">
          <cell r="A879">
            <v>44664</v>
          </cell>
          <cell r="B879">
            <v>80.92</v>
          </cell>
        </row>
        <row r="880">
          <cell r="A880">
            <v>44663</v>
          </cell>
          <cell r="B880">
            <v>79.790000000000006</v>
          </cell>
        </row>
        <row r="881">
          <cell r="A881">
            <v>44662</v>
          </cell>
          <cell r="B881">
            <v>80.680000000000007</v>
          </cell>
        </row>
        <row r="882">
          <cell r="A882">
            <v>44659</v>
          </cell>
          <cell r="B882">
            <v>81.52</v>
          </cell>
        </row>
        <row r="883">
          <cell r="A883">
            <v>44658</v>
          </cell>
          <cell r="B883">
            <v>83.12</v>
          </cell>
        </row>
        <row r="884">
          <cell r="A884">
            <v>44657</v>
          </cell>
          <cell r="B884">
            <v>83.36</v>
          </cell>
        </row>
        <row r="885">
          <cell r="A885">
            <v>44656</v>
          </cell>
          <cell r="B885">
            <v>84.12</v>
          </cell>
        </row>
        <row r="886">
          <cell r="A886">
            <v>44655</v>
          </cell>
          <cell r="B886">
            <v>88.09</v>
          </cell>
        </row>
        <row r="887">
          <cell r="A887">
            <v>44652</v>
          </cell>
          <cell r="B887">
            <v>91.49</v>
          </cell>
        </row>
        <row r="888">
          <cell r="A888">
            <v>44651</v>
          </cell>
          <cell r="B888">
            <v>90.97</v>
          </cell>
        </row>
        <row r="889">
          <cell r="A889">
            <v>44650</v>
          </cell>
          <cell r="B889">
            <v>91.03</v>
          </cell>
        </row>
        <row r="890">
          <cell r="A890">
            <v>44649</v>
          </cell>
          <cell r="B890">
            <v>91.23</v>
          </cell>
        </row>
        <row r="891">
          <cell r="A891">
            <v>44648</v>
          </cell>
          <cell r="B891">
            <v>88.38</v>
          </cell>
        </row>
        <row r="892">
          <cell r="A892">
            <v>44645</v>
          </cell>
          <cell r="B892">
            <v>87.45</v>
          </cell>
        </row>
        <row r="893">
          <cell r="A893">
            <v>44644</v>
          </cell>
          <cell r="B893">
            <v>87.12</v>
          </cell>
        </row>
        <row r="894">
          <cell r="A894">
            <v>44643</v>
          </cell>
          <cell r="B894">
            <v>86.22</v>
          </cell>
        </row>
        <row r="895">
          <cell r="A895">
            <v>44642</v>
          </cell>
          <cell r="B895">
            <v>87.89</v>
          </cell>
        </row>
        <row r="896">
          <cell r="A896">
            <v>44641</v>
          </cell>
          <cell r="B896">
            <v>86.86</v>
          </cell>
        </row>
        <row r="897">
          <cell r="A897">
            <v>44638</v>
          </cell>
          <cell r="B897">
            <v>89.6</v>
          </cell>
        </row>
        <row r="898">
          <cell r="A898">
            <v>44637</v>
          </cell>
          <cell r="B898">
            <v>87.66</v>
          </cell>
        </row>
        <row r="899">
          <cell r="A899">
            <v>44636</v>
          </cell>
          <cell r="B899">
            <v>87.41</v>
          </cell>
        </row>
        <row r="900">
          <cell r="A900">
            <v>44635</v>
          </cell>
          <cell r="B900">
            <v>83.12</v>
          </cell>
        </row>
        <row r="901">
          <cell r="A901">
            <v>44634</v>
          </cell>
          <cell r="B901">
            <v>79.290000000000006</v>
          </cell>
        </row>
        <row r="902">
          <cell r="A902">
            <v>44631</v>
          </cell>
          <cell r="B902">
            <v>82.73</v>
          </cell>
        </row>
        <row r="903">
          <cell r="A903">
            <v>44630</v>
          </cell>
          <cell r="B903">
            <v>87.16</v>
          </cell>
        </row>
        <row r="904">
          <cell r="A904">
            <v>44629</v>
          </cell>
          <cell r="B904">
            <v>87.6</v>
          </cell>
        </row>
        <row r="905">
          <cell r="A905">
            <v>44628</v>
          </cell>
          <cell r="B905">
            <v>84</v>
          </cell>
        </row>
        <row r="906">
          <cell r="A906">
            <v>44627</v>
          </cell>
          <cell r="B906">
            <v>84.46</v>
          </cell>
        </row>
        <row r="907">
          <cell r="A907">
            <v>44624</v>
          </cell>
          <cell r="B907">
            <v>90.03</v>
          </cell>
        </row>
        <row r="908">
          <cell r="A908">
            <v>44623</v>
          </cell>
          <cell r="B908">
            <v>91.53</v>
          </cell>
        </row>
        <row r="909">
          <cell r="A909">
            <v>44622</v>
          </cell>
          <cell r="B909">
            <v>92.77</v>
          </cell>
        </row>
        <row r="910">
          <cell r="A910">
            <v>44621</v>
          </cell>
          <cell r="B910">
            <v>90.14</v>
          </cell>
        </row>
        <row r="911">
          <cell r="A911">
            <v>44620</v>
          </cell>
          <cell r="B911">
            <v>91.79</v>
          </cell>
        </row>
        <row r="912">
          <cell r="A912">
            <v>44617</v>
          </cell>
          <cell r="B912">
            <v>92.58</v>
          </cell>
        </row>
        <row r="913">
          <cell r="A913">
            <v>44616</v>
          </cell>
          <cell r="B913">
            <v>91.01</v>
          </cell>
        </row>
        <row r="914">
          <cell r="A914">
            <v>44615</v>
          </cell>
          <cell r="B914">
            <v>89.65</v>
          </cell>
        </row>
        <row r="915">
          <cell r="A915">
            <v>44614</v>
          </cell>
          <cell r="B915">
            <v>93.11</v>
          </cell>
        </row>
        <row r="916">
          <cell r="A916">
            <v>44610</v>
          </cell>
          <cell r="B916">
            <v>93.34</v>
          </cell>
        </row>
        <row r="917">
          <cell r="A917">
            <v>44609</v>
          </cell>
          <cell r="B917">
            <v>93.05</v>
          </cell>
        </row>
        <row r="918">
          <cell r="A918">
            <v>44608</v>
          </cell>
          <cell r="B918">
            <v>95.18</v>
          </cell>
        </row>
        <row r="919">
          <cell r="A919">
            <v>44607</v>
          </cell>
          <cell r="B919">
            <v>94.51</v>
          </cell>
        </row>
        <row r="920">
          <cell r="A920">
            <v>44606</v>
          </cell>
          <cell r="B920">
            <v>93.65</v>
          </cell>
        </row>
        <row r="921">
          <cell r="A921">
            <v>44603</v>
          </cell>
          <cell r="B921">
            <v>93.73</v>
          </cell>
        </row>
        <row r="922">
          <cell r="A922">
            <v>44602</v>
          </cell>
          <cell r="B922">
            <v>95.31</v>
          </cell>
        </row>
        <row r="923">
          <cell r="A923">
            <v>44601</v>
          </cell>
          <cell r="B923">
            <v>97.13</v>
          </cell>
        </row>
        <row r="924">
          <cell r="A924">
            <v>44600</v>
          </cell>
          <cell r="B924">
            <v>94.92</v>
          </cell>
        </row>
        <row r="925">
          <cell r="A925">
            <v>44599</v>
          </cell>
          <cell r="B925">
            <v>95.19</v>
          </cell>
        </row>
        <row r="926">
          <cell r="A926">
            <v>44596</v>
          </cell>
          <cell r="B926">
            <v>95</v>
          </cell>
        </row>
        <row r="927">
          <cell r="A927">
            <v>44595</v>
          </cell>
          <cell r="B927">
            <v>95.94</v>
          </cell>
        </row>
        <row r="928">
          <cell r="A928">
            <v>44594</v>
          </cell>
          <cell r="B928">
            <v>97.73</v>
          </cell>
        </row>
        <row r="929">
          <cell r="A929">
            <v>44593</v>
          </cell>
          <cell r="B929">
            <v>98.76</v>
          </cell>
        </row>
        <row r="930">
          <cell r="A930">
            <v>44592</v>
          </cell>
          <cell r="B930">
            <v>98.32</v>
          </cell>
        </row>
        <row r="931">
          <cell r="A931">
            <v>44589</v>
          </cell>
          <cell r="B931">
            <v>97.21</v>
          </cell>
        </row>
        <row r="932">
          <cell r="A932">
            <v>44588</v>
          </cell>
          <cell r="B932">
            <v>95.32</v>
          </cell>
        </row>
        <row r="933">
          <cell r="A933">
            <v>44587</v>
          </cell>
          <cell r="B933">
            <v>95.58</v>
          </cell>
        </row>
        <row r="934">
          <cell r="A934">
            <v>44586</v>
          </cell>
          <cell r="B934">
            <v>97.01</v>
          </cell>
        </row>
        <row r="935">
          <cell r="A935">
            <v>44585</v>
          </cell>
          <cell r="B935">
            <v>98.1</v>
          </cell>
        </row>
        <row r="936">
          <cell r="A936">
            <v>44582</v>
          </cell>
          <cell r="B936">
            <v>96.31</v>
          </cell>
        </row>
        <row r="937">
          <cell r="A937">
            <v>44581</v>
          </cell>
          <cell r="B937">
            <v>95.72</v>
          </cell>
        </row>
        <row r="938">
          <cell r="A938">
            <v>44580</v>
          </cell>
          <cell r="B938">
            <v>96.87</v>
          </cell>
        </row>
        <row r="939">
          <cell r="A939">
            <v>44579</v>
          </cell>
          <cell r="B939">
            <v>97.73</v>
          </cell>
        </row>
        <row r="940">
          <cell r="A940">
            <v>44575</v>
          </cell>
          <cell r="B940">
            <v>100.12</v>
          </cell>
        </row>
        <row r="941">
          <cell r="A941">
            <v>44574</v>
          </cell>
          <cell r="B941">
            <v>102.4</v>
          </cell>
        </row>
        <row r="942">
          <cell r="A942">
            <v>44573</v>
          </cell>
          <cell r="B942">
            <v>103.87</v>
          </cell>
        </row>
        <row r="943">
          <cell r="A943">
            <v>44572</v>
          </cell>
          <cell r="B943">
            <v>104.04</v>
          </cell>
        </row>
        <row r="944">
          <cell r="A944">
            <v>44571</v>
          </cell>
          <cell r="B944">
            <v>106.03</v>
          </cell>
        </row>
        <row r="945">
          <cell r="A945">
            <v>44568</v>
          </cell>
          <cell r="B945">
            <v>107.57</v>
          </cell>
        </row>
        <row r="946">
          <cell r="A946">
            <v>44567</v>
          </cell>
          <cell r="B946">
            <v>111.14</v>
          </cell>
        </row>
        <row r="947">
          <cell r="A947">
            <v>44566</v>
          </cell>
          <cell r="B947">
            <v>110.44</v>
          </cell>
        </row>
        <row r="948">
          <cell r="A948">
            <v>44565</v>
          </cell>
          <cell r="B948">
            <v>114.24</v>
          </cell>
        </row>
        <row r="949">
          <cell r="A949">
            <v>44564</v>
          </cell>
          <cell r="B949">
            <v>116.68</v>
          </cell>
        </row>
        <row r="950">
          <cell r="A950">
            <v>44561</v>
          </cell>
          <cell r="B950">
            <v>116.97</v>
          </cell>
        </row>
        <row r="951">
          <cell r="A951">
            <v>44560</v>
          </cell>
          <cell r="B951">
            <v>116.24</v>
          </cell>
        </row>
        <row r="952">
          <cell r="A952">
            <v>44559</v>
          </cell>
          <cell r="B952">
            <v>116.38</v>
          </cell>
        </row>
        <row r="953">
          <cell r="A953">
            <v>44558</v>
          </cell>
          <cell r="B953">
            <v>115.57</v>
          </cell>
        </row>
        <row r="954">
          <cell r="A954">
            <v>44557</v>
          </cell>
          <cell r="B954">
            <v>114.22</v>
          </cell>
        </row>
        <row r="955">
          <cell r="A955">
            <v>44553</v>
          </cell>
          <cell r="B955">
            <v>112.37</v>
          </cell>
        </row>
        <row r="956">
          <cell r="A956">
            <v>44552</v>
          </cell>
          <cell r="B956">
            <v>111.74</v>
          </cell>
        </row>
        <row r="957">
          <cell r="A957">
            <v>44551</v>
          </cell>
          <cell r="B957">
            <v>110.37</v>
          </cell>
        </row>
        <row r="958">
          <cell r="A958">
            <v>44550</v>
          </cell>
          <cell r="B958">
            <v>108.09</v>
          </cell>
        </row>
        <row r="959">
          <cell r="A959">
            <v>44547</v>
          </cell>
          <cell r="B959">
            <v>108.63</v>
          </cell>
        </row>
        <row r="960">
          <cell r="A960">
            <v>44546</v>
          </cell>
          <cell r="B960">
            <v>113.59</v>
          </cell>
        </row>
        <row r="961">
          <cell r="A961">
            <v>44545</v>
          </cell>
          <cell r="B961">
            <v>114.68</v>
          </cell>
        </row>
        <row r="962">
          <cell r="A962">
            <v>44544</v>
          </cell>
          <cell r="B962">
            <v>114.71</v>
          </cell>
        </row>
        <row r="963">
          <cell r="A963">
            <v>44543</v>
          </cell>
          <cell r="B963">
            <v>115.56</v>
          </cell>
        </row>
        <row r="964">
          <cell r="A964">
            <v>44540</v>
          </cell>
          <cell r="B964">
            <v>116.73</v>
          </cell>
        </row>
        <row r="965">
          <cell r="A965">
            <v>44539</v>
          </cell>
          <cell r="B965">
            <v>115.35</v>
          </cell>
        </row>
        <row r="966">
          <cell r="A966">
            <v>44538</v>
          </cell>
          <cell r="B966">
            <v>116.25</v>
          </cell>
        </row>
        <row r="967">
          <cell r="A967">
            <v>44537</v>
          </cell>
          <cell r="B967">
            <v>116.26</v>
          </cell>
        </row>
        <row r="968">
          <cell r="A968">
            <v>44536</v>
          </cell>
          <cell r="B968">
            <v>113.36</v>
          </cell>
        </row>
        <row r="969">
          <cell r="A969">
            <v>44533</v>
          </cell>
          <cell r="B969">
            <v>111.24</v>
          </cell>
        </row>
        <row r="970">
          <cell r="A970">
            <v>44532</v>
          </cell>
          <cell r="B970">
            <v>111.42</v>
          </cell>
        </row>
        <row r="971">
          <cell r="A971">
            <v>44531</v>
          </cell>
          <cell r="B971">
            <v>108.66</v>
          </cell>
        </row>
        <row r="972">
          <cell r="A972">
            <v>44530</v>
          </cell>
          <cell r="B972">
            <v>109.64</v>
          </cell>
        </row>
        <row r="973">
          <cell r="A973">
            <v>44529</v>
          </cell>
          <cell r="B973">
            <v>110.73</v>
          </cell>
        </row>
        <row r="974">
          <cell r="A974">
            <v>44526</v>
          </cell>
          <cell r="B974">
            <v>110.66</v>
          </cell>
        </row>
        <row r="975">
          <cell r="A975">
            <v>44524</v>
          </cell>
          <cell r="B975">
            <v>113.97</v>
          </cell>
        </row>
        <row r="976">
          <cell r="A976">
            <v>44523</v>
          </cell>
          <cell r="B976">
            <v>113.58</v>
          </cell>
        </row>
        <row r="977">
          <cell r="A977">
            <v>44522</v>
          </cell>
          <cell r="B977">
            <v>111.45</v>
          </cell>
        </row>
        <row r="978">
          <cell r="A978">
            <v>44519</v>
          </cell>
          <cell r="B978">
            <v>110.78</v>
          </cell>
        </row>
        <row r="979">
          <cell r="A979">
            <v>44518</v>
          </cell>
          <cell r="B979">
            <v>112.9</v>
          </cell>
        </row>
        <row r="980">
          <cell r="A980">
            <v>44517</v>
          </cell>
          <cell r="B980">
            <v>112.52</v>
          </cell>
        </row>
        <row r="981">
          <cell r="A981">
            <v>44516</v>
          </cell>
          <cell r="B981">
            <v>112.23</v>
          </cell>
        </row>
        <row r="982">
          <cell r="A982">
            <v>44515</v>
          </cell>
          <cell r="B982">
            <v>111.87</v>
          </cell>
        </row>
        <row r="983">
          <cell r="A983">
            <v>44512</v>
          </cell>
          <cell r="B983">
            <v>111.72</v>
          </cell>
        </row>
        <row r="984">
          <cell r="A984">
            <v>44511</v>
          </cell>
          <cell r="B984">
            <v>111.44</v>
          </cell>
        </row>
        <row r="985">
          <cell r="A985">
            <v>44510</v>
          </cell>
          <cell r="B985">
            <v>113.25</v>
          </cell>
        </row>
        <row r="986">
          <cell r="A986">
            <v>44509</v>
          </cell>
          <cell r="B986">
            <v>114.13</v>
          </cell>
        </row>
        <row r="987">
          <cell r="A987">
            <v>44508</v>
          </cell>
          <cell r="B987">
            <v>115.16</v>
          </cell>
        </row>
        <row r="988">
          <cell r="A988">
            <v>44505</v>
          </cell>
          <cell r="B988">
            <v>116.91</v>
          </cell>
        </row>
        <row r="989">
          <cell r="A989">
            <v>44504</v>
          </cell>
          <cell r="B989">
            <v>112.16</v>
          </cell>
        </row>
        <row r="990">
          <cell r="A990">
            <v>44503</v>
          </cell>
          <cell r="B990">
            <v>112.61</v>
          </cell>
        </row>
        <row r="991">
          <cell r="A991">
            <v>44502</v>
          </cell>
          <cell r="B991">
            <v>111.45</v>
          </cell>
        </row>
        <row r="992">
          <cell r="A992">
            <v>44501</v>
          </cell>
          <cell r="B992">
            <v>109.8</v>
          </cell>
        </row>
        <row r="993">
          <cell r="A993">
            <v>44498</v>
          </cell>
          <cell r="B993">
            <v>106.07</v>
          </cell>
        </row>
        <row r="994">
          <cell r="A994">
            <v>44497</v>
          </cell>
          <cell r="B994">
            <v>113.2</v>
          </cell>
        </row>
        <row r="995">
          <cell r="A995">
            <v>44496</v>
          </cell>
          <cell r="B995">
            <v>113.51</v>
          </cell>
        </row>
        <row r="996">
          <cell r="A996">
            <v>44495</v>
          </cell>
          <cell r="B996">
            <v>114.92</v>
          </cell>
        </row>
        <row r="997">
          <cell r="A997">
            <v>44494</v>
          </cell>
          <cell r="B997">
            <v>114.71</v>
          </cell>
        </row>
        <row r="998">
          <cell r="A998">
            <v>44491</v>
          </cell>
          <cell r="B998">
            <v>114.55</v>
          </cell>
        </row>
        <row r="999">
          <cell r="A999">
            <v>44490</v>
          </cell>
          <cell r="B999">
            <v>114.44</v>
          </cell>
        </row>
        <row r="1000">
          <cell r="A1000">
            <v>44489</v>
          </cell>
          <cell r="B1000">
            <v>113.86</v>
          </cell>
        </row>
        <row r="1001">
          <cell r="A1001">
            <v>44488</v>
          </cell>
          <cell r="B1001">
            <v>113.49</v>
          </cell>
        </row>
        <row r="1002">
          <cell r="A1002">
            <v>44487</v>
          </cell>
          <cell r="B1002">
            <v>113.37</v>
          </cell>
        </row>
        <row r="1003">
          <cell r="A1003">
            <v>44484</v>
          </cell>
          <cell r="B1003">
            <v>111.45</v>
          </cell>
        </row>
        <row r="1004">
          <cell r="A1004">
            <v>44483</v>
          </cell>
          <cell r="B1004">
            <v>111.87</v>
          </cell>
        </row>
        <row r="1005">
          <cell r="A1005">
            <v>44482</v>
          </cell>
          <cell r="B1005">
            <v>110.76</v>
          </cell>
        </row>
        <row r="1006">
          <cell r="A1006">
            <v>44481</v>
          </cell>
          <cell r="B1006">
            <v>111</v>
          </cell>
        </row>
        <row r="1007">
          <cell r="A1007">
            <v>44480</v>
          </cell>
          <cell r="B1007">
            <v>110.94</v>
          </cell>
        </row>
        <row r="1008">
          <cell r="A1008">
            <v>44477</v>
          </cell>
          <cell r="B1008">
            <v>111.22</v>
          </cell>
        </row>
        <row r="1009">
          <cell r="A1009">
            <v>44476</v>
          </cell>
          <cell r="B1009">
            <v>112.21</v>
          </cell>
        </row>
        <row r="1010">
          <cell r="A1010">
            <v>44475</v>
          </cell>
          <cell r="B1010">
            <v>111.64</v>
          </cell>
        </row>
        <row r="1011">
          <cell r="A1011">
            <v>44474</v>
          </cell>
          <cell r="B1011">
            <v>110.85</v>
          </cell>
        </row>
        <row r="1012">
          <cell r="A1012">
            <v>44473</v>
          </cell>
          <cell r="B1012">
            <v>111.46</v>
          </cell>
        </row>
        <row r="1013">
          <cell r="A1013">
            <v>44470</v>
          </cell>
          <cell r="B1013">
            <v>112.92</v>
          </cell>
        </row>
        <row r="1014">
          <cell r="A1014">
            <v>44469</v>
          </cell>
          <cell r="B1014">
            <v>110.31</v>
          </cell>
        </row>
        <row r="1015">
          <cell r="A1015">
            <v>44468</v>
          </cell>
          <cell r="B1015">
            <v>112.17</v>
          </cell>
        </row>
        <row r="1016">
          <cell r="A1016">
            <v>44467</v>
          </cell>
          <cell r="B1016">
            <v>111.71</v>
          </cell>
        </row>
        <row r="1017">
          <cell r="A1017">
            <v>44466</v>
          </cell>
          <cell r="B1017">
            <v>113.68</v>
          </cell>
        </row>
        <row r="1018">
          <cell r="A1018">
            <v>44463</v>
          </cell>
          <cell r="B1018">
            <v>114.11</v>
          </cell>
        </row>
        <row r="1019">
          <cell r="A1019">
            <v>44462</v>
          </cell>
          <cell r="B1019">
            <v>114.14</v>
          </cell>
        </row>
        <row r="1020">
          <cell r="A1020">
            <v>44461</v>
          </cell>
          <cell r="B1020">
            <v>113.07</v>
          </cell>
        </row>
        <row r="1021">
          <cell r="A1021">
            <v>44460</v>
          </cell>
          <cell r="B1021">
            <v>112.22</v>
          </cell>
        </row>
        <row r="1022">
          <cell r="A1022">
            <v>44459</v>
          </cell>
          <cell r="B1022">
            <v>111.82</v>
          </cell>
        </row>
        <row r="1023">
          <cell r="A1023">
            <v>44456</v>
          </cell>
          <cell r="B1023">
            <v>113.41</v>
          </cell>
        </row>
        <row r="1024">
          <cell r="A1024">
            <v>44455</v>
          </cell>
          <cell r="B1024">
            <v>114.67</v>
          </cell>
        </row>
        <row r="1025">
          <cell r="A1025">
            <v>44454</v>
          </cell>
          <cell r="B1025">
            <v>114.64</v>
          </cell>
        </row>
        <row r="1026">
          <cell r="A1026">
            <v>44453</v>
          </cell>
          <cell r="B1026">
            <v>118.86</v>
          </cell>
        </row>
        <row r="1027">
          <cell r="A1027">
            <v>44452</v>
          </cell>
          <cell r="B1027">
            <v>119.18</v>
          </cell>
        </row>
        <row r="1028">
          <cell r="A1028">
            <v>44449</v>
          </cell>
          <cell r="B1028">
            <v>119.34</v>
          </cell>
        </row>
        <row r="1029">
          <cell r="A1029">
            <v>44448</v>
          </cell>
          <cell r="B1029">
            <v>118.79</v>
          </cell>
        </row>
        <row r="1030">
          <cell r="A1030">
            <v>44447</v>
          </cell>
          <cell r="B1030">
            <v>118.04</v>
          </cell>
        </row>
        <row r="1031">
          <cell r="A1031">
            <v>44446</v>
          </cell>
          <cell r="B1031">
            <v>115.79</v>
          </cell>
        </row>
        <row r="1032">
          <cell r="A1032">
            <v>44442</v>
          </cell>
          <cell r="B1032">
            <v>117.19</v>
          </cell>
        </row>
        <row r="1033">
          <cell r="A1033">
            <v>44441</v>
          </cell>
          <cell r="B1033">
            <v>117.37</v>
          </cell>
        </row>
        <row r="1034">
          <cell r="A1034">
            <v>44440</v>
          </cell>
          <cell r="B1034">
            <v>117.45</v>
          </cell>
        </row>
        <row r="1035">
          <cell r="A1035">
            <v>44439</v>
          </cell>
          <cell r="B1035">
            <v>117.49</v>
          </cell>
        </row>
        <row r="1036">
          <cell r="A1036">
            <v>44438</v>
          </cell>
          <cell r="B1036">
            <v>115.61</v>
          </cell>
        </row>
        <row r="1037">
          <cell r="A1037">
            <v>44435</v>
          </cell>
          <cell r="B1037">
            <v>115.12</v>
          </cell>
        </row>
        <row r="1038">
          <cell r="A1038">
            <v>44434</v>
          </cell>
          <cell r="B1038">
            <v>114.32</v>
          </cell>
        </row>
        <row r="1039">
          <cell r="A1039">
            <v>44433</v>
          </cell>
          <cell r="B1039">
            <v>115.57</v>
          </cell>
        </row>
        <row r="1040">
          <cell r="A1040">
            <v>44432</v>
          </cell>
          <cell r="B1040">
            <v>115.08</v>
          </cell>
        </row>
        <row r="1041">
          <cell r="A1041">
            <v>44431</v>
          </cell>
          <cell r="B1041">
            <v>115.15</v>
          </cell>
        </row>
        <row r="1042">
          <cell r="A1042">
            <v>44428</v>
          </cell>
          <cell r="B1042">
            <v>114.63</v>
          </cell>
        </row>
        <row r="1043">
          <cell r="A1043">
            <v>44427</v>
          </cell>
          <cell r="B1043">
            <v>114.32</v>
          </cell>
        </row>
        <row r="1044">
          <cell r="A1044">
            <v>44426</v>
          </cell>
          <cell r="B1044">
            <v>115.68</v>
          </cell>
        </row>
        <row r="1045">
          <cell r="A1045">
            <v>44425</v>
          </cell>
          <cell r="B1045">
            <v>116.57</v>
          </cell>
        </row>
        <row r="1046">
          <cell r="A1046">
            <v>44424</v>
          </cell>
          <cell r="B1046">
            <v>117.54</v>
          </cell>
        </row>
        <row r="1047">
          <cell r="A1047">
            <v>44421</v>
          </cell>
          <cell r="B1047">
            <v>116.76</v>
          </cell>
        </row>
        <row r="1048">
          <cell r="A1048">
            <v>44420</v>
          </cell>
          <cell r="B1048">
            <v>115.75</v>
          </cell>
        </row>
        <row r="1049">
          <cell r="A1049">
            <v>44419</v>
          </cell>
          <cell r="B1049">
            <v>116.5</v>
          </cell>
        </row>
        <row r="1050">
          <cell r="A1050">
            <v>44418</v>
          </cell>
          <cell r="B1050">
            <v>116.39</v>
          </cell>
        </row>
        <row r="1051">
          <cell r="A1051">
            <v>44417</v>
          </cell>
          <cell r="B1051">
            <v>117.94</v>
          </cell>
        </row>
        <row r="1052">
          <cell r="A1052">
            <v>44414</v>
          </cell>
          <cell r="B1052">
            <v>119.05</v>
          </cell>
        </row>
        <row r="1053">
          <cell r="A1053">
            <v>44413</v>
          </cell>
          <cell r="B1053">
            <v>119.03</v>
          </cell>
        </row>
        <row r="1054">
          <cell r="A1054">
            <v>44412</v>
          </cell>
          <cell r="B1054">
            <v>118.25</v>
          </cell>
        </row>
        <row r="1055">
          <cell r="A1055">
            <v>44411</v>
          </cell>
          <cell r="B1055">
            <v>119.13</v>
          </cell>
        </row>
        <row r="1056">
          <cell r="A1056">
            <v>44410</v>
          </cell>
          <cell r="B1056">
            <v>120.37</v>
          </cell>
        </row>
        <row r="1057">
          <cell r="A1057">
            <v>44407</v>
          </cell>
          <cell r="B1057">
            <v>121.43</v>
          </cell>
        </row>
        <row r="1058">
          <cell r="A1058">
            <v>44406</v>
          </cell>
          <cell r="B1058">
            <v>122.38</v>
          </cell>
        </row>
        <row r="1059">
          <cell r="A1059">
            <v>44405</v>
          </cell>
          <cell r="B1059">
            <v>122.41</v>
          </cell>
        </row>
        <row r="1060">
          <cell r="A1060">
            <v>44404</v>
          </cell>
          <cell r="B1060">
            <v>126.03</v>
          </cell>
        </row>
        <row r="1061">
          <cell r="A1061">
            <v>44403</v>
          </cell>
          <cell r="B1061">
            <v>126.06</v>
          </cell>
        </row>
        <row r="1062">
          <cell r="A1062">
            <v>44400</v>
          </cell>
          <cell r="B1062">
            <v>125.97</v>
          </cell>
        </row>
        <row r="1063">
          <cell r="A1063">
            <v>44399</v>
          </cell>
          <cell r="B1063">
            <v>122.63</v>
          </cell>
        </row>
        <row r="1064">
          <cell r="A1064">
            <v>44398</v>
          </cell>
          <cell r="B1064">
            <v>119.27</v>
          </cell>
        </row>
        <row r="1065">
          <cell r="A1065">
            <v>44397</v>
          </cell>
          <cell r="B1065">
            <v>117.42</v>
          </cell>
        </row>
        <row r="1066">
          <cell r="A1066">
            <v>44396</v>
          </cell>
          <cell r="B1066">
            <v>115.32</v>
          </cell>
        </row>
        <row r="1067">
          <cell r="A1067">
            <v>44393</v>
          </cell>
          <cell r="B1067">
            <v>118.73</v>
          </cell>
        </row>
        <row r="1068">
          <cell r="A1068">
            <v>44392</v>
          </cell>
          <cell r="B1068">
            <v>118.97</v>
          </cell>
        </row>
        <row r="1069">
          <cell r="A1069">
            <v>44391</v>
          </cell>
          <cell r="B1069">
            <v>119.8</v>
          </cell>
        </row>
        <row r="1070">
          <cell r="A1070">
            <v>44390</v>
          </cell>
          <cell r="B1070">
            <v>119.55</v>
          </cell>
        </row>
        <row r="1071">
          <cell r="A1071">
            <v>44389</v>
          </cell>
          <cell r="B1071">
            <v>118.46</v>
          </cell>
        </row>
        <row r="1072">
          <cell r="A1072">
            <v>44386</v>
          </cell>
          <cell r="B1072">
            <v>117.47</v>
          </cell>
        </row>
        <row r="1073">
          <cell r="A1073">
            <v>44385</v>
          </cell>
          <cell r="B1073">
            <v>115.99</v>
          </cell>
        </row>
        <row r="1074">
          <cell r="A1074">
            <v>44384</v>
          </cell>
          <cell r="B1074">
            <v>117.14</v>
          </cell>
        </row>
        <row r="1075">
          <cell r="A1075">
            <v>44383</v>
          </cell>
          <cell r="B1075">
            <v>115.73</v>
          </cell>
        </row>
        <row r="1076">
          <cell r="A1076">
            <v>44379</v>
          </cell>
          <cell r="B1076">
            <v>114.97</v>
          </cell>
        </row>
        <row r="1077">
          <cell r="A1077">
            <v>44378</v>
          </cell>
          <cell r="B1077">
            <v>113.41</v>
          </cell>
        </row>
        <row r="1078">
          <cell r="A1078">
            <v>44377</v>
          </cell>
          <cell r="B1078">
            <v>111.81</v>
          </cell>
        </row>
        <row r="1079">
          <cell r="A1079">
            <v>44376</v>
          </cell>
          <cell r="B1079">
            <v>112.27</v>
          </cell>
        </row>
        <row r="1080">
          <cell r="A1080">
            <v>44375</v>
          </cell>
          <cell r="B1080">
            <v>112.24</v>
          </cell>
        </row>
        <row r="1081">
          <cell r="A1081">
            <v>44372</v>
          </cell>
          <cell r="B1081">
            <v>113.04</v>
          </cell>
        </row>
        <row r="1082">
          <cell r="A1082">
            <v>44371</v>
          </cell>
          <cell r="B1082">
            <v>111.99</v>
          </cell>
        </row>
        <row r="1083">
          <cell r="A1083">
            <v>44370</v>
          </cell>
          <cell r="B1083">
            <v>111.56</v>
          </cell>
        </row>
        <row r="1084">
          <cell r="A1084">
            <v>44369</v>
          </cell>
          <cell r="B1084">
            <v>111.85</v>
          </cell>
        </row>
        <row r="1085">
          <cell r="A1085">
            <v>44368</v>
          </cell>
          <cell r="B1085">
            <v>110.97</v>
          </cell>
        </row>
        <row r="1086">
          <cell r="A1086">
            <v>44365</v>
          </cell>
          <cell r="B1086">
            <v>109.7</v>
          </cell>
        </row>
        <row r="1087">
          <cell r="A1087">
            <v>44364</v>
          </cell>
          <cell r="B1087">
            <v>111.39</v>
          </cell>
        </row>
        <row r="1088">
          <cell r="A1088">
            <v>44363</v>
          </cell>
          <cell r="B1088">
            <v>111.36</v>
          </cell>
        </row>
        <row r="1089">
          <cell r="A1089">
            <v>44362</v>
          </cell>
          <cell r="B1089">
            <v>111.89</v>
          </cell>
        </row>
        <row r="1090">
          <cell r="A1090">
            <v>44361</v>
          </cell>
          <cell r="B1090">
            <v>112.45</v>
          </cell>
        </row>
        <row r="1091">
          <cell r="A1091">
            <v>44358</v>
          </cell>
          <cell r="B1091">
            <v>112.56</v>
          </cell>
        </row>
        <row r="1092">
          <cell r="A1092">
            <v>44357</v>
          </cell>
          <cell r="B1092">
            <v>112.21</v>
          </cell>
        </row>
        <row r="1093">
          <cell r="A1093">
            <v>44356</v>
          </cell>
          <cell r="B1093">
            <v>111.39</v>
          </cell>
        </row>
        <row r="1094">
          <cell r="A1094">
            <v>44355</v>
          </cell>
          <cell r="B1094">
            <v>111.52</v>
          </cell>
        </row>
        <row r="1095">
          <cell r="A1095">
            <v>44354</v>
          </cell>
          <cell r="B1095">
            <v>111.33</v>
          </cell>
        </row>
        <row r="1096">
          <cell r="A1096">
            <v>44351</v>
          </cell>
          <cell r="B1096">
            <v>111.99</v>
          </cell>
        </row>
        <row r="1097">
          <cell r="A1097">
            <v>44350</v>
          </cell>
          <cell r="B1097">
            <v>111.12</v>
          </cell>
        </row>
        <row r="1098">
          <cell r="A1098">
            <v>44349</v>
          </cell>
          <cell r="B1098">
            <v>113</v>
          </cell>
        </row>
        <row r="1099">
          <cell r="A1099">
            <v>44348</v>
          </cell>
          <cell r="B1099">
            <v>113.34</v>
          </cell>
        </row>
        <row r="1100">
          <cell r="A1100">
            <v>44344</v>
          </cell>
          <cell r="B1100">
            <v>113.88</v>
          </cell>
        </row>
        <row r="1101">
          <cell r="A1101">
            <v>44343</v>
          </cell>
          <cell r="B1101">
            <v>113.51</v>
          </cell>
        </row>
        <row r="1102">
          <cell r="A1102">
            <v>44342</v>
          </cell>
          <cell r="B1102">
            <v>112.85</v>
          </cell>
        </row>
        <row r="1103">
          <cell r="A1103">
            <v>44341</v>
          </cell>
          <cell r="B1103">
            <v>112.63</v>
          </cell>
        </row>
        <row r="1104">
          <cell r="A1104">
            <v>44340</v>
          </cell>
          <cell r="B1104">
            <v>112.52</v>
          </cell>
        </row>
        <row r="1105">
          <cell r="A1105">
            <v>44337</v>
          </cell>
          <cell r="B1105">
            <v>110.92</v>
          </cell>
        </row>
        <row r="1106">
          <cell r="A1106">
            <v>44336</v>
          </cell>
          <cell r="B1106">
            <v>111.41</v>
          </cell>
        </row>
        <row r="1107">
          <cell r="A1107">
            <v>44335</v>
          </cell>
          <cell r="B1107">
            <v>109.67</v>
          </cell>
        </row>
        <row r="1108">
          <cell r="A1108">
            <v>44334</v>
          </cell>
          <cell r="B1108">
            <v>111.07</v>
          </cell>
        </row>
        <row r="1109">
          <cell r="A1109">
            <v>44333</v>
          </cell>
          <cell r="B1109">
            <v>110.98</v>
          </cell>
        </row>
        <row r="1110">
          <cell r="A1110">
            <v>44330</v>
          </cell>
          <cell r="B1110">
            <v>111.2</v>
          </cell>
        </row>
        <row r="1111">
          <cell r="A1111">
            <v>44329</v>
          </cell>
          <cell r="B1111">
            <v>110.49</v>
          </cell>
        </row>
        <row r="1112">
          <cell r="A1112">
            <v>44328</v>
          </cell>
          <cell r="B1112">
            <v>109.79</v>
          </cell>
        </row>
        <row r="1113">
          <cell r="A1113">
            <v>44327</v>
          </cell>
          <cell r="B1113">
            <v>113.55</v>
          </cell>
        </row>
        <row r="1114">
          <cell r="A1114">
            <v>44326</v>
          </cell>
          <cell r="B1114">
            <v>114.3</v>
          </cell>
        </row>
        <row r="1115">
          <cell r="A1115">
            <v>44323</v>
          </cell>
          <cell r="B1115">
            <v>114.34</v>
          </cell>
        </row>
        <row r="1116">
          <cell r="A1116">
            <v>44322</v>
          </cell>
          <cell r="B1116">
            <v>114.74</v>
          </cell>
        </row>
        <row r="1117">
          <cell r="A1117">
            <v>44321</v>
          </cell>
          <cell r="B1117">
            <v>113.48</v>
          </cell>
        </row>
        <row r="1118">
          <cell r="A1118">
            <v>44320</v>
          </cell>
          <cell r="B1118">
            <v>114.11</v>
          </cell>
        </row>
        <row r="1119">
          <cell r="A1119">
            <v>44319</v>
          </cell>
          <cell r="B1119">
            <v>115.72</v>
          </cell>
        </row>
        <row r="1120">
          <cell r="A1120">
            <v>44316</v>
          </cell>
          <cell r="B1120">
            <v>114.49</v>
          </cell>
        </row>
        <row r="1121">
          <cell r="A1121">
            <v>44315</v>
          </cell>
          <cell r="B1121">
            <v>114.63</v>
          </cell>
        </row>
        <row r="1122">
          <cell r="A1122">
            <v>44314</v>
          </cell>
          <cell r="B1122">
            <v>112.4</v>
          </cell>
        </row>
        <row r="1123">
          <cell r="A1123">
            <v>44313</v>
          </cell>
          <cell r="B1123">
            <v>116.15</v>
          </cell>
        </row>
        <row r="1124">
          <cell r="A1124">
            <v>44312</v>
          </cell>
          <cell r="B1124">
            <v>115.92</v>
          </cell>
        </row>
        <row r="1125">
          <cell r="A1125">
            <v>44309</v>
          </cell>
          <cell r="B1125">
            <v>117.56</v>
          </cell>
        </row>
        <row r="1126">
          <cell r="A1126">
            <v>44308</v>
          </cell>
          <cell r="B1126">
            <v>115.92</v>
          </cell>
        </row>
        <row r="1127">
          <cell r="A1127">
            <v>44307</v>
          </cell>
          <cell r="B1127">
            <v>116.74</v>
          </cell>
        </row>
        <row r="1128">
          <cell r="A1128">
            <v>44306</v>
          </cell>
          <cell r="B1128">
            <v>116.27</v>
          </cell>
        </row>
        <row r="1129">
          <cell r="A1129">
            <v>44305</v>
          </cell>
          <cell r="B1129">
            <v>117.6</v>
          </cell>
        </row>
        <row r="1130">
          <cell r="A1130">
            <v>44302</v>
          </cell>
          <cell r="B1130">
            <v>118.34</v>
          </cell>
        </row>
        <row r="1131">
          <cell r="A1131">
            <v>44301</v>
          </cell>
          <cell r="B1131">
            <v>116.66</v>
          </cell>
        </row>
        <row r="1132">
          <cell r="A1132">
            <v>44300</v>
          </cell>
          <cell r="B1132">
            <v>115.16</v>
          </cell>
        </row>
        <row r="1133">
          <cell r="A1133">
            <v>44299</v>
          </cell>
          <cell r="B1133">
            <v>115.36</v>
          </cell>
        </row>
        <row r="1134">
          <cell r="A1134">
            <v>44298</v>
          </cell>
          <cell r="B1134">
            <v>113.81</v>
          </cell>
        </row>
        <row r="1135">
          <cell r="A1135">
            <v>44295</v>
          </cell>
          <cell r="B1135">
            <v>113.18</v>
          </cell>
        </row>
        <row r="1136">
          <cell r="A1136">
            <v>44294</v>
          </cell>
          <cell r="B1136">
            <v>113.04</v>
          </cell>
        </row>
        <row r="1137">
          <cell r="A1137">
            <v>44293</v>
          </cell>
          <cell r="B1137">
            <v>113.19</v>
          </cell>
        </row>
        <row r="1138">
          <cell r="A1138">
            <v>44292</v>
          </cell>
          <cell r="B1138">
            <v>113.15</v>
          </cell>
        </row>
        <row r="1139">
          <cell r="A1139">
            <v>44291</v>
          </cell>
          <cell r="B1139">
            <v>111.02</v>
          </cell>
        </row>
        <row r="1140">
          <cell r="A1140">
            <v>44287</v>
          </cell>
          <cell r="B1140">
            <v>109.38</v>
          </cell>
        </row>
        <row r="1141">
          <cell r="A1141">
            <v>44286</v>
          </cell>
          <cell r="B1141">
            <v>109.27</v>
          </cell>
        </row>
        <row r="1142">
          <cell r="A1142">
            <v>44285</v>
          </cell>
          <cell r="B1142">
            <v>110.27</v>
          </cell>
        </row>
        <row r="1143">
          <cell r="A1143">
            <v>44284</v>
          </cell>
          <cell r="B1143">
            <v>109.13</v>
          </cell>
        </row>
        <row r="1144">
          <cell r="A1144">
            <v>44281</v>
          </cell>
          <cell r="B1144">
            <v>109.9</v>
          </cell>
        </row>
        <row r="1145">
          <cell r="A1145">
            <v>44280</v>
          </cell>
          <cell r="B1145">
            <v>107.35</v>
          </cell>
        </row>
        <row r="1146">
          <cell r="A1146">
            <v>44279</v>
          </cell>
          <cell r="B1146">
            <v>104.97</v>
          </cell>
        </row>
        <row r="1147">
          <cell r="A1147">
            <v>44278</v>
          </cell>
          <cell r="B1147">
            <v>106.25</v>
          </cell>
        </row>
        <row r="1148">
          <cell r="A1148">
            <v>44277</v>
          </cell>
          <cell r="B1148">
            <v>107.57</v>
          </cell>
        </row>
        <row r="1149">
          <cell r="A1149">
            <v>44274</v>
          </cell>
          <cell r="B1149">
            <v>106.34</v>
          </cell>
        </row>
        <row r="1150">
          <cell r="A1150">
            <v>44273</v>
          </cell>
          <cell r="B1150">
            <v>107.62</v>
          </cell>
        </row>
        <row r="1151">
          <cell r="A1151">
            <v>44272</v>
          </cell>
          <cell r="B1151">
            <v>110.46</v>
          </cell>
        </row>
        <row r="1152">
          <cell r="A1152">
            <v>44271</v>
          </cell>
          <cell r="B1152">
            <v>111.34</v>
          </cell>
        </row>
        <row r="1153">
          <cell r="A1153">
            <v>44270</v>
          </cell>
          <cell r="B1153">
            <v>108.9</v>
          </cell>
        </row>
        <row r="1154">
          <cell r="A1154">
            <v>44267</v>
          </cell>
          <cell r="B1154">
            <v>107.81</v>
          </cell>
        </row>
        <row r="1155">
          <cell r="A1155">
            <v>44266</v>
          </cell>
          <cell r="B1155">
            <v>107.32</v>
          </cell>
        </row>
        <row r="1156">
          <cell r="A1156">
            <v>44265</v>
          </cell>
          <cell r="B1156">
            <v>107.78</v>
          </cell>
        </row>
        <row r="1157">
          <cell r="A1157">
            <v>44264</v>
          </cell>
          <cell r="B1157">
            <v>106.55</v>
          </cell>
        </row>
        <row r="1158">
          <cell r="A1158">
            <v>44263</v>
          </cell>
          <cell r="B1158">
            <v>105.03</v>
          </cell>
        </row>
        <row r="1159">
          <cell r="A1159">
            <v>44260</v>
          </cell>
          <cell r="B1159">
            <v>105.2</v>
          </cell>
        </row>
        <row r="1160">
          <cell r="A1160">
            <v>44259</v>
          </cell>
          <cell r="B1160">
            <v>104.89</v>
          </cell>
        </row>
        <row r="1161">
          <cell r="A1161">
            <v>44258</v>
          </cell>
          <cell r="B1161">
            <v>106.22</v>
          </cell>
        </row>
        <row r="1162">
          <cell r="A1162">
            <v>44257</v>
          </cell>
          <cell r="B1162">
            <v>107.2</v>
          </cell>
        </row>
        <row r="1163">
          <cell r="A1163">
            <v>44256</v>
          </cell>
          <cell r="B1163">
            <v>106.87</v>
          </cell>
        </row>
        <row r="1164">
          <cell r="A1164">
            <v>44253</v>
          </cell>
          <cell r="B1164">
            <v>108.03</v>
          </cell>
        </row>
        <row r="1165">
          <cell r="A1165">
            <v>44252</v>
          </cell>
          <cell r="B1165">
            <v>103.47</v>
          </cell>
        </row>
        <row r="1166">
          <cell r="A1166">
            <v>44251</v>
          </cell>
          <cell r="B1166">
            <v>104.38</v>
          </cell>
        </row>
        <row r="1167">
          <cell r="A1167">
            <v>44250</v>
          </cell>
          <cell r="B1167">
            <v>101.37</v>
          </cell>
        </row>
        <row r="1168">
          <cell r="A1168">
            <v>44249</v>
          </cell>
          <cell r="B1168">
            <v>101.81</v>
          </cell>
        </row>
        <row r="1169">
          <cell r="A1169">
            <v>44246</v>
          </cell>
          <cell r="B1169">
            <v>103.37</v>
          </cell>
        </row>
        <row r="1170">
          <cell r="A1170">
            <v>44245</v>
          </cell>
          <cell r="B1170">
            <v>104.97</v>
          </cell>
        </row>
        <row r="1171">
          <cell r="A1171">
            <v>44244</v>
          </cell>
          <cell r="B1171">
            <v>104.44</v>
          </cell>
        </row>
        <row r="1172">
          <cell r="A1172">
            <v>44243</v>
          </cell>
          <cell r="B1172">
            <v>106.15</v>
          </cell>
        </row>
        <row r="1173">
          <cell r="A1173">
            <v>44239</v>
          </cell>
          <cell r="B1173">
            <v>105.3</v>
          </cell>
        </row>
        <row r="1174">
          <cell r="A1174">
            <v>44238</v>
          </cell>
          <cell r="B1174">
            <v>105.86</v>
          </cell>
        </row>
        <row r="1175">
          <cell r="A1175">
            <v>44237</v>
          </cell>
          <cell r="B1175">
            <v>105.87</v>
          </cell>
        </row>
        <row r="1176">
          <cell r="A1176">
            <v>44236</v>
          </cell>
          <cell r="B1176">
            <v>106.22</v>
          </cell>
        </row>
        <row r="1177">
          <cell r="A1177">
            <v>44235</v>
          </cell>
          <cell r="B1177">
            <v>106.26</v>
          </cell>
        </row>
        <row r="1178">
          <cell r="A1178">
            <v>44232</v>
          </cell>
          <cell r="B1178">
            <v>106.48</v>
          </cell>
        </row>
        <row r="1179">
          <cell r="A1179">
            <v>44231</v>
          </cell>
          <cell r="B1179">
            <v>103.64</v>
          </cell>
        </row>
        <row r="1180">
          <cell r="A1180">
            <v>44230</v>
          </cell>
          <cell r="B1180">
            <v>101.02</v>
          </cell>
        </row>
        <row r="1181">
          <cell r="A1181">
            <v>44229</v>
          </cell>
          <cell r="B1181">
            <v>101.65</v>
          </cell>
        </row>
        <row r="1182">
          <cell r="A1182">
            <v>44228</v>
          </cell>
          <cell r="B1182">
            <v>98.58</v>
          </cell>
        </row>
        <row r="1183">
          <cell r="A1183">
            <v>44225</v>
          </cell>
          <cell r="B1183">
            <v>96.81</v>
          </cell>
        </row>
        <row r="1184">
          <cell r="A1184">
            <v>44224</v>
          </cell>
          <cell r="B1184">
            <v>98.15</v>
          </cell>
        </row>
        <row r="1185">
          <cell r="A1185">
            <v>44223</v>
          </cell>
          <cell r="B1185">
            <v>97.87</v>
          </cell>
        </row>
        <row r="1186">
          <cell r="A1186">
            <v>44222</v>
          </cell>
          <cell r="B1186">
            <v>104.69</v>
          </cell>
        </row>
        <row r="1187">
          <cell r="A1187">
            <v>44221</v>
          </cell>
          <cell r="B1187">
            <v>103.45</v>
          </cell>
        </row>
        <row r="1188">
          <cell r="A1188">
            <v>44218</v>
          </cell>
          <cell r="B1188">
            <v>103.91</v>
          </cell>
        </row>
        <row r="1189">
          <cell r="A1189">
            <v>44217</v>
          </cell>
          <cell r="B1189">
            <v>104.58</v>
          </cell>
        </row>
        <row r="1190">
          <cell r="A1190">
            <v>44216</v>
          </cell>
          <cell r="B1190">
            <v>105.46</v>
          </cell>
        </row>
        <row r="1191">
          <cell r="A1191">
            <v>44215</v>
          </cell>
          <cell r="B1191">
            <v>102.54</v>
          </cell>
        </row>
        <row r="1192">
          <cell r="A1192">
            <v>44211</v>
          </cell>
          <cell r="B1192">
            <v>102.33</v>
          </cell>
        </row>
        <row r="1193">
          <cell r="A1193">
            <v>44210</v>
          </cell>
          <cell r="B1193">
            <v>101.82</v>
          </cell>
        </row>
        <row r="1194">
          <cell r="A1194">
            <v>44209</v>
          </cell>
          <cell r="B1194">
            <v>102.89</v>
          </cell>
        </row>
        <row r="1195">
          <cell r="A1195">
            <v>44208</v>
          </cell>
          <cell r="B1195">
            <v>102.82</v>
          </cell>
        </row>
        <row r="1196">
          <cell r="A1196">
            <v>44207</v>
          </cell>
          <cell r="B1196">
            <v>104.6</v>
          </cell>
        </row>
        <row r="1197">
          <cell r="A1197">
            <v>44204</v>
          </cell>
          <cell r="B1197">
            <v>105.67</v>
          </cell>
        </row>
        <row r="1198">
          <cell r="A1198">
            <v>44203</v>
          </cell>
          <cell r="B1198">
            <v>103.35</v>
          </cell>
        </row>
        <row r="1199">
          <cell r="A1199">
            <v>44202</v>
          </cell>
          <cell r="B1199">
            <v>104.19</v>
          </cell>
        </row>
        <row r="1200">
          <cell r="A1200">
            <v>44201</v>
          </cell>
          <cell r="B1200">
            <v>103.44</v>
          </cell>
        </row>
        <row r="1201">
          <cell r="A1201">
            <v>44200</v>
          </cell>
          <cell r="B1201">
            <v>103.1</v>
          </cell>
        </row>
        <row r="1202">
          <cell r="A1202">
            <v>44196</v>
          </cell>
          <cell r="B1202">
            <v>106.98</v>
          </cell>
        </row>
        <row r="1203">
          <cell r="A1203">
            <v>44195</v>
          </cell>
          <cell r="B1203">
            <v>105.97</v>
          </cell>
        </row>
        <row r="1204">
          <cell r="A1204">
            <v>44194</v>
          </cell>
          <cell r="B1204">
            <v>105.63</v>
          </cell>
        </row>
        <row r="1205">
          <cell r="A1205">
            <v>44193</v>
          </cell>
          <cell r="B1205">
            <v>104.34</v>
          </cell>
        </row>
        <row r="1206">
          <cell r="A1206">
            <v>44189</v>
          </cell>
          <cell r="B1206">
            <v>102.01</v>
          </cell>
        </row>
        <row r="1207">
          <cell r="A1207">
            <v>44188</v>
          </cell>
          <cell r="B1207">
            <v>102.06</v>
          </cell>
        </row>
        <row r="1208">
          <cell r="A1208">
            <v>44187</v>
          </cell>
          <cell r="B1208">
            <v>102.41</v>
          </cell>
        </row>
        <row r="1209">
          <cell r="A1209">
            <v>44186</v>
          </cell>
          <cell r="B1209">
            <v>102.94</v>
          </cell>
        </row>
        <row r="1210">
          <cell r="A1210">
            <v>44183</v>
          </cell>
          <cell r="B1210">
            <v>103.28</v>
          </cell>
        </row>
        <row r="1211">
          <cell r="A1211">
            <v>44182</v>
          </cell>
          <cell r="B1211">
            <v>103.21</v>
          </cell>
        </row>
        <row r="1212">
          <cell r="A1212">
            <v>44181</v>
          </cell>
          <cell r="B1212">
            <v>103.27</v>
          </cell>
        </row>
        <row r="1213">
          <cell r="A1213">
            <v>44180</v>
          </cell>
          <cell r="B1213">
            <v>104.18</v>
          </cell>
        </row>
        <row r="1214">
          <cell r="A1214">
            <v>44179</v>
          </cell>
          <cell r="B1214">
            <v>103.32</v>
          </cell>
        </row>
        <row r="1215">
          <cell r="A1215">
            <v>44176</v>
          </cell>
          <cell r="B1215">
            <v>103</v>
          </cell>
        </row>
        <row r="1216">
          <cell r="A1216">
            <v>44175</v>
          </cell>
          <cell r="B1216">
            <v>105.39</v>
          </cell>
        </row>
        <row r="1217">
          <cell r="A1217">
            <v>44174</v>
          </cell>
          <cell r="B1217">
            <v>100.4</v>
          </cell>
        </row>
        <row r="1218">
          <cell r="A1218">
            <v>44173</v>
          </cell>
          <cell r="B1218">
            <v>101.21</v>
          </cell>
        </row>
        <row r="1219">
          <cell r="A1219">
            <v>44172</v>
          </cell>
          <cell r="B1219">
            <v>101.41</v>
          </cell>
        </row>
        <row r="1220">
          <cell r="A1220">
            <v>44169</v>
          </cell>
          <cell r="B1220">
            <v>102.28</v>
          </cell>
        </row>
        <row r="1221">
          <cell r="A1221">
            <v>44168</v>
          </cell>
          <cell r="B1221">
            <v>100.11</v>
          </cell>
        </row>
        <row r="1222">
          <cell r="A1222">
            <v>44167</v>
          </cell>
          <cell r="B1222">
            <v>98.91</v>
          </cell>
        </row>
        <row r="1223">
          <cell r="A1223">
            <v>44166</v>
          </cell>
          <cell r="B1223">
            <v>98.82</v>
          </cell>
        </row>
        <row r="1224">
          <cell r="A1224">
            <v>44165</v>
          </cell>
          <cell r="B1224">
            <v>98.02</v>
          </cell>
        </row>
        <row r="1225">
          <cell r="A1225">
            <v>44162</v>
          </cell>
          <cell r="B1225">
            <v>98.66</v>
          </cell>
        </row>
        <row r="1226">
          <cell r="A1226">
            <v>44160</v>
          </cell>
          <cell r="B1226">
            <v>98.2</v>
          </cell>
        </row>
        <row r="1227">
          <cell r="A1227">
            <v>44159</v>
          </cell>
          <cell r="B1227">
            <v>98.3</v>
          </cell>
        </row>
        <row r="1228">
          <cell r="A1228">
            <v>44158</v>
          </cell>
          <cell r="B1228">
            <v>96.88</v>
          </cell>
        </row>
        <row r="1229">
          <cell r="A1229">
            <v>44155</v>
          </cell>
          <cell r="B1229">
            <v>97.01</v>
          </cell>
        </row>
        <row r="1230">
          <cell r="A1230">
            <v>44154</v>
          </cell>
          <cell r="B1230">
            <v>97.76</v>
          </cell>
        </row>
        <row r="1231">
          <cell r="A1231">
            <v>44153</v>
          </cell>
          <cell r="B1231">
            <v>97.91</v>
          </cell>
        </row>
        <row r="1232">
          <cell r="A1232">
            <v>44152</v>
          </cell>
          <cell r="B1232">
            <v>98.6</v>
          </cell>
        </row>
        <row r="1233">
          <cell r="A1233">
            <v>44151</v>
          </cell>
          <cell r="B1233">
            <v>97.78</v>
          </cell>
        </row>
        <row r="1234">
          <cell r="A1234">
            <v>44148</v>
          </cell>
          <cell r="B1234">
            <v>95.56</v>
          </cell>
        </row>
        <row r="1235">
          <cell r="A1235">
            <v>44147</v>
          </cell>
          <cell r="B1235">
            <v>93.53</v>
          </cell>
        </row>
        <row r="1236">
          <cell r="A1236">
            <v>44146</v>
          </cell>
          <cell r="B1236">
            <v>95.04</v>
          </cell>
        </row>
        <row r="1237">
          <cell r="A1237">
            <v>44145</v>
          </cell>
          <cell r="B1237">
            <v>93.92</v>
          </cell>
        </row>
        <row r="1238">
          <cell r="A1238">
            <v>44144</v>
          </cell>
          <cell r="B1238">
            <v>95.88</v>
          </cell>
        </row>
        <row r="1239">
          <cell r="A1239">
            <v>44141</v>
          </cell>
          <cell r="B1239">
            <v>90.65</v>
          </cell>
        </row>
        <row r="1240">
          <cell r="A1240">
            <v>44140</v>
          </cell>
          <cell r="B1240">
            <v>90.62</v>
          </cell>
        </row>
        <row r="1241">
          <cell r="A1241">
            <v>44139</v>
          </cell>
          <cell r="B1241">
            <v>89.79</v>
          </cell>
        </row>
        <row r="1242">
          <cell r="A1242">
            <v>44138</v>
          </cell>
          <cell r="B1242">
            <v>88.39</v>
          </cell>
        </row>
        <row r="1243">
          <cell r="A1243">
            <v>44137</v>
          </cell>
          <cell r="B1243">
            <v>85.97</v>
          </cell>
        </row>
        <row r="1244">
          <cell r="A1244">
            <v>44134</v>
          </cell>
          <cell r="B1244">
            <v>86.96</v>
          </cell>
        </row>
        <row r="1245">
          <cell r="A1245">
            <v>44133</v>
          </cell>
          <cell r="B1245">
            <v>88.3</v>
          </cell>
        </row>
        <row r="1246">
          <cell r="A1246">
            <v>44132</v>
          </cell>
          <cell r="B1246">
            <v>87.17</v>
          </cell>
        </row>
        <row r="1247">
          <cell r="A1247">
            <v>44131</v>
          </cell>
          <cell r="B1247">
            <v>90.05</v>
          </cell>
        </row>
        <row r="1248">
          <cell r="A1248">
            <v>44130</v>
          </cell>
          <cell r="B1248">
            <v>89.66</v>
          </cell>
        </row>
        <row r="1249">
          <cell r="A1249">
            <v>44127</v>
          </cell>
          <cell r="B1249">
            <v>90.8</v>
          </cell>
        </row>
        <row r="1250">
          <cell r="A1250">
            <v>44126</v>
          </cell>
          <cell r="B1250">
            <v>89.36</v>
          </cell>
        </row>
        <row r="1251">
          <cell r="A1251">
            <v>44125</v>
          </cell>
          <cell r="B1251">
            <v>88.27</v>
          </cell>
        </row>
        <row r="1252">
          <cell r="A1252">
            <v>44124</v>
          </cell>
          <cell r="B1252">
            <v>88.51</v>
          </cell>
        </row>
        <row r="1253">
          <cell r="A1253">
            <v>44123</v>
          </cell>
          <cell r="B1253">
            <v>87.6</v>
          </cell>
        </row>
        <row r="1254">
          <cell r="A1254">
            <v>44120</v>
          </cell>
          <cell r="B1254">
            <v>88.52</v>
          </cell>
        </row>
        <row r="1255">
          <cell r="A1255">
            <v>44119</v>
          </cell>
          <cell r="B1255">
            <v>88.83</v>
          </cell>
        </row>
        <row r="1256">
          <cell r="A1256">
            <v>44118</v>
          </cell>
          <cell r="B1256">
            <v>89.31</v>
          </cell>
        </row>
        <row r="1257">
          <cell r="A1257">
            <v>44117</v>
          </cell>
          <cell r="B1257">
            <v>90.16</v>
          </cell>
        </row>
        <row r="1258">
          <cell r="A1258">
            <v>44116</v>
          </cell>
          <cell r="B1258">
            <v>90.78</v>
          </cell>
        </row>
        <row r="1259">
          <cell r="A1259">
            <v>44113</v>
          </cell>
          <cell r="B1259">
            <v>90.01</v>
          </cell>
        </row>
        <row r="1260">
          <cell r="A1260">
            <v>44112</v>
          </cell>
          <cell r="B1260">
            <v>89.53</v>
          </cell>
        </row>
        <row r="1261">
          <cell r="A1261">
            <v>44111</v>
          </cell>
          <cell r="B1261">
            <v>88.45</v>
          </cell>
        </row>
        <row r="1262">
          <cell r="A1262">
            <v>44110</v>
          </cell>
          <cell r="B1262">
            <v>87.01</v>
          </cell>
        </row>
        <row r="1263">
          <cell r="A1263">
            <v>44109</v>
          </cell>
          <cell r="B1263">
            <v>88.47</v>
          </cell>
        </row>
        <row r="1264">
          <cell r="A1264">
            <v>44106</v>
          </cell>
          <cell r="B1264">
            <v>86.57</v>
          </cell>
        </row>
        <row r="1265">
          <cell r="A1265">
            <v>44105</v>
          </cell>
          <cell r="B1265">
            <v>86.74</v>
          </cell>
        </row>
        <row r="1266">
          <cell r="A1266">
            <v>44104</v>
          </cell>
          <cell r="B1266">
            <v>85.92</v>
          </cell>
        </row>
        <row r="1267">
          <cell r="A1267">
            <v>44103</v>
          </cell>
          <cell r="B1267">
            <v>84.8</v>
          </cell>
        </row>
        <row r="1268">
          <cell r="A1268">
            <v>44102</v>
          </cell>
          <cell r="B1268">
            <v>86.07</v>
          </cell>
        </row>
        <row r="1269">
          <cell r="A1269">
            <v>44099</v>
          </cell>
          <cell r="B1269">
            <v>84.3</v>
          </cell>
        </row>
        <row r="1270">
          <cell r="A1270">
            <v>44098</v>
          </cell>
          <cell r="B1270">
            <v>83.04</v>
          </cell>
        </row>
        <row r="1271">
          <cell r="A1271">
            <v>44097</v>
          </cell>
          <cell r="B1271">
            <v>82.99</v>
          </cell>
        </row>
        <row r="1272">
          <cell r="A1272">
            <v>44096</v>
          </cell>
          <cell r="B1272">
            <v>83.95</v>
          </cell>
        </row>
        <row r="1273">
          <cell r="A1273">
            <v>44095</v>
          </cell>
          <cell r="B1273">
            <v>83.89</v>
          </cell>
        </row>
        <row r="1274">
          <cell r="A1274">
            <v>44092</v>
          </cell>
          <cell r="B1274">
            <v>84.95</v>
          </cell>
        </row>
        <row r="1275">
          <cell r="A1275">
            <v>44091</v>
          </cell>
          <cell r="B1275">
            <v>86.75</v>
          </cell>
        </row>
        <row r="1276">
          <cell r="A1276">
            <v>44090</v>
          </cell>
          <cell r="B1276">
            <v>88.38</v>
          </cell>
        </row>
        <row r="1277">
          <cell r="A1277">
            <v>44089</v>
          </cell>
          <cell r="B1277">
            <v>87.71</v>
          </cell>
        </row>
        <row r="1278">
          <cell r="A1278">
            <v>44088</v>
          </cell>
          <cell r="B1278">
            <v>86.63</v>
          </cell>
        </row>
        <row r="1279">
          <cell r="A1279">
            <v>44085</v>
          </cell>
          <cell r="B1279">
            <v>85.27</v>
          </cell>
        </row>
        <row r="1280">
          <cell r="A1280">
            <v>44084</v>
          </cell>
          <cell r="B1280">
            <v>84.88</v>
          </cell>
        </row>
        <row r="1281">
          <cell r="A1281">
            <v>44083</v>
          </cell>
          <cell r="B1281">
            <v>85.86</v>
          </cell>
        </row>
        <row r="1282">
          <cell r="A1282">
            <v>44082</v>
          </cell>
          <cell r="B1282">
            <v>85.41</v>
          </cell>
        </row>
        <row r="1283">
          <cell r="A1283">
            <v>44078</v>
          </cell>
          <cell r="B1283">
            <v>86.27</v>
          </cell>
        </row>
        <row r="1284">
          <cell r="A1284">
            <v>44077</v>
          </cell>
          <cell r="B1284">
            <v>86.48</v>
          </cell>
        </row>
        <row r="1285">
          <cell r="A1285">
            <v>44076</v>
          </cell>
          <cell r="B1285">
            <v>88.35</v>
          </cell>
        </row>
        <row r="1286">
          <cell r="A1286">
            <v>44075</v>
          </cell>
          <cell r="B1286">
            <v>86.05</v>
          </cell>
        </row>
        <row r="1287">
          <cell r="A1287">
            <v>44074</v>
          </cell>
          <cell r="B1287">
            <v>84.47</v>
          </cell>
        </row>
        <row r="1288">
          <cell r="A1288">
            <v>44071</v>
          </cell>
          <cell r="B1288">
            <v>85</v>
          </cell>
        </row>
        <row r="1289">
          <cell r="A1289">
            <v>44070</v>
          </cell>
          <cell r="B1289">
            <v>83.41</v>
          </cell>
        </row>
        <row r="1290">
          <cell r="A1290">
            <v>44069</v>
          </cell>
          <cell r="B1290">
            <v>82.41</v>
          </cell>
        </row>
        <row r="1291">
          <cell r="A1291">
            <v>44068</v>
          </cell>
          <cell r="B1291">
            <v>82.72</v>
          </cell>
        </row>
        <row r="1292">
          <cell r="A1292">
            <v>44067</v>
          </cell>
          <cell r="B1292">
            <v>78.680000000000007</v>
          </cell>
        </row>
        <row r="1293">
          <cell r="A1293">
            <v>44064</v>
          </cell>
          <cell r="B1293">
            <v>77.069999999999993</v>
          </cell>
        </row>
        <row r="1294">
          <cell r="A1294">
            <v>44063</v>
          </cell>
          <cell r="B1294">
            <v>77.22</v>
          </cell>
        </row>
        <row r="1295">
          <cell r="A1295">
            <v>44062</v>
          </cell>
          <cell r="B1295">
            <v>77.63</v>
          </cell>
        </row>
        <row r="1296">
          <cell r="A1296">
            <v>44061</v>
          </cell>
          <cell r="B1296">
            <v>78.989999999999995</v>
          </cell>
        </row>
        <row r="1297">
          <cell r="A1297">
            <v>44060</v>
          </cell>
          <cell r="B1297">
            <v>78.95</v>
          </cell>
        </row>
        <row r="1298">
          <cell r="A1298">
            <v>44057</v>
          </cell>
          <cell r="B1298">
            <v>78.37</v>
          </cell>
        </row>
        <row r="1299">
          <cell r="A1299">
            <v>44056</v>
          </cell>
          <cell r="B1299">
            <v>79.02</v>
          </cell>
        </row>
        <row r="1300">
          <cell r="A1300">
            <v>44055</v>
          </cell>
          <cell r="B1300">
            <v>79.290000000000006</v>
          </cell>
        </row>
        <row r="1301">
          <cell r="A1301">
            <v>44054</v>
          </cell>
          <cell r="B1301">
            <v>78.87</v>
          </cell>
        </row>
        <row r="1302">
          <cell r="A1302">
            <v>44053</v>
          </cell>
          <cell r="B1302">
            <v>77.47</v>
          </cell>
        </row>
        <row r="1303">
          <cell r="A1303">
            <v>44050</v>
          </cell>
          <cell r="B1303">
            <v>75.790000000000006</v>
          </cell>
        </row>
        <row r="1304">
          <cell r="A1304">
            <v>44049</v>
          </cell>
          <cell r="B1304">
            <v>75.66</v>
          </cell>
        </row>
        <row r="1305">
          <cell r="A1305">
            <v>44048</v>
          </cell>
          <cell r="B1305">
            <v>75.78</v>
          </cell>
        </row>
        <row r="1306">
          <cell r="A1306">
            <v>44047</v>
          </cell>
          <cell r="B1306">
            <v>75.13</v>
          </cell>
        </row>
        <row r="1307">
          <cell r="A1307">
            <v>44046</v>
          </cell>
          <cell r="B1307">
            <v>75.5</v>
          </cell>
        </row>
        <row r="1308">
          <cell r="A1308">
            <v>44043</v>
          </cell>
          <cell r="B1308">
            <v>76.53</v>
          </cell>
        </row>
        <row r="1309">
          <cell r="A1309">
            <v>44042</v>
          </cell>
          <cell r="B1309">
            <v>76.64</v>
          </cell>
        </row>
        <row r="1310">
          <cell r="A1310">
            <v>44041</v>
          </cell>
          <cell r="B1310">
            <v>77.42</v>
          </cell>
        </row>
        <row r="1311">
          <cell r="A1311">
            <v>44040</v>
          </cell>
          <cell r="B1311">
            <v>74.64</v>
          </cell>
        </row>
        <row r="1312">
          <cell r="A1312">
            <v>44039</v>
          </cell>
          <cell r="B1312">
            <v>76.459999999999994</v>
          </cell>
        </row>
        <row r="1313">
          <cell r="A1313">
            <v>44036</v>
          </cell>
          <cell r="B1313">
            <v>75.78</v>
          </cell>
        </row>
        <row r="1314">
          <cell r="A1314">
            <v>44035</v>
          </cell>
          <cell r="B1314">
            <v>75.36</v>
          </cell>
        </row>
        <row r="1315">
          <cell r="A1315">
            <v>44034</v>
          </cell>
          <cell r="B1315">
            <v>77.239999999999995</v>
          </cell>
        </row>
        <row r="1316">
          <cell r="A1316">
            <v>44033</v>
          </cell>
          <cell r="B1316">
            <v>75.44</v>
          </cell>
        </row>
        <row r="1317">
          <cell r="A1317">
            <v>44032</v>
          </cell>
          <cell r="B1317">
            <v>74.959999999999994</v>
          </cell>
        </row>
        <row r="1318">
          <cell r="A1318">
            <v>44029</v>
          </cell>
          <cell r="B1318">
            <v>74.16</v>
          </cell>
        </row>
        <row r="1319">
          <cell r="A1319">
            <v>44028</v>
          </cell>
          <cell r="B1319">
            <v>74.39</v>
          </cell>
        </row>
        <row r="1320">
          <cell r="A1320">
            <v>44027</v>
          </cell>
          <cell r="B1320">
            <v>75.61</v>
          </cell>
        </row>
        <row r="1321">
          <cell r="A1321">
            <v>44026</v>
          </cell>
          <cell r="B1321">
            <v>72.73</v>
          </cell>
        </row>
        <row r="1322">
          <cell r="A1322">
            <v>44025</v>
          </cell>
          <cell r="B1322">
            <v>72.650000000000006</v>
          </cell>
        </row>
        <row r="1323">
          <cell r="A1323">
            <v>44022</v>
          </cell>
          <cell r="B1323">
            <v>74.290000000000006</v>
          </cell>
        </row>
        <row r="1324">
          <cell r="A1324">
            <v>44021</v>
          </cell>
          <cell r="B1324">
            <v>73.569999999999993</v>
          </cell>
        </row>
        <row r="1325">
          <cell r="A1325">
            <v>44020</v>
          </cell>
          <cell r="B1325">
            <v>74.14</v>
          </cell>
        </row>
        <row r="1326">
          <cell r="A1326">
            <v>44019</v>
          </cell>
          <cell r="B1326">
            <v>74.25</v>
          </cell>
        </row>
        <row r="1327">
          <cell r="A1327">
            <v>44018</v>
          </cell>
          <cell r="B1327">
            <v>75.44</v>
          </cell>
        </row>
        <row r="1328">
          <cell r="A1328">
            <v>44014</v>
          </cell>
          <cell r="B1328">
            <v>73.78</v>
          </cell>
        </row>
        <row r="1329">
          <cell r="A1329">
            <v>44013</v>
          </cell>
          <cell r="B1329">
            <v>74.03</v>
          </cell>
        </row>
        <row r="1330">
          <cell r="A1330">
            <v>44012</v>
          </cell>
          <cell r="B1330">
            <v>73.59</v>
          </cell>
        </row>
        <row r="1331">
          <cell r="A1331">
            <v>44011</v>
          </cell>
          <cell r="B1331">
            <v>73.48</v>
          </cell>
        </row>
        <row r="1332">
          <cell r="A1332">
            <v>44008</v>
          </cell>
          <cell r="B1332">
            <v>71.569999999999993</v>
          </cell>
        </row>
        <row r="1333">
          <cell r="A1333">
            <v>44007</v>
          </cell>
          <cell r="B1333">
            <v>73.849999999999994</v>
          </cell>
        </row>
        <row r="1334">
          <cell r="A1334">
            <v>44006</v>
          </cell>
          <cell r="B1334">
            <v>73.64</v>
          </cell>
        </row>
        <row r="1335">
          <cell r="A1335">
            <v>44005</v>
          </cell>
          <cell r="B1335">
            <v>75.489999999999995</v>
          </cell>
        </row>
        <row r="1336">
          <cell r="A1336">
            <v>44004</v>
          </cell>
          <cell r="B1336">
            <v>75.400000000000006</v>
          </cell>
        </row>
        <row r="1337">
          <cell r="A1337">
            <v>44001</v>
          </cell>
          <cell r="B1337">
            <v>75.400000000000006</v>
          </cell>
        </row>
        <row r="1338">
          <cell r="A1338">
            <v>44000</v>
          </cell>
          <cell r="B1338">
            <v>76.31</v>
          </cell>
        </row>
        <row r="1339">
          <cell r="A1339">
            <v>43999</v>
          </cell>
          <cell r="B1339">
            <v>77.099999999999994</v>
          </cell>
        </row>
        <row r="1340">
          <cell r="A1340">
            <v>43998</v>
          </cell>
          <cell r="B1340">
            <v>77.84</v>
          </cell>
        </row>
        <row r="1341">
          <cell r="A1341">
            <v>43997</v>
          </cell>
          <cell r="B1341">
            <v>76.959999999999994</v>
          </cell>
        </row>
        <row r="1342">
          <cell r="A1342">
            <v>43994</v>
          </cell>
          <cell r="B1342">
            <v>76.38</v>
          </cell>
        </row>
        <row r="1343">
          <cell r="A1343">
            <v>43993</v>
          </cell>
          <cell r="B1343">
            <v>72.569999999999993</v>
          </cell>
        </row>
        <row r="1344">
          <cell r="A1344">
            <v>43992</v>
          </cell>
          <cell r="B1344">
            <v>79.010000000000005</v>
          </cell>
        </row>
        <row r="1345">
          <cell r="A1345">
            <v>43991</v>
          </cell>
          <cell r="B1345">
            <v>82.37</v>
          </cell>
        </row>
        <row r="1346">
          <cell r="A1346">
            <v>43990</v>
          </cell>
          <cell r="B1346">
            <v>83.56</v>
          </cell>
        </row>
        <row r="1347">
          <cell r="A1347">
            <v>43987</v>
          </cell>
          <cell r="B1347">
            <v>82.14</v>
          </cell>
        </row>
        <row r="1348">
          <cell r="A1348">
            <v>43986</v>
          </cell>
          <cell r="B1348">
            <v>78.739999999999995</v>
          </cell>
        </row>
        <row r="1349">
          <cell r="A1349">
            <v>43985</v>
          </cell>
          <cell r="B1349">
            <v>79.58</v>
          </cell>
        </row>
        <row r="1350">
          <cell r="A1350">
            <v>43984</v>
          </cell>
          <cell r="B1350">
            <v>77.78</v>
          </cell>
        </row>
        <row r="1351">
          <cell r="A1351">
            <v>43983</v>
          </cell>
          <cell r="B1351">
            <v>78.319999999999993</v>
          </cell>
        </row>
        <row r="1352">
          <cell r="A1352">
            <v>43980</v>
          </cell>
          <cell r="B1352">
            <v>77.989999999999995</v>
          </cell>
        </row>
        <row r="1353">
          <cell r="A1353">
            <v>43979</v>
          </cell>
          <cell r="B1353">
            <v>78.540000000000006</v>
          </cell>
        </row>
        <row r="1354">
          <cell r="A1354">
            <v>43978</v>
          </cell>
          <cell r="B1354">
            <v>78.599999999999994</v>
          </cell>
        </row>
        <row r="1355">
          <cell r="A1355">
            <v>43977</v>
          </cell>
          <cell r="B1355">
            <v>77.760000000000005</v>
          </cell>
        </row>
        <row r="1356">
          <cell r="A1356">
            <v>43973</v>
          </cell>
          <cell r="B1356">
            <v>77.62</v>
          </cell>
        </row>
        <row r="1357">
          <cell r="A1357">
            <v>43972</v>
          </cell>
          <cell r="B1357">
            <v>78.05</v>
          </cell>
        </row>
        <row r="1358">
          <cell r="A1358">
            <v>43971</v>
          </cell>
          <cell r="B1358">
            <v>77.760000000000005</v>
          </cell>
        </row>
        <row r="1359">
          <cell r="A1359">
            <v>43970</v>
          </cell>
          <cell r="B1359">
            <v>75.86</v>
          </cell>
        </row>
        <row r="1360">
          <cell r="A1360">
            <v>43969</v>
          </cell>
          <cell r="B1360">
            <v>76.23</v>
          </cell>
        </row>
        <row r="1361">
          <cell r="A1361">
            <v>43966</v>
          </cell>
          <cell r="B1361">
            <v>74.16</v>
          </cell>
        </row>
        <row r="1362">
          <cell r="A1362">
            <v>43965</v>
          </cell>
          <cell r="B1362">
            <v>74.19</v>
          </cell>
        </row>
        <row r="1363">
          <cell r="A1363">
            <v>43964</v>
          </cell>
          <cell r="B1363">
            <v>73.62</v>
          </cell>
        </row>
        <row r="1364">
          <cell r="A1364">
            <v>43963</v>
          </cell>
          <cell r="B1364">
            <v>74.349999999999994</v>
          </cell>
        </row>
        <row r="1365">
          <cell r="A1365">
            <v>43962</v>
          </cell>
          <cell r="B1365">
            <v>75.87</v>
          </cell>
        </row>
        <row r="1366">
          <cell r="A1366">
            <v>43959</v>
          </cell>
          <cell r="B1366">
            <v>77.87</v>
          </cell>
        </row>
        <row r="1367">
          <cell r="A1367">
            <v>43958</v>
          </cell>
          <cell r="B1367">
            <v>76</v>
          </cell>
        </row>
        <row r="1368">
          <cell r="A1368">
            <v>43957</v>
          </cell>
          <cell r="B1368">
            <v>72.959999999999994</v>
          </cell>
        </row>
        <row r="1369">
          <cell r="A1369">
            <v>43956</v>
          </cell>
          <cell r="B1369">
            <v>72.900000000000006</v>
          </cell>
        </row>
        <row r="1370">
          <cell r="A1370">
            <v>43955</v>
          </cell>
          <cell r="B1370">
            <v>71.89</v>
          </cell>
        </row>
        <row r="1371">
          <cell r="A1371">
            <v>43952</v>
          </cell>
          <cell r="B1371">
            <v>73.790000000000006</v>
          </cell>
        </row>
        <row r="1372">
          <cell r="A1372">
            <v>43951</v>
          </cell>
          <cell r="B1372">
            <v>76.73</v>
          </cell>
        </row>
        <row r="1373">
          <cell r="A1373">
            <v>43950</v>
          </cell>
          <cell r="B1373">
            <v>76.86</v>
          </cell>
        </row>
        <row r="1374">
          <cell r="A1374">
            <v>43949</v>
          </cell>
          <cell r="B1374">
            <v>78.69</v>
          </cell>
        </row>
        <row r="1375">
          <cell r="A1375">
            <v>43948</v>
          </cell>
          <cell r="B1375">
            <v>77.739999999999995</v>
          </cell>
        </row>
        <row r="1376">
          <cell r="A1376">
            <v>43945</v>
          </cell>
          <cell r="B1376">
            <v>75.58</v>
          </cell>
        </row>
        <row r="1377">
          <cell r="A1377">
            <v>43944</v>
          </cell>
          <cell r="B1377">
            <v>75.150000000000006</v>
          </cell>
        </row>
        <row r="1378">
          <cell r="A1378">
            <v>43943</v>
          </cell>
          <cell r="B1378">
            <v>77.45</v>
          </cell>
        </row>
        <row r="1379">
          <cell r="A1379">
            <v>43942</v>
          </cell>
          <cell r="B1379">
            <v>72.72</v>
          </cell>
        </row>
        <row r="1380">
          <cell r="A1380">
            <v>43941</v>
          </cell>
          <cell r="B1380">
            <v>75.319999999999993</v>
          </cell>
        </row>
        <row r="1381">
          <cell r="A1381">
            <v>43938</v>
          </cell>
          <cell r="B1381">
            <v>77.099999999999994</v>
          </cell>
        </row>
        <row r="1382">
          <cell r="A1382">
            <v>43937</v>
          </cell>
          <cell r="B1382">
            <v>73.510000000000005</v>
          </cell>
        </row>
        <row r="1383">
          <cell r="A1383">
            <v>43936</v>
          </cell>
          <cell r="B1383">
            <v>72.55</v>
          </cell>
        </row>
        <row r="1384">
          <cell r="A1384">
            <v>43935</v>
          </cell>
          <cell r="B1384">
            <v>73.67</v>
          </cell>
        </row>
        <row r="1385">
          <cell r="A1385">
            <v>43934</v>
          </cell>
          <cell r="B1385">
            <v>71.760000000000005</v>
          </cell>
        </row>
        <row r="1386">
          <cell r="A1386">
            <v>43930</v>
          </cell>
          <cell r="B1386">
            <v>73.88</v>
          </cell>
        </row>
        <row r="1387">
          <cell r="A1387">
            <v>43929</v>
          </cell>
          <cell r="B1387">
            <v>71.569999999999993</v>
          </cell>
        </row>
        <row r="1388">
          <cell r="A1388">
            <v>43928</v>
          </cell>
          <cell r="B1388">
            <v>68.709999999999994</v>
          </cell>
        </row>
        <row r="1389">
          <cell r="A1389">
            <v>43927</v>
          </cell>
          <cell r="B1389">
            <v>67.790000000000006</v>
          </cell>
        </row>
        <row r="1390">
          <cell r="A1390">
            <v>43924</v>
          </cell>
          <cell r="B1390">
            <v>63.05</v>
          </cell>
        </row>
        <row r="1391">
          <cell r="A1391">
            <v>43923</v>
          </cell>
          <cell r="B1391">
            <v>65</v>
          </cell>
        </row>
        <row r="1392">
          <cell r="A1392">
            <v>43922</v>
          </cell>
          <cell r="B1392">
            <v>62.62</v>
          </cell>
        </row>
        <row r="1393">
          <cell r="A1393">
            <v>43921</v>
          </cell>
          <cell r="B1393">
            <v>65.739999999999995</v>
          </cell>
        </row>
        <row r="1394">
          <cell r="A1394">
            <v>43920</v>
          </cell>
          <cell r="B1394">
            <v>67.86</v>
          </cell>
        </row>
        <row r="1395">
          <cell r="A1395">
            <v>43917</v>
          </cell>
          <cell r="B1395">
            <v>66.34</v>
          </cell>
        </row>
        <row r="1396">
          <cell r="A1396">
            <v>43916</v>
          </cell>
          <cell r="B1396">
            <v>69.900000000000006</v>
          </cell>
        </row>
        <row r="1397">
          <cell r="A1397">
            <v>43915</v>
          </cell>
          <cell r="B1397">
            <v>65.81</v>
          </cell>
        </row>
        <row r="1398">
          <cell r="A1398">
            <v>43914</v>
          </cell>
          <cell r="B1398">
            <v>64.88</v>
          </cell>
        </row>
        <row r="1399">
          <cell r="A1399">
            <v>43913</v>
          </cell>
          <cell r="B1399">
            <v>56.55</v>
          </cell>
        </row>
        <row r="1400">
          <cell r="A1400">
            <v>43910</v>
          </cell>
          <cell r="B1400">
            <v>58.03</v>
          </cell>
        </row>
        <row r="1401">
          <cell r="A1401">
            <v>43909</v>
          </cell>
          <cell r="B1401">
            <v>61.41</v>
          </cell>
        </row>
        <row r="1402">
          <cell r="A1402">
            <v>43908</v>
          </cell>
          <cell r="B1402">
            <v>56.33</v>
          </cell>
        </row>
        <row r="1403">
          <cell r="A1403">
            <v>43907</v>
          </cell>
          <cell r="B1403">
            <v>58.98</v>
          </cell>
        </row>
        <row r="1404">
          <cell r="A1404">
            <v>43906</v>
          </cell>
          <cell r="B1404">
            <v>58.59</v>
          </cell>
        </row>
        <row r="1405">
          <cell r="A1405">
            <v>43903</v>
          </cell>
          <cell r="B1405">
            <v>69.92</v>
          </cell>
        </row>
        <row r="1406">
          <cell r="A1406">
            <v>43902</v>
          </cell>
          <cell r="B1406">
            <v>62.1</v>
          </cell>
        </row>
        <row r="1407">
          <cell r="A1407">
            <v>43901</v>
          </cell>
          <cell r="B1407">
            <v>68.3</v>
          </cell>
        </row>
        <row r="1408">
          <cell r="A1408">
            <v>43900</v>
          </cell>
          <cell r="B1408">
            <v>74.87</v>
          </cell>
        </row>
        <row r="1409">
          <cell r="A1409">
            <v>43899</v>
          </cell>
          <cell r="B1409">
            <v>70.83</v>
          </cell>
        </row>
        <row r="1410">
          <cell r="A1410">
            <v>43896</v>
          </cell>
          <cell r="B1410">
            <v>75.34</v>
          </cell>
        </row>
        <row r="1411">
          <cell r="A1411">
            <v>43895</v>
          </cell>
          <cell r="B1411">
            <v>76.19</v>
          </cell>
        </row>
        <row r="1412">
          <cell r="A1412">
            <v>43894</v>
          </cell>
          <cell r="B1412">
            <v>79.67</v>
          </cell>
        </row>
        <row r="1413">
          <cell r="A1413">
            <v>43893</v>
          </cell>
          <cell r="B1413">
            <v>78.599999999999994</v>
          </cell>
        </row>
        <row r="1414">
          <cell r="A1414">
            <v>43892</v>
          </cell>
          <cell r="B1414">
            <v>82.38</v>
          </cell>
        </row>
        <row r="1415">
          <cell r="A1415">
            <v>43889</v>
          </cell>
          <cell r="B1415">
            <v>78.430000000000007</v>
          </cell>
        </row>
        <row r="1416">
          <cell r="A1416">
            <v>43888</v>
          </cell>
          <cell r="B1416">
            <v>78.290000000000006</v>
          </cell>
        </row>
        <row r="1417">
          <cell r="A1417">
            <v>43887</v>
          </cell>
          <cell r="B1417">
            <v>80.67</v>
          </cell>
        </row>
        <row r="1418">
          <cell r="A1418">
            <v>43886</v>
          </cell>
          <cell r="B1418">
            <v>82.19</v>
          </cell>
        </row>
        <row r="1419">
          <cell r="A1419">
            <v>43885</v>
          </cell>
          <cell r="B1419">
            <v>84.52</v>
          </cell>
        </row>
        <row r="1420">
          <cell r="A1420">
            <v>43882</v>
          </cell>
          <cell r="B1420">
            <v>87.36</v>
          </cell>
        </row>
        <row r="1421">
          <cell r="A1421">
            <v>43881</v>
          </cell>
          <cell r="B1421">
            <v>88.6</v>
          </cell>
        </row>
        <row r="1422">
          <cell r="A1422">
            <v>43880</v>
          </cell>
          <cell r="B1422">
            <v>90.14</v>
          </cell>
        </row>
        <row r="1423">
          <cell r="A1423">
            <v>43879</v>
          </cell>
          <cell r="B1423">
            <v>89.23</v>
          </cell>
        </row>
        <row r="1424">
          <cell r="A1424">
            <v>43875</v>
          </cell>
          <cell r="B1424">
            <v>89.28</v>
          </cell>
        </row>
        <row r="1425">
          <cell r="A1425">
            <v>43874</v>
          </cell>
          <cell r="B1425">
            <v>89.924999999999997</v>
          </cell>
        </row>
        <row r="1426">
          <cell r="A1426">
            <v>43873</v>
          </cell>
          <cell r="B1426">
            <v>88.57</v>
          </cell>
        </row>
        <row r="1427">
          <cell r="A1427">
            <v>43872</v>
          </cell>
          <cell r="B1427">
            <v>87.51</v>
          </cell>
        </row>
        <row r="1428">
          <cell r="A1428">
            <v>43871</v>
          </cell>
          <cell r="B1428">
            <v>87.53</v>
          </cell>
        </row>
        <row r="1429">
          <cell r="A1429">
            <v>43868</v>
          </cell>
          <cell r="B1429">
            <v>86.42</v>
          </cell>
        </row>
        <row r="1430">
          <cell r="A1430">
            <v>43867</v>
          </cell>
          <cell r="B1430">
            <v>86.15</v>
          </cell>
        </row>
        <row r="1431">
          <cell r="A1431">
            <v>43866</v>
          </cell>
          <cell r="B1431">
            <v>87.56</v>
          </cell>
        </row>
        <row r="1432">
          <cell r="A1432">
            <v>43865</v>
          </cell>
          <cell r="B1432">
            <v>88.38</v>
          </cell>
        </row>
        <row r="1433">
          <cell r="A1433">
            <v>43864</v>
          </cell>
          <cell r="B1433">
            <v>86.01</v>
          </cell>
        </row>
        <row r="1434">
          <cell r="A1434">
            <v>43861</v>
          </cell>
          <cell r="B1434">
            <v>84.83</v>
          </cell>
        </row>
        <row r="1435">
          <cell r="A1435">
            <v>43860</v>
          </cell>
          <cell r="B1435">
            <v>85.84</v>
          </cell>
        </row>
        <row r="1436">
          <cell r="A1436">
            <v>43859</v>
          </cell>
          <cell r="B1436">
            <v>86.72</v>
          </cell>
        </row>
        <row r="1437">
          <cell r="A1437">
            <v>43858</v>
          </cell>
          <cell r="B1437">
            <v>88.6</v>
          </cell>
        </row>
        <row r="1438">
          <cell r="A1438">
            <v>43857</v>
          </cell>
          <cell r="B1438">
            <v>88.73</v>
          </cell>
        </row>
        <row r="1439">
          <cell r="A1439">
            <v>43854</v>
          </cell>
          <cell r="B1439">
            <v>92.03</v>
          </cell>
        </row>
        <row r="1440">
          <cell r="A1440">
            <v>43853</v>
          </cell>
          <cell r="B1440">
            <v>93.75</v>
          </cell>
        </row>
        <row r="1441">
          <cell r="A1441">
            <v>43852</v>
          </cell>
          <cell r="B1441">
            <v>92.53</v>
          </cell>
        </row>
        <row r="1442">
          <cell r="A1442">
            <v>43851</v>
          </cell>
          <cell r="B1442">
            <v>92.53</v>
          </cell>
        </row>
        <row r="1443">
          <cell r="A1443">
            <v>43847</v>
          </cell>
          <cell r="B1443">
            <v>93.62</v>
          </cell>
        </row>
        <row r="1444">
          <cell r="A1444">
            <v>43846</v>
          </cell>
          <cell r="B1444">
            <v>92.58</v>
          </cell>
        </row>
        <row r="1445">
          <cell r="A1445">
            <v>43845</v>
          </cell>
          <cell r="B1445">
            <v>91.54</v>
          </cell>
        </row>
        <row r="1446">
          <cell r="A1446">
            <v>43844</v>
          </cell>
          <cell r="B1446">
            <v>90.99</v>
          </cell>
        </row>
        <row r="1447">
          <cell r="A1447">
            <v>43843</v>
          </cell>
          <cell r="B1447">
            <v>91.08</v>
          </cell>
        </row>
        <row r="1448">
          <cell r="A1448">
            <v>43840</v>
          </cell>
          <cell r="B1448">
            <v>90.16</v>
          </cell>
        </row>
        <row r="1449">
          <cell r="A1449">
            <v>43839</v>
          </cell>
          <cell r="B1449">
            <v>90.53</v>
          </cell>
        </row>
        <row r="1450">
          <cell r="A1450">
            <v>43838</v>
          </cell>
          <cell r="B1450">
            <v>88.88</v>
          </cell>
        </row>
        <row r="1451">
          <cell r="A1451">
            <v>43837</v>
          </cell>
          <cell r="B1451">
            <v>87.86</v>
          </cell>
        </row>
        <row r="1452">
          <cell r="A1452">
            <v>43836</v>
          </cell>
          <cell r="B1452">
            <v>88.13</v>
          </cell>
        </row>
        <row r="1453">
          <cell r="A1453">
            <v>43833</v>
          </cell>
          <cell r="B1453">
            <v>88.83</v>
          </cell>
        </row>
        <row r="1454">
          <cell r="A1454">
            <v>43832</v>
          </cell>
          <cell r="B1454">
            <v>89.35</v>
          </cell>
        </row>
        <row r="1455">
          <cell r="A1455">
            <v>43830</v>
          </cell>
          <cell r="B1455">
            <v>87.92</v>
          </cell>
        </row>
        <row r="1456">
          <cell r="A1456">
            <v>43829</v>
          </cell>
          <cell r="B1456">
            <v>87.44</v>
          </cell>
        </row>
        <row r="1457">
          <cell r="A1457">
            <v>43826</v>
          </cell>
          <cell r="B1457">
            <v>88.13</v>
          </cell>
        </row>
        <row r="1458">
          <cell r="A1458">
            <v>43825</v>
          </cell>
          <cell r="B1458">
            <v>88.075000000000003</v>
          </cell>
        </row>
        <row r="1459">
          <cell r="A1459">
            <v>43823</v>
          </cell>
          <cell r="B1459">
            <v>88.52</v>
          </cell>
        </row>
        <row r="1460">
          <cell r="A1460">
            <v>43822</v>
          </cell>
          <cell r="B1460">
            <v>88.23</v>
          </cell>
        </row>
        <row r="1461">
          <cell r="A1461">
            <v>43819</v>
          </cell>
          <cell r="B1461">
            <v>88.46</v>
          </cell>
        </row>
        <row r="1462">
          <cell r="A1462">
            <v>43818</v>
          </cell>
          <cell r="B1462">
            <v>88.52</v>
          </cell>
        </row>
        <row r="1463">
          <cell r="A1463">
            <v>43817</v>
          </cell>
          <cell r="B1463">
            <v>87.99</v>
          </cell>
        </row>
        <row r="1464">
          <cell r="A1464">
            <v>43816</v>
          </cell>
          <cell r="B1464">
            <v>88.13</v>
          </cell>
        </row>
        <row r="1465">
          <cell r="A1465">
            <v>43815</v>
          </cell>
          <cell r="B1465">
            <v>88.78</v>
          </cell>
        </row>
        <row r="1466">
          <cell r="A1466">
            <v>43812</v>
          </cell>
          <cell r="B1466">
            <v>88.67</v>
          </cell>
        </row>
        <row r="1467">
          <cell r="A1467">
            <v>43811</v>
          </cell>
          <cell r="B1467">
            <v>88.21</v>
          </cell>
        </row>
        <row r="1468">
          <cell r="A1468">
            <v>43810</v>
          </cell>
          <cell r="B1468">
            <v>86.59</v>
          </cell>
        </row>
        <row r="1469">
          <cell r="A1469">
            <v>43809</v>
          </cell>
          <cell r="B1469">
            <v>86.04</v>
          </cell>
        </row>
        <row r="1470">
          <cell r="A1470">
            <v>43808</v>
          </cell>
          <cell r="B1470">
            <v>86.28</v>
          </cell>
        </row>
        <row r="1471">
          <cell r="A1471">
            <v>43805</v>
          </cell>
          <cell r="B1471">
            <v>86.32</v>
          </cell>
        </row>
        <row r="1472">
          <cell r="A1472">
            <v>43804</v>
          </cell>
          <cell r="B1472">
            <v>84.45</v>
          </cell>
        </row>
        <row r="1473">
          <cell r="A1473">
            <v>43803</v>
          </cell>
          <cell r="B1473">
            <v>85.4</v>
          </cell>
        </row>
        <row r="1474">
          <cell r="A1474">
            <v>43802</v>
          </cell>
          <cell r="B1474">
            <v>84.82</v>
          </cell>
        </row>
        <row r="1475">
          <cell r="A1475">
            <v>43801</v>
          </cell>
          <cell r="B1475">
            <v>84.57</v>
          </cell>
        </row>
        <row r="1476">
          <cell r="A1476">
            <v>43798</v>
          </cell>
          <cell r="B1476">
            <v>85.43</v>
          </cell>
        </row>
        <row r="1477">
          <cell r="A1477">
            <v>43796</v>
          </cell>
          <cell r="B1477">
            <v>85.77</v>
          </cell>
        </row>
        <row r="1478">
          <cell r="A1478">
            <v>43795</v>
          </cell>
          <cell r="B1478">
            <v>84.56</v>
          </cell>
        </row>
        <row r="1479">
          <cell r="A1479">
            <v>43794</v>
          </cell>
          <cell r="B1479">
            <v>83.75</v>
          </cell>
        </row>
        <row r="1480">
          <cell r="A1480">
            <v>43791</v>
          </cell>
          <cell r="B1480">
            <v>83.02</v>
          </cell>
        </row>
        <row r="1481">
          <cell r="A1481">
            <v>43790</v>
          </cell>
          <cell r="B1481">
            <v>82.3</v>
          </cell>
        </row>
        <row r="1482">
          <cell r="A1482">
            <v>43789</v>
          </cell>
          <cell r="B1482">
            <v>83.6</v>
          </cell>
        </row>
        <row r="1483">
          <cell r="A1483">
            <v>43788</v>
          </cell>
          <cell r="B1483">
            <v>83.66</v>
          </cell>
        </row>
        <row r="1484">
          <cell r="A1484">
            <v>43787</v>
          </cell>
          <cell r="B1484">
            <v>84.02</v>
          </cell>
        </row>
        <row r="1485">
          <cell r="A1485">
            <v>43784</v>
          </cell>
          <cell r="B1485">
            <v>84.21</v>
          </cell>
        </row>
        <row r="1486">
          <cell r="A1486">
            <v>43783</v>
          </cell>
          <cell r="B1486">
            <v>84.38</v>
          </cell>
        </row>
        <row r="1487">
          <cell r="A1487">
            <v>43782</v>
          </cell>
          <cell r="B1487">
            <v>83.94</v>
          </cell>
        </row>
        <row r="1488">
          <cell r="A1488">
            <v>43781</v>
          </cell>
          <cell r="B1488">
            <v>83.32</v>
          </cell>
        </row>
        <row r="1489">
          <cell r="A1489">
            <v>43780</v>
          </cell>
          <cell r="B1489">
            <v>82.43</v>
          </cell>
        </row>
        <row r="1490">
          <cell r="A1490">
            <v>43777</v>
          </cell>
          <cell r="B1490">
            <v>81.77</v>
          </cell>
        </row>
        <row r="1491">
          <cell r="A1491">
            <v>43776</v>
          </cell>
          <cell r="B1491">
            <v>81.95</v>
          </cell>
        </row>
        <row r="1492">
          <cell r="A1492">
            <v>43775</v>
          </cell>
          <cell r="B1492">
            <v>82.99</v>
          </cell>
        </row>
        <row r="1493">
          <cell r="A1493">
            <v>43774</v>
          </cell>
          <cell r="B1493">
            <v>81.89</v>
          </cell>
        </row>
        <row r="1494">
          <cell r="A1494">
            <v>43773</v>
          </cell>
          <cell r="B1494">
            <v>82.37</v>
          </cell>
        </row>
        <row r="1495">
          <cell r="A1495">
            <v>43770</v>
          </cell>
          <cell r="B1495">
            <v>83.21</v>
          </cell>
        </row>
        <row r="1496">
          <cell r="A1496">
            <v>43769</v>
          </cell>
          <cell r="B1496">
            <v>84.56</v>
          </cell>
        </row>
        <row r="1497">
          <cell r="A1497">
            <v>43768</v>
          </cell>
          <cell r="B1497">
            <v>84.19</v>
          </cell>
        </row>
        <row r="1498">
          <cell r="A1498">
            <v>43767</v>
          </cell>
          <cell r="B1498">
            <v>84.13</v>
          </cell>
        </row>
        <row r="1499">
          <cell r="A1499">
            <v>43766</v>
          </cell>
          <cell r="B1499">
            <v>83.6</v>
          </cell>
        </row>
        <row r="1500">
          <cell r="A1500">
            <v>43763</v>
          </cell>
          <cell r="B1500">
            <v>83.38</v>
          </cell>
        </row>
        <row r="1501">
          <cell r="A1501">
            <v>43762</v>
          </cell>
          <cell r="B1501">
            <v>83.18</v>
          </cell>
        </row>
        <row r="1502">
          <cell r="A1502">
            <v>43761</v>
          </cell>
          <cell r="B1502">
            <v>82.74</v>
          </cell>
        </row>
        <row r="1503">
          <cell r="A1503">
            <v>43760</v>
          </cell>
          <cell r="B1503">
            <v>83.46</v>
          </cell>
        </row>
        <row r="1504">
          <cell r="A1504">
            <v>43759</v>
          </cell>
          <cell r="B1504">
            <v>85.35</v>
          </cell>
        </row>
        <row r="1505">
          <cell r="A1505">
            <v>43756</v>
          </cell>
          <cell r="B1505">
            <v>86.03</v>
          </cell>
        </row>
        <row r="1506">
          <cell r="A1506">
            <v>43755</v>
          </cell>
          <cell r="B1506">
            <v>86.29</v>
          </cell>
        </row>
        <row r="1507">
          <cell r="A1507">
            <v>43754</v>
          </cell>
          <cell r="B1507">
            <v>86.71</v>
          </cell>
        </row>
        <row r="1508">
          <cell r="A1508">
            <v>43753</v>
          </cell>
          <cell r="B1508">
            <v>86.45</v>
          </cell>
        </row>
        <row r="1509">
          <cell r="A1509">
            <v>43752</v>
          </cell>
          <cell r="B1509">
            <v>86.62</v>
          </cell>
        </row>
        <row r="1510">
          <cell r="A1510">
            <v>43749</v>
          </cell>
          <cell r="B1510">
            <v>86.36</v>
          </cell>
        </row>
        <row r="1511">
          <cell r="A1511">
            <v>43748</v>
          </cell>
          <cell r="B1511">
            <v>85.96</v>
          </cell>
        </row>
        <row r="1512">
          <cell r="A1512">
            <v>43747</v>
          </cell>
          <cell r="B1512">
            <v>85.85</v>
          </cell>
        </row>
        <row r="1513">
          <cell r="A1513">
            <v>43746</v>
          </cell>
          <cell r="B1513">
            <v>84.91</v>
          </cell>
        </row>
        <row r="1514">
          <cell r="A1514">
            <v>43745</v>
          </cell>
          <cell r="B1514">
            <v>85.85</v>
          </cell>
        </row>
        <row r="1515">
          <cell r="A1515">
            <v>43742</v>
          </cell>
          <cell r="B1515">
            <v>85.92</v>
          </cell>
        </row>
        <row r="1516">
          <cell r="A1516">
            <v>43741</v>
          </cell>
          <cell r="B1516">
            <v>84.67</v>
          </cell>
        </row>
        <row r="1517">
          <cell r="A1517">
            <v>43740</v>
          </cell>
          <cell r="B1517">
            <v>84.32</v>
          </cell>
        </row>
        <row r="1518">
          <cell r="A1518">
            <v>43739</v>
          </cell>
          <cell r="B1518">
            <v>86.51</v>
          </cell>
        </row>
        <row r="1519">
          <cell r="A1519">
            <v>43738</v>
          </cell>
          <cell r="B1519">
            <v>88.42</v>
          </cell>
        </row>
        <row r="1520">
          <cell r="A1520">
            <v>43735</v>
          </cell>
          <cell r="B1520">
            <v>88.37</v>
          </cell>
        </row>
        <row r="1521">
          <cell r="A1521">
            <v>43734</v>
          </cell>
          <cell r="B1521">
            <v>89.8</v>
          </cell>
        </row>
        <row r="1522">
          <cell r="A1522">
            <v>43733</v>
          </cell>
          <cell r="B1522">
            <v>90.35</v>
          </cell>
        </row>
        <row r="1523">
          <cell r="A1523">
            <v>43732</v>
          </cell>
          <cell r="B1523">
            <v>89.92</v>
          </cell>
        </row>
        <row r="1524">
          <cell r="A1524">
            <v>43731</v>
          </cell>
          <cell r="B1524">
            <v>90.81</v>
          </cell>
        </row>
        <row r="1525">
          <cell r="A1525">
            <v>43728</v>
          </cell>
          <cell r="B1525">
            <v>90.07</v>
          </cell>
        </row>
        <row r="1526">
          <cell r="A1526">
            <v>43727</v>
          </cell>
          <cell r="B1526">
            <v>91.56</v>
          </cell>
        </row>
        <row r="1527">
          <cell r="A1527">
            <v>43726</v>
          </cell>
          <cell r="B1527">
            <v>90.96</v>
          </cell>
        </row>
        <row r="1528">
          <cell r="A1528">
            <v>43725</v>
          </cell>
          <cell r="B1528">
            <v>90.75</v>
          </cell>
        </row>
        <row r="1529">
          <cell r="A1529">
            <v>43724</v>
          </cell>
          <cell r="B1529">
            <v>89.42</v>
          </cell>
        </row>
        <row r="1530">
          <cell r="A1530">
            <v>43721</v>
          </cell>
          <cell r="B1530">
            <v>90.48</v>
          </cell>
        </row>
        <row r="1531">
          <cell r="A1531">
            <v>43720</v>
          </cell>
          <cell r="B1531">
            <v>92.06</v>
          </cell>
        </row>
        <row r="1532">
          <cell r="A1532">
            <v>43719</v>
          </cell>
          <cell r="B1532">
            <v>90.98</v>
          </cell>
        </row>
        <row r="1533">
          <cell r="A1533">
            <v>43718</v>
          </cell>
          <cell r="B1533">
            <v>90.35</v>
          </cell>
        </row>
        <row r="1534">
          <cell r="A1534">
            <v>43717</v>
          </cell>
          <cell r="B1534">
            <v>94.16</v>
          </cell>
        </row>
        <row r="1535">
          <cell r="A1535">
            <v>43714</v>
          </cell>
          <cell r="B1535">
            <v>95.74</v>
          </cell>
        </row>
        <row r="1536">
          <cell r="A1536">
            <v>43713</v>
          </cell>
          <cell r="B1536">
            <v>95.56</v>
          </cell>
        </row>
        <row r="1537">
          <cell r="A1537">
            <v>43712</v>
          </cell>
          <cell r="B1537">
            <v>96.11</v>
          </cell>
        </row>
        <row r="1538">
          <cell r="A1538">
            <v>43711</v>
          </cell>
          <cell r="B1538">
            <v>96.77</v>
          </cell>
        </row>
        <row r="1539">
          <cell r="A1539">
            <v>43707</v>
          </cell>
          <cell r="B1539">
            <v>96.56</v>
          </cell>
        </row>
        <row r="1540">
          <cell r="A1540">
            <v>43706</v>
          </cell>
          <cell r="B1540">
            <v>97.7</v>
          </cell>
        </row>
        <row r="1541">
          <cell r="A1541">
            <v>43705</v>
          </cell>
          <cell r="B1541">
            <v>97.07</v>
          </cell>
        </row>
        <row r="1542">
          <cell r="A1542">
            <v>43704</v>
          </cell>
          <cell r="B1542">
            <v>96.09</v>
          </cell>
        </row>
        <row r="1543">
          <cell r="A1543">
            <v>43703</v>
          </cell>
          <cell r="B1543">
            <v>96.5</v>
          </cell>
        </row>
        <row r="1544">
          <cell r="A1544">
            <v>43700</v>
          </cell>
          <cell r="B1544">
            <v>94.7</v>
          </cell>
        </row>
        <row r="1545">
          <cell r="A1545">
            <v>43699</v>
          </cell>
          <cell r="B1545">
            <v>96.49</v>
          </cell>
        </row>
        <row r="1546">
          <cell r="A1546">
            <v>43698</v>
          </cell>
          <cell r="B1546">
            <v>96.32</v>
          </cell>
        </row>
        <row r="1547">
          <cell r="A1547">
            <v>43697</v>
          </cell>
          <cell r="B1547">
            <v>95.63</v>
          </cell>
        </row>
        <row r="1548">
          <cell r="A1548">
            <v>43696</v>
          </cell>
          <cell r="B1548">
            <v>96.66</v>
          </cell>
        </row>
        <row r="1549">
          <cell r="A1549">
            <v>43693</v>
          </cell>
          <cell r="B1549">
            <v>96.52</v>
          </cell>
        </row>
        <row r="1550">
          <cell r="A1550">
            <v>43692</v>
          </cell>
          <cell r="B1550">
            <v>95.53</v>
          </cell>
        </row>
        <row r="1551">
          <cell r="A1551">
            <v>43691</v>
          </cell>
          <cell r="B1551">
            <v>94.92</v>
          </cell>
        </row>
        <row r="1552">
          <cell r="A1552">
            <v>43690</v>
          </cell>
          <cell r="B1552">
            <v>96.63</v>
          </cell>
        </row>
        <row r="1553">
          <cell r="A1553">
            <v>43689</v>
          </cell>
          <cell r="B1553">
            <v>94.91</v>
          </cell>
        </row>
        <row r="1554">
          <cell r="A1554">
            <v>43686</v>
          </cell>
          <cell r="B1554">
            <v>96.3</v>
          </cell>
        </row>
        <row r="1555">
          <cell r="A1555">
            <v>43685</v>
          </cell>
          <cell r="B1555">
            <v>96.27</v>
          </cell>
        </row>
        <row r="1556">
          <cell r="A1556">
            <v>43684</v>
          </cell>
          <cell r="B1556">
            <v>95.22</v>
          </cell>
        </row>
        <row r="1557">
          <cell r="A1557">
            <v>43683</v>
          </cell>
          <cell r="B1557">
            <v>95.34</v>
          </cell>
        </row>
        <row r="1558">
          <cell r="A1558">
            <v>43682</v>
          </cell>
          <cell r="B1558">
            <v>93.7</v>
          </cell>
        </row>
        <row r="1559">
          <cell r="A1559">
            <v>43679</v>
          </cell>
          <cell r="B1559">
            <v>95.51</v>
          </cell>
        </row>
        <row r="1560">
          <cell r="A1560">
            <v>43678</v>
          </cell>
          <cell r="B1560">
            <v>95.38</v>
          </cell>
        </row>
        <row r="1561">
          <cell r="A1561">
            <v>43677</v>
          </cell>
          <cell r="B1561">
            <v>94.69</v>
          </cell>
        </row>
        <row r="1562">
          <cell r="A1562">
            <v>43676</v>
          </cell>
          <cell r="B1562">
            <v>96.65</v>
          </cell>
        </row>
        <row r="1563">
          <cell r="A1563">
            <v>43675</v>
          </cell>
          <cell r="B1563">
            <v>98.02</v>
          </cell>
        </row>
        <row r="1564">
          <cell r="A1564">
            <v>43672</v>
          </cell>
          <cell r="B1564">
            <v>99.11</v>
          </cell>
        </row>
        <row r="1565">
          <cell r="A1565">
            <v>43671</v>
          </cell>
          <cell r="B1565">
            <v>90.98</v>
          </cell>
        </row>
        <row r="1566">
          <cell r="A1566">
            <v>43670</v>
          </cell>
          <cell r="B1566">
            <v>90.65</v>
          </cell>
        </row>
        <row r="1567">
          <cell r="A1567">
            <v>43669</v>
          </cell>
          <cell r="B1567">
            <v>90.11</v>
          </cell>
        </row>
        <row r="1568">
          <cell r="A1568">
            <v>43668</v>
          </cell>
          <cell r="B1568">
            <v>90.92</v>
          </cell>
        </row>
        <row r="1569">
          <cell r="A1569">
            <v>43665</v>
          </cell>
          <cell r="B1569">
            <v>90.3</v>
          </cell>
        </row>
        <row r="1570">
          <cell r="A1570">
            <v>43664</v>
          </cell>
          <cell r="B1570">
            <v>91.5</v>
          </cell>
        </row>
        <row r="1571">
          <cell r="A1571">
            <v>43663</v>
          </cell>
          <cell r="B1571">
            <v>90.25</v>
          </cell>
        </row>
        <row r="1572">
          <cell r="A1572">
            <v>43662</v>
          </cell>
          <cell r="B1572">
            <v>90.08</v>
          </cell>
        </row>
        <row r="1573">
          <cell r="A1573">
            <v>43661</v>
          </cell>
          <cell r="B1573">
            <v>90.16</v>
          </cell>
        </row>
        <row r="1574">
          <cell r="A1574">
            <v>43658</v>
          </cell>
          <cell r="B1574">
            <v>89.77</v>
          </cell>
        </row>
        <row r="1575">
          <cell r="A1575">
            <v>43657</v>
          </cell>
          <cell r="B1575">
            <v>89.07</v>
          </cell>
        </row>
        <row r="1576">
          <cell r="A1576">
            <v>43656</v>
          </cell>
          <cell r="B1576">
            <v>88.38</v>
          </cell>
        </row>
        <row r="1577">
          <cell r="A1577">
            <v>43655</v>
          </cell>
          <cell r="B1577">
            <v>87.23</v>
          </cell>
        </row>
        <row r="1578">
          <cell r="A1578">
            <v>43654</v>
          </cell>
          <cell r="B1578">
            <v>87.44</v>
          </cell>
        </row>
        <row r="1579">
          <cell r="A1579">
            <v>43651</v>
          </cell>
          <cell r="B1579">
            <v>87.79</v>
          </cell>
        </row>
        <row r="1580">
          <cell r="A1580">
            <v>43649</v>
          </cell>
          <cell r="B1580">
            <v>87.79</v>
          </cell>
        </row>
        <row r="1581">
          <cell r="A1581">
            <v>43648</v>
          </cell>
          <cell r="B1581">
            <v>85.51</v>
          </cell>
        </row>
        <row r="1582">
          <cell r="A1582">
            <v>43647</v>
          </cell>
          <cell r="B1582">
            <v>84.55</v>
          </cell>
        </row>
        <row r="1583">
          <cell r="A1583">
            <v>43644</v>
          </cell>
          <cell r="B1583">
            <v>83.83</v>
          </cell>
        </row>
        <row r="1584">
          <cell r="A1584">
            <v>43643</v>
          </cell>
          <cell r="B1584">
            <v>83.56</v>
          </cell>
        </row>
        <row r="1585">
          <cell r="A1585">
            <v>43642</v>
          </cell>
          <cell r="B1585">
            <v>83.38</v>
          </cell>
        </row>
        <row r="1586">
          <cell r="A1586">
            <v>43641</v>
          </cell>
          <cell r="B1586">
            <v>84.25</v>
          </cell>
        </row>
        <row r="1587">
          <cell r="A1587">
            <v>43640</v>
          </cell>
          <cell r="B1587">
            <v>83.65</v>
          </cell>
        </row>
        <row r="1588">
          <cell r="A1588">
            <v>43637</v>
          </cell>
          <cell r="B1588">
            <v>83.82</v>
          </cell>
        </row>
        <row r="1589">
          <cell r="A1589">
            <v>43636</v>
          </cell>
          <cell r="B1589">
            <v>84.69</v>
          </cell>
        </row>
        <row r="1590">
          <cell r="A1590">
            <v>43635</v>
          </cell>
          <cell r="B1590">
            <v>83.81</v>
          </cell>
        </row>
        <row r="1591">
          <cell r="A1591">
            <v>43634</v>
          </cell>
          <cell r="B1591">
            <v>82.92</v>
          </cell>
        </row>
        <row r="1592">
          <cell r="A1592">
            <v>43633</v>
          </cell>
          <cell r="B1592">
            <v>83.02</v>
          </cell>
        </row>
        <row r="1593">
          <cell r="A1593">
            <v>43630</v>
          </cell>
          <cell r="B1593">
            <v>84.24</v>
          </cell>
        </row>
        <row r="1594">
          <cell r="A1594">
            <v>43629</v>
          </cell>
          <cell r="B1594">
            <v>83.35</v>
          </cell>
        </row>
        <row r="1595">
          <cell r="A1595">
            <v>43628</v>
          </cell>
          <cell r="B1595">
            <v>82.93</v>
          </cell>
        </row>
        <row r="1596">
          <cell r="A1596">
            <v>43627</v>
          </cell>
          <cell r="B1596">
            <v>82.37</v>
          </cell>
        </row>
        <row r="1597">
          <cell r="A1597">
            <v>43626</v>
          </cell>
          <cell r="B1597">
            <v>81.93</v>
          </cell>
        </row>
        <row r="1598">
          <cell r="A1598">
            <v>43623</v>
          </cell>
          <cell r="B1598">
            <v>82.48</v>
          </cell>
        </row>
        <row r="1599">
          <cell r="A1599">
            <v>43622</v>
          </cell>
          <cell r="B1599">
            <v>81.400000000000006</v>
          </cell>
        </row>
        <row r="1600">
          <cell r="A1600">
            <v>43621</v>
          </cell>
          <cell r="B1600">
            <v>79.959999999999994</v>
          </cell>
        </row>
        <row r="1601">
          <cell r="A1601">
            <v>43620</v>
          </cell>
          <cell r="B1601">
            <v>78.52</v>
          </cell>
        </row>
        <row r="1602">
          <cell r="A1602">
            <v>43619</v>
          </cell>
          <cell r="B1602">
            <v>76.22</v>
          </cell>
        </row>
        <row r="1603">
          <cell r="A1603">
            <v>43616</v>
          </cell>
          <cell r="B1603">
            <v>76.06</v>
          </cell>
        </row>
        <row r="1604">
          <cell r="A1604">
            <v>43615</v>
          </cell>
          <cell r="B1604">
            <v>76.17</v>
          </cell>
        </row>
        <row r="1605">
          <cell r="A1605">
            <v>43614</v>
          </cell>
          <cell r="B1605">
            <v>75.28</v>
          </cell>
        </row>
        <row r="1606">
          <cell r="A1606">
            <v>43613</v>
          </cell>
          <cell r="B1606">
            <v>75.7</v>
          </cell>
        </row>
        <row r="1607">
          <cell r="A1607">
            <v>43609</v>
          </cell>
          <cell r="B1607">
            <v>76.150000000000006</v>
          </cell>
        </row>
        <row r="1608">
          <cell r="A1608">
            <v>43608</v>
          </cell>
          <cell r="B1608">
            <v>76.41</v>
          </cell>
        </row>
        <row r="1609">
          <cell r="A1609">
            <v>43607</v>
          </cell>
          <cell r="B1609">
            <v>77.25</v>
          </cell>
        </row>
        <row r="1610">
          <cell r="A1610">
            <v>43606</v>
          </cell>
          <cell r="B1610">
            <v>77.53</v>
          </cell>
        </row>
        <row r="1611">
          <cell r="A1611">
            <v>43605</v>
          </cell>
          <cell r="B1611">
            <v>76.66</v>
          </cell>
        </row>
        <row r="1612">
          <cell r="A1612">
            <v>43602</v>
          </cell>
          <cell r="B1612">
            <v>78.91</v>
          </cell>
        </row>
        <row r="1613">
          <cell r="A1613">
            <v>43601</v>
          </cell>
          <cell r="B1613">
            <v>78.900000000000006</v>
          </cell>
        </row>
        <row r="1614">
          <cell r="A1614">
            <v>43600</v>
          </cell>
          <cell r="B1614">
            <v>77.760000000000005</v>
          </cell>
        </row>
        <row r="1615">
          <cell r="A1615">
            <v>43599</v>
          </cell>
          <cell r="B1615">
            <v>77.06</v>
          </cell>
        </row>
        <row r="1616">
          <cell r="A1616">
            <v>43598</v>
          </cell>
          <cell r="B1616">
            <v>76.680000000000007</v>
          </cell>
        </row>
        <row r="1617">
          <cell r="A1617">
            <v>43595</v>
          </cell>
          <cell r="B1617">
            <v>78.42</v>
          </cell>
        </row>
        <row r="1618">
          <cell r="A1618">
            <v>43594</v>
          </cell>
          <cell r="B1618">
            <v>77.900000000000006</v>
          </cell>
        </row>
        <row r="1619">
          <cell r="A1619">
            <v>43593</v>
          </cell>
          <cell r="B1619">
            <v>78.05</v>
          </cell>
        </row>
        <row r="1620">
          <cell r="A1620">
            <v>43592</v>
          </cell>
          <cell r="B1620">
            <v>77.959999999999994</v>
          </cell>
        </row>
        <row r="1621">
          <cell r="A1621">
            <v>43591</v>
          </cell>
          <cell r="B1621">
            <v>78.06</v>
          </cell>
        </row>
        <row r="1622">
          <cell r="A1622">
            <v>43588</v>
          </cell>
          <cell r="B1622">
            <v>78.05</v>
          </cell>
        </row>
        <row r="1623">
          <cell r="A1623">
            <v>43587</v>
          </cell>
          <cell r="B1623">
            <v>77.47</v>
          </cell>
        </row>
        <row r="1624">
          <cell r="A1624">
            <v>43586</v>
          </cell>
          <cell r="B1624">
            <v>77.52</v>
          </cell>
        </row>
        <row r="1625">
          <cell r="A1625">
            <v>43585</v>
          </cell>
          <cell r="B1625">
            <v>77.680000000000007</v>
          </cell>
        </row>
        <row r="1626">
          <cell r="A1626">
            <v>43584</v>
          </cell>
          <cell r="B1626">
            <v>76.91</v>
          </cell>
        </row>
        <row r="1627">
          <cell r="A1627">
            <v>43581</v>
          </cell>
          <cell r="B1627">
            <v>77.45</v>
          </cell>
        </row>
        <row r="1628">
          <cell r="A1628">
            <v>43580</v>
          </cell>
          <cell r="B1628">
            <v>77.11</v>
          </cell>
        </row>
        <row r="1629">
          <cell r="A1629">
            <v>43579</v>
          </cell>
          <cell r="B1629">
            <v>76.39</v>
          </cell>
        </row>
        <row r="1630">
          <cell r="A1630">
            <v>43578</v>
          </cell>
          <cell r="B1630">
            <v>75.989999999999995</v>
          </cell>
        </row>
        <row r="1631">
          <cell r="A1631">
            <v>43577</v>
          </cell>
          <cell r="B1631">
            <v>75.400000000000006</v>
          </cell>
        </row>
        <row r="1632">
          <cell r="A1632">
            <v>43573</v>
          </cell>
          <cell r="B1632">
            <v>76.06</v>
          </cell>
        </row>
        <row r="1633">
          <cell r="A1633">
            <v>43572</v>
          </cell>
          <cell r="B1633">
            <v>75.12</v>
          </cell>
        </row>
        <row r="1634">
          <cell r="A1634">
            <v>43571</v>
          </cell>
          <cell r="B1634">
            <v>75.7</v>
          </cell>
        </row>
        <row r="1635">
          <cell r="A1635">
            <v>43570</v>
          </cell>
          <cell r="B1635">
            <v>76.16</v>
          </cell>
        </row>
        <row r="1636">
          <cell r="A1636">
            <v>43567</v>
          </cell>
          <cell r="B1636">
            <v>76.650000000000006</v>
          </cell>
        </row>
        <row r="1637">
          <cell r="A1637">
            <v>43566</v>
          </cell>
          <cell r="B1637">
            <v>75.87</v>
          </cell>
        </row>
        <row r="1638">
          <cell r="A1638">
            <v>43565</v>
          </cell>
          <cell r="B1638">
            <v>75.48</v>
          </cell>
        </row>
        <row r="1639">
          <cell r="A1639">
            <v>43564</v>
          </cell>
          <cell r="B1639">
            <v>75.12</v>
          </cell>
        </row>
        <row r="1640">
          <cell r="A1640">
            <v>43563</v>
          </cell>
          <cell r="B1640">
            <v>75.2</v>
          </cell>
        </row>
        <row r="1641">
          <cell r="A1641">
            <v>43560</v>
          </cell>
          <cell r="B1641">
            <v>75.03</v>
          </cell>
        </row>
        <row r="1642">
          <cell r="A1642">
            <v>43559</v>
          </cell>
          <cell r="B1642">
            <v>74.349999999999994</v>
          </cell>
        </row>
        <row r="1643">
          <cell r="A1643">
            <v>43558</v>
          </cell>
          <cell r="B1643">
            <v>74.33</v>
          </cell>
        </row>
        <row r="1644">
          <cell r="A1644">
            <v>43557</v>
          </cell>
          <cell r="B1644">
            <v>74.27</v>
          </cell>
        </row>
        <row r="1645">
          <cell r="A1645">
            <v>43556</v>
          </cell>
          <cell r="B1645">
            <v>73.959999999999994</v>
          </cell>
        </row>
        <row r="1646">
          <cell r="A1646">
            <v>43553</v>
          </cell>
          <cell r="B1646">
            <v>74.34</v>
          </cell>
        </row>
        <row r="1647">
          <cell r="A1647">
            <v>43552</v>
          </cell>
          <cell r="B1647">
            <v>73.959999999999994</v>
          </cell>
        </row>
        <row r="1648">
          <cell r="A1648">
            <v>43551</v>
          </cell>
          <cell r="B1648">
            <v>72.739999999999995</v>
          </cell>
        </row>
        <row r="1649">
          <cell r="A1649">
            <v>43550</v>
          </cell>
          <cell r="B1649">
            <v>72.959999999999994</v>
          </cell>
        </row>
        <row r="1650">
          <cell r="A1650">
            <v>43549</v>
          </cell>
          <cell r="B1650">
            <v>72.3</v>
          </cell>
        </row>
        <row r="1651">
          <cell r="A1651">
            <v>43546</v>
          </cell>
          <cell r="B1651">
            <v>71.959999999999994</v>
          </cell>
        </row>
        <row r="1652">
          <cell r="A1652">
            <v>43545</v>
          </cell>
          <cell r="B1652">
            <v>72.260000000000005</v>
          </cell>
        </row>
        <row r="1653">
          <cell r="A1653">
            <v>43544</v>
          </cell>
          <cell r="B1653">
            <v>71.63</v>
          </cell>
        </row>
        <row r="1654">
          <cell r="A1654">
            <v>43543</v>
          </cell>
          <cell r="B1654">
            <v>71.38</v>
          </cell>
        </row>
        <row r="1655">
          <cell r="A1655">
            <v>43542</v>
          </cell>
          <cell r="B1655">
            <v>70.84</v>
          </cell>
        </row>
        <row r="1656">
          <cell r="A1656">
            <v>43539</v>
          </cell>
          <cell r="B1656">
            <v>70.67</v>
          </cell>
        </row>
        <row r="1657">
          <cell r="A1657">
            <v>43538</v>
          </cell>
          <cell r="B1657">
            <v>70.739999999999995</v>
          </cell>
        </row>
        <row r="1658">
          <cell r="A1658">
            <v>43537</v>
          </cell>
          <cell r="B1658">
            <v>70.099999999999994</v>
          </cell>
        </row>
        <row r="1659">
          <cell r="A1659">
            <v>43536</v>
          </cell>
          <cell r="B1659">
            <v>70.05</v>
          </cell>
        </row>
        <row r="1660">
          <cell r="A1660">
            <v>43535</v>
          </cell>
          <cell r="B1660">
            <v>69.680000000000007</v>
          </cell>
        </row>
        <row r="1661">
          <cell r="A1661">
            <v>43532</v>
          </cell>
          <cell r="B1661">
            <v>69.36</v>
          </cell>
        </row>
        <row r="1662">
          <cell r="A1662">
            <v>43531</v>
          </cell>
          <cell r="B1662">
            <v>70.61</v>
          </cell>
        </row>
        <row r="1663">
          <cell r="A1663">
            <v>43530</v>
          </cell>
          <cell r="B1663">
            <v>71.27</v>
          </cell>
        </row>
        <row r="1664">
          <cell r="A1664">
            <v>43529</v>
          </cell>
          <cell r="B1664">
            <v>71.58</v>
          </cell>
        </row>
        <row r="1665">
          <cell r="A1665">
            <v>43528</v>
          </cell>
          <cell r="B1665">
            <v>70.95</v>
          </cell>
        </row>
        <row r="1666">
          <cell r="A1666">
            <v>43525</v>
          </cell>
          <cell r="B1666">
            <v>70.849999999999994</v>
          </cell>
        </row>
        <row r="1667">
          <cell r="A1667">
            <v>43524</v>
          </cell>
          <cell r="B1667">
            <v>70.260000000000005</v>
          </cell>
        </row>
        <row r="1668">
          <cell r="A1668">
            <v>43523</v>
          </cell>
          <cell r="B1668">
            <v>70.150000000000006</v>
          </cell>
        </row>
        <row r="1669">
          <cell r="A1669">
            <v>43522</v>
          </cell>
          <cell r="B1669">
            <v>71.14</v>
          </cell>
        </row>
        <row r="1670">
          <cell r="A1670">
            <v>43521</v>
          </cell>
          <cell r="B1670">
            <v>71.05</v>
          </cell>
        </row>
        <row r="1671">
          <cell r="A1671">
            <v>43518</v>
          </cell>
          <cell r="B1671">
            <v>71.3</v>
          </cell>
        </row>
        <row r="1672">
          <cell r="A1672">
            <v>43517</v>
          </cell>
          <cell r="B1672">
            <v>70.7</v>
          </cell>
        </row>
        <row r="1673">
          <cell r="A1673">
            <v>43516</v>
          </cell>
          <cell r="B1673">
            <v>70.39</v>
          </cell>
        </row>
        <row r="1674">
          <cell r="A1674">
            <v>43515</v>
          </cell>
          <cell r="B1674">
            <v>70.2</v>
          </cell>
        </row>
        <row r="1675">
          <cell r="A1675">
            <v>43511</v>
          </cell>
          <cell r="B1675">
            <v>70.709999999999994</v>
          </cell>
        </row>
        <row r="1676">
          <cell r="A1676">
            <v>43510</v>
          </cell>
          <cell r="B1676">
            <v>70.84</v>
          </cell>
        </row>
        <row r="1677">
          <cell r="A1677">
            <v>43509</v>
          </cell>
          <cell r="B1677">
            <v>70.510000000000005</v>
          </cell>
        </row>
        <row r="1678">
          <cell r="A1678">
            <v>43508</v>
          </cell>
          <cell r="B1678">
            <v>69.75</v>
          </cell>
        </row>
        <row r="1679">
          <cell r="A1679">
            <v>43507</v>
          </cell>
          <cell r="B1679">
            <v>69.989999999999995</v>
          </cell>
        </row>
        <row r="1680">
          <cell r="A1680">
            <v>43504</v>
          </cell>
          <cell r="B1680">
            <v>69.75</v>
          </cell>
        </row>
        <row r="1681">
          <cell r="A1681">
            <v>43503</v>
          </cell>
          <cell r="B1681">
            <v>69.14</v>
          </cell>
        </row>
        <row r="1682">
          <cell r="A1682">
            <v>43502</v>
          </cell>
          <cell r="B1682">
            <v>68.849999999999994</v>
          </cell>
        </row>
        <row r="1683">
          <cell r="A1683">
            <v>43501</v>
          </cell>
          <cell r="B1683">
            <v>69.34</v>
          </cell>
        </row>
        <row r="1684">
          <cell r="A1684">
            <v>43500</v>
          </cell>
          <cell r="B1684">
            <v>67.58</v>
          </cell>
        </row>
        <row r="1685">
          <cell r="A1685">
            <v>43497</v>
          </cell>
          <cell r="B1685">
            <v>68.11</v>
          </cell>
        </row>
        <row r="1686">
          <cell r="A1686">
            <v>43496</v>
          </cell>
          <cell r="B1686">
            <v>68.14</v>
          </cell>
        </row>
        <row r="1687">
          <cell r="A1687">
            <v>43495</v>
          </cell>
          <cell r="B1687">
            <v>68.150000000000006</v>
          </cell>
        </row>
        <row r="1688">
          <cell r="A1688">
            <v>43494</v>
          </cell>
          <cell r="B1688">
            <v>67.040000000000006</v>
          </cell>
        </row>
        <row r="1689">
          <cell r="A1689">
            <v>43493</v>
          </cell>
          <cell r="B1689">
            <v>66.900000000000006</v>
          </cell>
        </row>
        <row r="1690">
          <cell r="A1690">
            <v>43490</v>
          </cell>
          <cell r="B1690">
            <v>67.09</v>
          </cell>
        </row>
        <row r="1691">
          <cell r="A1691">
            <v>43489</v>
          </cell>
          <cell r="B1691">
            <v>64.739999999999995</v>
          </cell>
        </row>
        <row r="1692">
          <cell r="A1692">
            <v>43488</v>
          </cell>
          <cell r="B1692">
            <v>66.430000000000007</v>
          </cell>
        </row>
        <row r="1693">
          <cell r="A1693">
            <v>43487</v>
          </cell>
          <cell r="B1693">
            <v>65.39</v>
          </cell>
        </row>
        <row r="1694">
          <cell r="A1694">
            <v>43483</v>
          </cell>
          <cell r="B1694">
            <v>64.7</v>
          </cell>
        </row>
        <row r="1695">
          <cell r="A1695">
            <v>43482</v>
          </cell>
          <cell r="B1695">
            <v>64.28</v>
          </cell>
        </row>
        <row r="1696">
          <cell r="A1696">
            <v>43481</v>
          </cell>
          <cell r="B1696">
            <v>63.77</v>
          </cell>
        </row>
        <row r="1697">
          <cell r="A1697">
            <v>43480</v>
          </cell>
          <cell r="B1697">
            <v>64.08</v>
          </cell>
        </row>
        <row r="1698">
          <cell r="A1698">
            <v>43479</v>
          </cell>
          <cell r="B1698">
            <v>63.37</v>
          </cell>
        </row>
        <row r="1699">
          <cell r="A1699">
            <v>43476</v>
          </cell>
          <cell r="B1699">
            <v>63.73</v>
          </cell>
        </row>
        <row r="1700">
          <cell r="A1700">
            <v>43475</v>
          </cell>
          <cell r="B1700">
            <v>64.19</v>
          </cell>
        </row>
        <row r="1701">
          <cell r="A1701">
            <v>43474</v>
          </cell>
          <cell r="B1701">
            <v>63.88</v>
          </cell>
        </row>
        <row r="1702">
          <cell r="A1702">
            <v>43473</v>
          </cell>
          <cell r="B1702">
            <v>63.62</v>
          </cell>
        </row>
        <row r="1703">
          <cell r="A1703">
            <v>43472</v>
          </cell>
          <cell r="B1703">
            <v>63.57</v>
          </cell>
        </row>
        <row r="1704">
          <cell r="A1704">
            <v>43469</v>
          </cell>
          <cell r="B1704">
            <v>63.57</v>
          </cell>
        </row>
        <row r="1705">
          <cell r="A1705">
            <v>43468</v>
          </cell>
          <cell r="B1705">
            <v>61.53</v>
          </cell>
        </row>
        <row r="1706">
          <cell r="A1706">
            <v>43467</v>
          </cell>
          <cell r="B1706">
            <v>64.319999999999993</v>
          </cell>
        </row>
        <row r="1707">
          <cell r="A1707">
            <v>43465</v>
          </cell>
          <cell r="B1707">
            <v>64.400000000000006</v>
          </cell>
        </row>
        <row r="1708">
          <cell r="A1708">
            <v>43462</v>
          </cell>
          <cell r="B1708">
            <v>63.39</v>
          </cell>
        </row>
        <row r="1709">
          <cell r="A1709">
            <v>43461</v>
          </cell>
          <cell r="B1709">
            <v>63.2</v>
          </cell>
        </row>
        <row r="1710">
          <cell r="A1710">
            <v>43460</v>
          </cell>
          <cell r="B1710">
            <v>63.08</v>
          </cell>
        </row>
        <row r="1711">
          <cell r="A1711">
            <v>43458</v>
          </cell>
          <cell r="B1711">
            <v>60.56</v>
          </cell>
        </row>
        <row r="1712">
          <cell r="A1712">
            <v>43455</v>
          </cell>
          <cell r="B1712">
            <v>61.39</v>
          </cell>
        </row>
        <row r="1713">
          <cell r="A1713">
            <v>43454</v>
          </cell>
          <cell r="B1713">
            <v>62.15</v>
          </cell>
        </row>
        <row r="1714">
          <cell r="A1714">
            <v>43453</v>
          </cell>
          <cell r="B1714">
            <v>64.06</v>
          </cell>
        </row>
        <row r="1715">
          <cell r="A1715">
            <v>43452</v>
          </cell>
          <cell r="B1715">
            <v>64.92</v>
          </cell>
        </row>
        <row r="1716">
          <cell r="A1716">
            <v>43451</v>
          </cell>
          <cell r="B1716">
            <v>64.47</v>
          </cell>
        </row>
        <row r="1717">
          <cell r="A1717">
            <v>43448</v>
          </cell>
          <cell r="B1717">
            <v>65.34</v>
          </cell>
        </row>
        <row r="1718">
          <cell r="A1718">
            <v>43447</v>
          </cell>
          <cell r="B1718">
            <v>66.91</v>
          </cell>
        </row>
        <row r="1719">
          <cell r="A1719">
            <v>43446</v>
          </cell>
          <cell r="B1719">
            <v>66.13</v>
          </cell>
        </row>
        <row r="1720">
          <cell r="A1720">
            <v>43445</v>
          </cell>
          <cell r="B1720">
            <v>65.92</v>
          </cell>
        </row>
        <row r="1721">
          <cell r="A1721">
            <v>43444</v>
          </cell>
          <cell r="B1721">
            <v>65.489999999999995</v>
          </cell>
        </row>
        <row r="1722">
          <cell r="A1722">
            <v>43441</v>
          </cell>
          <cell r="B1722">
            <v>65.47</v>
          </cell>
        </row>
        <row r="1723">
          <cell r="A1723">
            <v>43440</v>
          </cell>
          <cell r="B1723">
            <v>66.55</v>
          </cell>
        </row>
        <row r="1724">
          <cell r="A1724">
            <v>43438</v>
          </cell>
          <cell r="B1724">
            <v>66.650000000000006</v>
          </cell>
        </row>
        <row r="1725">
          <cell r="A1725">
            <v>43437</v>
          </cell>
          <cell r="B1725">
            <v>67.5</v>
          </cell>
        </row>
        <row r="1726">
          <cell r="A1726">
            <v>43434</v>
          </cell>
          <cell r="B1726">
            <v>66.72</v>
          </cell>
        </row>
        <row r="1727">
          <cell r="A1727">
            <v>43433</v>
          </cell>
          <cell r="B1727">
            <v>66.88</v>
          </cell>
        </row>
        <row r="1728">
          <cell r="A1728">
            <v>43432</v>
          </cell>
          <cell r="B1728">
            <v>66.819999999999993</v>
          </cell>
        </row>
        <row r="1729">
          <cell r="A1729">
            <v>43431</v>
          </cell>
          <cell r="B1729">
            <v>66.08</v>
          </cell>
        </row>
        <row r="1730">
          <cell r="A1730">
            <v>43430</v>
          </cell>
          <cell r="B1730">
            <v>65.69</v>
          </cell>
        </row>
        <row r="1731">
          <cell r="A1731">
            <v>43427</v>
          </cell>
          <cell r="B1731">
            <v>65.7</v>
          </cell>
        </row>
        <row r="1732">
          <cell r="A1732">
            <v>43425</v>
          </cell>
          <cell r="B1732">
            <v>66.77</v>
          </cell>
        </row>
        <row r="1733">
          <cell r="A1733">
            <v>43424</v>
          </cell>
          <cell r="B1733">
            <v>67.180000000000007</v>
          </cell>
        </row>
        <row r="1734">
          <cell r="A1734">
            <v>43423</v>
          </cell>
          <cell r="B1734">
            <v>67.91</v>
          </cell>
        </row>
        <row r="1735">
          <cell r="A1735">
            <v>43420</v>
          </cell>
          <cell r="B1735">
            <v>68.16</v>
          </cell>
        </row>
        <row r="1736">
          <cell r="A1736">
            <v>43419</v>
          </cell>
          <cell r="B1736">
            <v>67.62</v>
          </cell>
        </row>
        <row r="1737">
          <cell r="A1737">
            <v>43418</v>
          </cell>
          <cell r="B1737">
            <v>67.040000000000006</v>
          </cell>
        </row>
        <row r="1738">
          <cell r="A1738">
            <v>43417</v>
          </cell>
          <cell r="B1738">
            <v>67.41</v>
          </cell>
        </row>
        <row r="1739">
          <cell r="A1739">
            <v>43416</v>
          </cell>
          <cell r="B1739">
            <v>67.91</v>
          </cell>
        </row>
        <row r="1740">
          <cell r="A1740">
            <v>43413</v>
          </cell>
          <cell r="B1740">
            <v>68.599999999999994</v>
          </cell>
        </row>
        <row r="1741">
          <cell r="A1741">
            <v>43412</v>
          </cell>
          <cell r="B1741">
            <v>68.72</v>
          </cell>
        </row>
        <row r="1742">
          <cell r="A1742">
            <v>43411</v>
          </cell>
          <cell r="B1742">
            <v>68.16</v>
          </cell>
        </row>
        <row r="1743">
          <cell r="A1743">
            <v>43410</v>
          </cell>
          <cell r="B1743">
            <v>66.010000000000005</v>
          </cell>
        </row>
        <row r="1744">
          <cell r="A1744">
            <v>43409</v>
          </cell>
          <cell r="B1744">
            <v>64.48</v>
          </cell>
        </row>
        <row r="1745">
          <cell r="A1745">
            <v>43406</v>
          </cell>
          <cell r="B1745">
            <v>64.319999999999993</v>
          </cell>
        </row>
        <row r="1746">
          <cell r="A1746">
            <v>43405</v>
          </cell>
          <cell r="B1746">
            <v>58.63</v>
          </cell>
        </row>
        <row r="1747">
          <cell r="A1747">
            <v>43404</v>
          </cell>
          <cell r="B1747">
            <v>58.27</v>
          </cell>
        </row>
        <row r="1748">
          <cell r="A1748">
            <v>43403</v>
          </cell>
          <cell r="B1748">
            <v>58.59</v>
          </cell>
        </row>
        <row r="1749">
          <cell r="A1749">
            <v>43402</v>
          </cell>
          <cell r="B1749">
            <v>58.37</v>
          </cell>
        </row>
        <row r="1750">
          <cell r="A1750">
            <v>43399</v>
          </cell>
          <cell r="B1750">
            <v>58.07</v>
          </cell>
        </row>
        <row r="1751">
          <cell r="A1751">
            <v>43398</v>
          </cell>
          <cell r="B1751">
            <v>58.96</v>
          </cell>
        </row>
        <row r="1752">
          <cell r="A1752">
            <v>43397</v>
          </cell>
          <cell r="B1752">
            <v>58.06</v>
          </cell>
        </row>
        <row r="1753">
          <cell r="A1753">
            <v>43396</v>
          </cell>
          <cell r="B1753">
            <v>58.81</v>
          </cell>
        </row>
        <row r="1754">
          <cell r="A1754">
            <v>43395</v>
          </cell>
          <cell r="B1754">
            <v>58.9</v>
          </cell>
        </row>
        <row r="1755">
          <cell r="A1755">
            <v>43392</v>
          </cell>
          <cell r="B1755">
            <v>58.66</v>
          </cell>
        </row>
        <row r="1756">
          <cell r="A1756">
            <v>43391</v>
          </cell>
          <cell r="B1756">
            <v>58.64</v>
          </cell>
        </row>
        <row r="1757">
          <cell r="A1757">
            <v>43390</v>
          </cell>
          <cell r="B1757">
            <v>59.1</v>
          </cell>
        </row>
        <row r="1758">
          <cell r="A1758">
            <v>43389</v>
          </cell>
          <cell r="B1758">
            <v>57.81</v>
          </cell>
        </row>
        <row r="1759">
          <cell r="A1759">
            <v>43388</v>
          </cell>
          <cell r="B1759">
            <v>56.75</v>
          </cell>
        </row>
        <row r="1760">
          <cell r="A1760">
            <v>43385</v>
          </cell>
          <cell r="B1760">
            <v>56.45</v>
          </cell>
        </row>
        <row r="1761">
          <cell r="A1761">
            <v>43384</v>
          </cell>
          <cell r="B1761">
            <v>54.86</v>
          </cell>
        </row>
        <row r="1762">
          <cell r="A1762">
            <v>43383</v>
          </cell>
          <cell r="B1762">
            <v>56.01</v>
          </cell>
        </row>
        <row r="1763">
          <cell r="A1763">
            <v>43382</v>
          </cell>
          <cell r="B1763">
            <v>57.71</v>
          </cell>
        </row>
        <row r="1764">
          <cell r="A1764">
            <v>43381</v>
          </cell>
          <cell r="B1764">
            <v>56.54</v>
          </cell>
        </row>
        <row r="1765">
          <cell r="A1765">
            <v>43378</v>
          </cell>
          <cell r="B1765">
            <v>55.76</v>
          </cell>
        </row>
        <row r="1766">
          <cell r="A1766">
            <v>43377</v>
          </cell>
          <cell r="B1766">
            <v>55.89</v>
          </cell>
        </row>
        <row r="1767">
          <cell r="A1767">
            <v>43376</v>
          </cell>
          <cell r="B1767">
            <v>55.47</v>
          </cell>
        </row>
        <row r="1768">
          <cell r="A1768">
            <v>43375</v>
          </cell>
          <cell r="B1768">
            <v>55.59</v>
          </cell>
        </row>
        <row r="1769">
          <cell r="A1769">
            <v>43374</v>
          </cell>
          <cell r="B1769">
            <v>55.58</v>
          </cell>
        </row>
        <row r="1770">
          <cell r="A1770">
            <v>43371</v>
          </cell>
          <cell r="B1770">
            <v>56.84</v>
          </cell>
        </row>
        <row r="1771">
          <cell r="A1771">
            <v>43370</v>
          </cell>
          <cell r="B1771">
            <v>57.34</v>
          </cell>
        </row>
        <row r="1772">
          <cell r="A1772">
            <v>43369</v>
          </cell>
          <cell r="B1772">
            <v>57.27</v>
          </cell>
        </row>
        <row r="1773">
          <cell r="A1773">
            <v>43368</v>
          </cell>
          <cell r="B1773">
            <v>56.9</v>
          </cell>
        </row>
        <row r="1774">
          <cell r="A1774">
            <v>43367</v>
          </cell>
          <cell r="B1774">
            <v>56.69</v>
          </cell>
        </row>
        <row r="1775">
          <cell r="A1775">
            <v>43364</v>
          </cell>
          <cell r="B1775">
            <v>57.45</v>
          </cell>
        </row>
        <row r="1776">
          <cell r="A1776">
            <v>43363</v>
          </cell>
          <cell r="B1776">
            <v>56.43</v>
          </cell>
        </row>
        <row r="1777">
          <cell r="A1777">
            <v>43362</v>
          </cell>
          <cell r="B1777">
            <v>55.43</v>
          </cell>
        </row>
        <row r="1778">
          <cell r="A1778">
            <v>43361</v>
          </cell>
          <cell r="B1778">
            <v>55.07</v>
          </cell>
        </row>
        <row r="1779">
          <cell r="A1779">
            <v>43360</v>
          </cell>
          <cell r="B1779">
            <v>54.57</v>
          </cell>
        </row>
        <row r="1780">
          <cell r="A1780">
            <v>43357</v>
          </cell>
          <cell r="B1780">
            <v>54.75</v>
          </cell>
        </row>
        <row r="1781">
          <cell r="A1781">
            <v>43356</v>
          </cell>
          <cell r="B1781">
            <v>54.89</v>
          </cell>
        </row>
        <row r="1782">
          <cell r="A1782">
            <v>43355</v>
          </cell>
          <cell r="B1782">
            <v>54.97</v>
          </cell>
        </row>
        <row r="1783">
          <cell r="A1783">
            <v>43354</v>
          </cell>
          <cell r="B1783">
            <v>55.12</v>
          </cell>
        </row>
        <row r="1784">
          <cell r="A1784">
            <v>43353</v>
          </cell>
          <cell r="B1784">
            <v>54.97</v>
          </cell>
        </row>
        <row r="1785">
          <cell r="A1785">
            <v>43350</v>
          </cell>
          <cell r="B1785">
            <v>54.86</v>
          </cell>
        </row>
        <row r="1786">
          <cell r="A1786">
            <v>43349</v>
          </cell>
          <cell r="B1786">
            <v>54.21</v>
          </cell>
        </row>
        <row r="1787">
          <cell r="A1787">
            <v>43348</v>
          </cell>
          <cell r="B1787">
            <v>53.79</v>
          </cell>
        </row>
        <row r="1788">
          <cell r="A1788">
            <v>43347</v>
          </cell>
          <cell r="B1788">
            <v>53.53</v>
          </cell>
        </row>
        <row r="1789">
          <cell r="A1789">
            <v>43343</v>
          </cell>
          <cell r="B1789">
            <v>53.45</v>
          </cell>
        </row>
        <row r="1790">
          <cell r="A1790">
            <v>43342</v>
          </cell>
          <cell r="B1790">
            <v>53.1</v>
          </cell>
        </row>
        <row r="1791">
          <cell r="A1791">
            <v>43341</v>
          </cell>
          <cell r="B1791">
            <v>53.25</v>
          </cell>
        </row>
        <row r="1792">
          <cell r="A1792">
            <v>43340</v>
          </cell>
          <cell r="B1792">
            <v>53.05</v>
          </cell>
        </row>
        <row r="1793">
          <cell r="A1793">
            <v>43339</v>
          </cell>
          <cell r="B1793">
            <v>52.97</v>
          </cell>
        </row>
        <row r="1794">
          <cell r="A1794">
            <v>43336</v>
          </cell>
          <cell r="B1794">
            <v>52.75</v>
          </cell>
        </row>
        <row r="1795">
          <cell r="A1795">
            <v>43335</v>
          </cell>
          <cell r="B1795">
            <v>52.66</v>
          </cell>
        </row>
        <row r="1796">
          <cell r="A1796">
            <v>43334</v>
          </cell>
          <cell r="B1796">
            <v>52.82</v>
          </cell>
        </row>
        <row r="1797">
          <cell r="A1797">
            <v>43333</v>
          </cell>
          <cell r="B1797">
            <v>54</v>
          </cell>
        </row>
        <row r="1798">
          <cell r="A1798">
            <v>43332</v>
          </cell>
          <cell r="B1798">
            <v>53.92</v>
          </cell>
        </row>
        <row r="1799">
          <cell r="A1799">
            <v>43329</v>
          </cell>
          <cell r="B1799">
            <v>53.56</v>
          </cell>
        </row>
        <row r="1800">
          <cell r="A1800">
            <v>43328</v>
          </cell>
          <cell r="B1800">
            <v>53.04</v>
          </cell>
        </row>
        <row r="1801">
          <cell r="A1801">
            <v>43327</v>
          </cell>
          <cell r="B1801">
            <v>52.75</v>
          </cell>
        </row>
        <row r="1802">
          <cell r="A1802">
            <v>43326</v>
          </cell>
          <cell r="B1802">
            <v>52.59</v>
          </cell>
        </row>
        <row r="1803">
          <cell r="A1803">
            <v>43325</v>
          </cell>
          <cell r="B1803">
            <v>51.81</v>
          </cell>
        </row>
        <row r="1804">
          <cell r="A1804">
            <v>43322</v>
          </cell>
          <cell r="B1804">
            <v>51.51</v>
          </cell>
        </row>
        <row r="1805">
          <cell r="A1805">
            <v>43321</v>
          </cell>
          <cell r="B1805">
            <v>51.92</v>
          </cell>
        </row>
        <row r="1806">
          <cell r="A1806">
            <v>43320</v>
          </cell>
          <cell r="B1806">
            <v>51.55</v>
          </cell>
        </row>
        <row r="1807">
          <cell r="A1807">
            <v>43319</v>
          </cell>
          <cell r="B1807">
            <v>52.07</v>
          </cell>
        </row>
        <row r="1808">
          <cell r="A1808">
            <v>43318</v>
          </cell>
          <cell r="B1808">
            <v>52.07</v>
          </cell>
        </row>
        <row r="1809">
          <cell r="A1809">
            <v>43315</v>
          </cell>
          <cell r="B1809">
            <v>52.23</v>
          </cell>
        </row>
        <row r="1810">
          <cell r="A1810">
            <v>43314</v>
          </cell>
          <cell r="B1810">
            <v>51.68</v>
          </cell>
        </row>
        <row r="1811">
          <cell r="A1811">
            <v>43313</v>
          </cell>
          <cell r="B1811">
            <v>51.93</v>
          </cell>
        </row>
        <row r="1812">
          <cell r="A1812">
            <v>43312</v>
          </cell>
          <cell r="B1812">
            <v>52.39</v>
          </cell>
        </row>
        <row r="1813">
          <cell r="A1813">
            <v>43311</v>
          </cell>
          <cell r="B1813">
            <v>51.9</v>
          </cell>
        </row>
        <row r="1814">
          <cell r="A1814">
            <v>43308</v>
          </cell>
          <cell r="B1814">
            <v>52.15</v>
          </cell>
        </row>
        <row r="1815">
          <cell r="A1815">
            <v>43307</v>
          </cell>
          <cell r="B1815">
            <v>51.45</v>
          </cell>
        </row>
        <row r="1816">
          <cell r="A1816">
            <v>43306</v>
          </cell>
          <cell r="B1816">
            <v>51.62</v>
          </cell>
        </row>
        <row r="1817">
          <cell r="A1817">
            <v>43305</v>
          </cell>
          <cell r="B1817">
            <v>51.17</v>
          </cell>
        </row>
        <row r="1818">
          <cell r="A1818">
            <v>43304</v>
          </cell>
          <cell r="B1818">
            <v>51.19</v>
          </cell>
        </row>
        <row r="1819">
          <cell r="A1819">
            <v>43301</v>
          </cell>
          <cell r="B1819">
            <v>50.91</v>
          </cell>
        </row>
        <row r="1820">
          <cell r="A1820">
            <v>43300</v>
          </cell>
          <cell r="B1820">
            <v>51.34</v>
          </cell>
        </row>
        <row r="1821">
          <cell r="A1821">
            <v>43299</v>
          </cell>
          <cell r="B1821">
            <v>51.15</v>
          </cell>
        </row>
        <row r="1822">
          <cell r="A1822">
            <v>43298</v>
          </cell>
          <cell r="B1822">
            <v>51.28</v>
          </cell>
        </row>
        <row r="1823">
          <cell r="A1823">
            <v>43297</v>
          </cell>
          <cell r="B1823">
            <v>50.94</v>
          </cell>
        </row>
        <row r="1824">
          <cell r="A1824">
            <v>43294</v>
          </cell>
          <cell r="B1824">
            <v>51.62</v>
          </cell>
        </row>
        <row r="1825">
          <cell r="A1825">
            <v>43293</v>
          </cell>
          <cell r="B1825">
            <v>50.25</v>
          </cell>
        </row>
        <row r="1826">
          <cell r="A1826">
            <v>43292</v>
          </cell>
          <cell r="B1826">
            <v>50.14</v>
          </cell>
        </row>
        <row r="1827">
          <cell r="A1827">
            <v>43291</v>
          </cell>
          <cell r="B1827">
            <v>50.42</v>
          </cell>
        </row>
        <row r="1828">
          <cell r="A1828">
            <v>43290</v>
          </cell>
          <cell r="B1828">
            <v>49.9</v>
          </cell>
        </row>
        <row r="1829">
          <cell r="A1829">
            <v>43287</v>
          </cell>
          <cell r="B1829">
            <v>48.98</v>
          </cell>
        </row>
        <row r="1830">
          <cell r="A1830">
            <v>43286</v>
          </cell>
          <cell r="B1830">
            <v>48.61</v>
          </cell>
        </row>
        <row r="1831">
          <cell r="A1831">
            <v>43284</v>
          </cell>
          <cell r="B1831">
            <v>48.77</v>
          </cell>
        </row>
        <row r="1832">
          <cell r="A1832">
            <v>43283</v>
          </cell>
          <cell r="B1832">
            <v>49.06</v>
          </cell>
        </row>
        <row r="1833">
          <cell r="A1833">
            <v>43280</v>
          </cell>
          <cell r="B1833">
            <v>48.85</v>
          </cell>
        </row>
        <row r="1834">
          <cell r="A1834">
            <v>43279</v>
          </cell>
          <cell r="B1834">
            <v>48.54</v>
          </cell>
        </row>
        <row r="1835">
          <cell r="A1835">
            <v>43278</v>
          </cell>
          <cell r="B1835">
            <v>49.84</v>
          </cell>
        </row>
        <row r="1836">
          <cell r="A1836">
            <v>43277</v>
          </cell>
          <cell r="B1836">
            <v>50.38</v>
          </cell>
        </row>
        <row r="1837">
          <cell r="A1837">
            <v>43276</v>
          </cell>
          <cell r="B1837">
            <v>50.66</v>
          </cell>
        </row>
        <row r="1838">
          <cell r="A1838">
            <v>43273</v>
          </cell>
          <cell r="B1838">
            <v>51.24</v>
          </cell>
        </row>
        <row r="1839">
          <cell r="A1839">
            <v>43272</v>
          </cell>
          <cell r="B1839">
            <v>50.62</v>
          </cell>
        </row>
        <row r="1840">
          <cell r="A1840">
            <v>43271</v>
          </cell>
          <cell r="B1840">
            <v>52.22</v>
          </cell>
        </row>
        <row r="1841">
          <cell r="A1841">
            <v>43270</v>
          </cell>
          <cell r="B1841">
            <v>57.43</v>
          </cell>
        </row>
        <row r="1842">
          <cell r="A1842">
            <v>43269</v>
          </cell>
          <cell r="B1842">
            <v>57.22</v>
          </cell>
        </row>
        <row r="1843">
          <cell r="A1843">
            <v>43266</v>
          </cell>
          <cell r="B1843">
            <v>57.11</v>
          </cell>
        </row>
        <row r="1844">
          <cell r="A1844">
            <v>43265</v>
          </cell>
          <cell r="B1844">
            <v>57.02</v>
          </cell>
        </row>
        <row r="1845">
          <cell r="A1845">
            <v>43264</v>
          </cell>
          <cell r="B1845">
            <v>56.21</v>
          </cell>
        </row>
        <row r="1846">
          <cell r="A1846">
            <v>43263</v>
          </cell>
          <cell r="B1846">
            <v>56.48</v>
          </cell>
        </row>
        <row r="1847">
          <cell r="A1847">
            <v>43262</v>
          </cell>
          <cell r="B1847">
            <v>56.48</v>
          </cell>
        </row>
        <row r="1848">
          <cell r="A1848">
            <v>43259</v>
          </cell>
          <cell r="B1848">
            <v>56.6</v>
          </cell>
        </row>
        <row r="1849">
          <cell r="A1849">
            <v>43258</v>
          </cell>
          <cell r="B1849">
            <v>57.14</v>
          </cell>
        </row>
        <row r="1850">
          <cell r="A1850">
            <v>43257</v>
          </cell>
          <cell r="B1850">
            <v>57.17</v>
          </cell>
        </row>
        <row r="1851">
          <cell r="A1851">
            <v>43256</v>
          </cell>
          <cell r="B1851">
            <v>55.68</v>
          </cell>
        </row>
        <row r="1852">
          <cell r="A1852">
            <v>43255</v>
          </cell>
          <cell r="B1852">
            <v>57.07</v>
          </cell>
        </row>
        <row r="1853">
          <cell r="A1853">
            <v>43252</v>
          </cell>
          <cell r="B1853">
            <v>56.91</v>
          </cell>
        </row>
        <row r="1854">
          <cell r="A1854">
            <v>43251</v>
          </cell>
          <cell r="B1854">
            <v>56.67</v>
          </cell>
        </row>
        <row r="1855">
          <cell r="A1855">
            <v>43250</v>
          </cell>
          <cell r="B1855">
            <v>57.48</v>
          </cell>
        </row>
        <row r="1856">
          <cell r="A1856">
            <v>43249</v>
          </cell>
          <cell r="B1856">
            <v>57.23</v>
          </cell>
        </row>
        <row r="1857">
          <cell r="A1857">
            <v>43245</v>
          </cell>
          <cell r="B1857">
            <v>57.92</v>
          </cell>
        </row>
        <row r="1858">
          <cell r="A1858">
            <v>43244</v>
          </cell>
          <cell r="B1858">
            <v>57.68</v>
          </cell>
        </row>
        <row r="1859">
          <cell r="A1859">
            <v>43243</v>
          </cell>
          <cell r="B1859">
            <v>57.49</v>
          </cell>
        </row>
        <row r="1860">
          <cell r="A1860">
            <v>43242</v>
          </cell>
          <cell r="B1860">
            <v>56.96</v>
          </cell>
        </row>
        <row r="1861">
          <cell r="A1861">
            <v>43241</v>
          </cell>
          <cell r="B1861">
            <v>57.34</v>
          </cell>
        </row>
        <row r="1862">
          <cell r="A1862">
            <v>43238</v>
          </cell>
          <cell r="B1862">
            <v>57.16</v>
          </cell>
        </row>
        <row r="1863">
          <cell r="A1863">
            <v>43237</v>
          </cell>
          <cell r="B1863">
            <v>57.2</v>
          </cell>
        </row>
        <row r="1864">
          <cell r="A1864">
            <v>43236</v>
          </cell>
          <cell r="B1864">
            <v>57.15</v>
          </cell>
        </row>
        <row r="1865">
          <cell r="A1865">
            <v>43235</v>
          </cell>
          <cell r="B1865">
            <v>56.64</v>
          </cell>
        </row>
        <row r="1866">
          <cell r="A1866">
            <v>43234</v>
          </cell>
          <cell r="B1866">
            <v>57.13</v>
          </cell>
        </row>
        <row r="1867">
          <cell r="A1867">
            <v>43231</v>
          </cell>
          <cell r="B1867">
            <v>57.27</v>
          </cell>
        </row>
        <row r="1868">
          <cell r="A1868">
            <v>43230</v>
          </cell>
          <cell r="B1868">
            <v>57.65</v>
          </cell>
        </row>
        <row r="1869">
          <cell r="A1869">
            <v>43229</v>
          </cell>
          <cell r="B1869">
            <v>57.04</v>
          </cell>
        </row>
        <row r="1870">
          <cell r="A1870">
            <v>43228</v>
          </cell>
          <cell r="B1870">
            <v>57.67</v>
          </cell>
        </row>
        <row r="1871">
          <cell r="A1871">
            <v>43227</v>
          </cell>
          <cell r="B1871">
            <v>57.45</v>
          </cell>
        </row>
        <row r="1872">
          <cell r="A1872">
            <v>43224</v>
          </cell>
          <cell r="B1872">
            <v>57.68</v>
          </cell>
        </row>
        <row r="1873">
          <cell r="A1873">
            <v>43223</v>
          </cell>
          <cell r="B1873">
            <v>56.13</v>
          </cell>
        </row>
        <row r="1874">
          <cell r="A1874">
            <v>43222</v>
          </cell>
          <cell r="B1874">
            <v>56.7</v>
          </cell>
        </row>
        <row r="1875">
          <cell r="A1875">
            <v>43221</v>
          </cell>
          <cell r="B1875">
            <v>58.13</v>
          </cell>
        </row>
        <row r="1876">
          <cell r="A1876">
            <v>43220</v>
          </cell>
          <cell r="B1876">
            <v>57.57</v>
          </cell>
        </row>
        <row r="1877">
          <cell r="A1877">
            <v>43217</v>
          </cell>
          <cell r="B1877">
            <v>58.36</v>
          </cell>
        </row>
        <row r="1878">
          <cell r="A1878">
            <v>43216</v>
          </cell>
          <cell r="B1878">
            <v>59.38</v>
          </cell>
        </row>
        <row r="1879">
          <cell r="A1879">
            <v>43215</v>
          </cell>
          <cell r="B1879">
            <v>57.71</v>
          </cell>
        </row>
        <row r="1880">
          <cell r="A1880">
            <v>43214</v>
          </cell>
          <cell r="B1880">
            <v>57.81</v>
          </cell>
        </row>
        <row r="1881">
          <cell r="A1881">
            <v>43213</v>
          </cell>
          <cell r="B1881">
            <v>58.16</v>
          </cell>
        </row>
        <row r="1882">
          <cell r="A1882">
            <v>43210</v>
          </cell>
          <cell r="B1882">
            <v>58</v>
          </cell>
        </row>
        <row r="1883">
          <cell r="A1883">
            <v>43209</v>
          </cell>
          <cell r="B1883">
            <v>59.22</v>
          </cell>
        </row>
        <row r="1884">
          <cell r="A1884">
            <v>43208</v>
          </cell>
          <cell r="B1884">
            <v>59.5</v>
          </cell>
        </row>
        <row r="1885">
          <cell r="A1885">
            <v>43207</v>
          </cell>
          <cell r="B1885">
            <v>59.83</v>
          </cell>
        </row>
        <row r="1886">
          <cell r="A1886">
            <v>43206</v>
          </cell>
          <cell r="B1886">
            <v>59.43</v>
          </cell>
        </row>
        <row r="1887">
          <cell r="A1887">
            <v>43203</v>
          </cell>
          <cell r="B1887">
            <v>59.24</v>
          </cell>
        </row>
        <row r="1888">
          <cell r="A1888">
            <v>43202</v>
          </cell>
          <cell r="B1888">
            <v>59.43</v>
          </cell>
        </row>
        <row r="1889">
          <cell r="A1889">
            <v>43201</v>
          </cell>
          <cell r="B1889">
            <v>59.42</v>
          </cell>
        </row>
        <row r="1890">
          <cell r="A1890">
            <v>43200</v>
          </cell>
          <cell r="B1890">
            <v>59.41</v>
          </cell>
        </row>
        <row r="1891">
          <cell r="A1891">
            <v>43199</v>
          </cell>
          <cell r="B1891">
            <v>58.7</v>
          </cell>
        </row>
        <row r="1892">
          <cell r="A1892">
            <v>43196</v>
          </cell>
          <cell r="B1892">
            <v>58.34</v>
          </cell>
        </row>
        <row r="1893">
          <cell r="A1893">
            <v>43195</v>
          </cell>
          <cell r="B1893">
            <v>59.14</v>
          </cell>
        </row>
        <row r="1894">
          <cell r="A1894">
            <v>43194</v>
          </cell>
          <cell r="B1894">
            <v>58.83</v>
          </cell>
        </row>
        <row r="1895">
          <cell r="A1895">
            <v>43193</v>
          </cell>
          <cell r="B1895">
            <v>58</v>
          </cell>
        </row>
        <row r="1896">
          <cell r="A1896">
            <v>43192</v>
          </cell>
          <cell r="B1896">
            <v>56.24</v>
          </cell>
        </row>
        <row r="1897">
          <cell r="A1897">
            <v>43188</v>
          </cell>
          <cell r="B1897">
            <v>57.89</v>
          </cell>
        </row>
        <row r="1898">
          <cell r="A1898">
            <v>43187</v>
          </cell>
          <cell r="B1898">
            <v>57.9</v>
          </cell>
        </row>
        <row r="1899">
          <cell r="A1899">
            <v>43186</v>
          </cell>
          <cell r="B1899">
            <v>57.46</v>
          </cell>
        </row>
        <row r="1900">
          <cell r="A1900">
            <v>43185</v>
          </cell>
          <cell r="B1900">
            <v>57.8</v>
          </cell>
        </row>
        <row r="1901">
          <cell r="A1901">
            <v>43182</v>
          </cell>
          <cell r="B1901">
            <v>56.31</v>
          </cell>
        </row>
        <row r="1902">
          <cell r="A1902">
            <v>43181</v>
          </cell>
          <cell r="B1902">
            <v>57.77</v>
          </cell>
        </row>
        <row r="1903">
          <cell r="A1903">
            <v>43180</v>
          </cell>
          <cell r="B1903">
            <v>58.47</v>
          </cell>
        </row>
        <row r="1904">
          <cell r="A1904">
            <v>43179</v>
          </cell>
          <cell r="B1904">
            <v>58.66</v>
          </cell>
        </row>
        <row r="1905">
          <cell r="A1905">
            <v>43178</v>
          </cell>
          <cell r="B1905">
            <v>58.3</v>
          </cell>
        </row>
        <row r="1906">
          <cell r="A1906">
            <v>43175</v>
          </cell>
          <cell r="B1906">
            <v>59</v>
          </cell>
        </row>
        <row r="1907">
          <cell r="A1907">
            <v>43174</v>
          </cell>
          <cell r="B1907">
            <v>59.37</v>
          </cell>
        </row>
        <row r="1908">
          <cell r="A1908">
            <v>43173</v>
          </cell>
          <cell r="B1908">
            <v>58.83</v>
          </cell>
        </row>
        <row r="1909">
          <cell r="A1909">
            <v>43172</v>
          </cell>
          <cell r="B1909">
            <v>59.05</v>
          </cell>
        </row>
        <row r="1910">
          <cell r="A1910">
            <v>43171</v>
          </cell>
          <cell r="B1910">
            <v>59.4</v>
          </cell>
        </row>
        <row r="1911">
          <cell r="A1911">
            <v>43168</v>
          </cell>
          <cell r="B1911">
            <v>58.46</v>
          </cell>
        </row>
        <row r="1912">
          <cell r="A1912">
            <v>43167</v>
          </cell>
          <cell r="B1912">
            <v>57.47</v>
          </cell>
        </row>
        <row r="1913">
          <cell r="A1913">
            <v>43166</v>
          </cell>
          <cell r="B1913">
            <v>57.03</v>
          </cell>
        </row>
        <row r="1914">
          <cell r="A1914">
            <v>43165</v>
          </cell>
          <cell r="B1914">
            <v>57.03</v>
          </cell>
        </row>
        <row r="1915">
          <cell r="A1915">
            <v>43164</v>
          </cell>
          <cell r="B1915">
            <v>56.99</v>
          </cell>
        </row>
        <row r="1916">
          <cell r="A1916">
            <v>43161</v>
          </cell>
          <cell r="B1916">
            <v>56.93</v>
          </cell>
        </row>
        <row r="1917">
          <cell r="A1917">
            <v>43160</v>
          </cell>
          <cell r="B1917">
            <v>56.17</v>
          </cell>
        </row>
        <row r="1918">
          <cell r="A1918">
            <v>43159</v>
          </cell>
          <cell r="B1918">
            <v>57.1</v>
          </cell>
        </row>
        <row r="1919">
          <cell r="A1919">
            <v>43158</v>
          </cell>
          <cell r="B1919">
            <v>56.57</v>
          </cell>
        </row>
        <row r="1920">
          <cell r="A1920">
            <v>43157</v>
          </cell>
          <cell r="B1920">
            <v>57.17</v>
          </cell>
        </row>
        <row r="1921">
          <cell r="A1921">
            <v>43154</v>
          </cell>
          <cell r="B1921">
            <v>56.14</v>
          </cell>
        </row>
        <row r="1922">
          <cell r="A1922">
            <v>43153</v>
          </cell>
          <cell r="B1922">
            <v>55.4</v>
          </cell>
        </row>
        <row r="1923">
          <cell r="A1923">
            <v>43152</v>
          </cell>
          <cell r="B1923">
            <v>56.1</v>
          </cell>
        </row>
        <row r="1924">
          <cell r="A1924">
            <v>43151</v>
          </cell>
          <cell r="B1924">
            <v>55.97</v>
          </cell>
        </row>
        <row r="1925">
          <cell r="A1925">
            <v>43147</v>
          </cell>
          <cell r="B1925">
            <v>56.48</v>
          </cell>
        </row>
        <row r="1926">
          <cell r="A1926">
            <v>43146</v>
          </cell>
          <cell r="B1926">
            <v>56.58</v>
          </cell>
        </row>
        <row r="1927">
          <cell r="A1927">
            <v>43145</v>
          </cell>
          <cell r="B1927">
            <v>55.99</v>
          </cell>
        </row>
        <row r="1928">
          <cell r="A1928">
            <v>43144</v>
          </cell>
          <cell r="B1928">
            <v>55.67</v>
          </cell>
        </row>
        <row r="1929">
          <cell r="A1929">
            <v>43143</v>
          </cell>
          <cell r="B1929">
            <v>55.38</v>
          </cell>
        </row>
        <row r="1930">
          <cell r="A1930">
            <v>43140</v>
          </cell>
          <cell r="B1930">
            <v>54.58</v>
          </cell>
        </row>
        <row r="1931">
          <cell r="A1931">
            <v>43139</v>
          </cell>
          <cell r="B1931">
            <v>53.77</v>
          </cell>
        </row>
        <row r="1932">
          <cell r="A1932">
            <v>43138</v>
          </cell>
          <cell r="B1932">
            <v>54.46</v>
          </cell>
        </row>
        <row r="1933">
          <cell r="A1933">
            <v>43137</v>
          </cell>
          <cell r="B1933">
            <v>55.61</v>
          </cell>
        </row>
        <row r="1934">
          <cell r="A1934">
            <v>43136</v>
          </cell>
          <cell r="B1934">
            <v>54.69</v>
          </cell>
        </row>
        <row r="1935">
          <cell r="A1935">
            <v>43133</v>
          </cell>
          <cell r="B1935">
            <v>55.77</v>
          </cell>
        </row>
        <row r="1936">
          <cell r="A1936">
            <v>43132</v>
          </cell>
          <cell r="B1936">
            <v>56</v>
          </cell>
        </row>
        <row r="1937">
          <cell r="A1937">
            <v>43131</v>
          </cell>
          <cell r="B1937">
            <v>56.81</v>
          </cell>
        </row>
        <row r="1938">
          <cell r="A1938">
            <v>43130</v>
          </cell>
          <cell r="B1938">
            <v>57.19</v>
          </cell>
        </row>
        <row r="1939">
          <cell r="A1939">
            <v>43129</v>
          </cell>
          <cell r="B1939">
            <v>57.02</v>
          </cell>
        </row>
        <row r="1940">
          <cell r="A1940">
            <v>43126</v>
          </cell>
          <cell r="B1940">
            <v>57.99</v>
          </cell>
        </row>
        <row r="1941">
          <cell r="A1941">
            <v>43125</v>
          </cell>
          <cell r="B1941">
            <v>60.55</v>
          </cell>
        </row>
        <row r="1942">
          <cell r="A1942">
            <v>43124</v>
          </cell>
          <cell r="B1942">
            <v>60.83</v>
          </cell>
        </row>
        <row r="1943">
          <cell r="A1943">
            <v>43123</v>
          </cell>
          <cell r="B1943">
            <v>61.69</v>
          </cell>
        </row>
        <row r="1944">
          <cell r="A1944">
            <v>43122</v>
          </cell>
          <cell r="B1944">
            <v>61.41</v>
          </cell>
        </row>
        <row r="1945">
          <cell r="A1945">
            <v>43119</v>
          </cell>
          <cell r="B1945">
            <v>61.26</v>
          </cell>
        </row>
        <row r="1946">
          <cell r="A1946">
            <v>43118</v>
          </cell>
          <cell r="B1946">
            <v>61.09</v>
          </cell>
        </row>
        <row r="1947">
          <cell r="A1947">
            <v>43117</v>
          </cell>
          <cell r="B1947">
            <v>60.66</v>
          </cell>
        </row>
        <row r="1948">
          <cell r="A1948">
            <v>43116</v>
          </cell>
          <cell r="B1948">
            <v>60.56</v>
          </cell>
        </row>
        <row r="1949">
          <cell r="A1949">
            <v>43112</v>
          </cell>
          <cell r="B1949">
            <v>60.4</v>
          </cell>
        </row>
        <row r="1950">
          <cell r="A1950">
            <v>43111</v>
          </cell>
          <cell r="B1950">
            <v>60</v>
          </cell>
        </row>
        <row r="1951">
          <cell r="A1951">
            <v>43110</v>
          </cell>
          <cell r="B1951">
            <v>59.82</v>
          </cell>
        </row>
        <row r="1952">
          <cell r="A1952">
            <v>43109</v>
          </cell>
          <cell r="B1952">
            <v>59.18</v>
          </cell>
        </row>
        <row r="1953">
          <cell r="A1953">
            <v>43108</v>
          </cell>
          <cell r="B1953">
            <v>59.31</v>
          </cell>
        </row>
        <row r="1954">
          <cell r="A1954">
            <v>43105</v>
          </cell>
          <cell r="B1954">
            <v>59.61</v>
          </cell>
        </row>
        <row r="1955">
          <cell r="A1955">
            <v>43104</v>
          </cell>
          <cell r="B1955">
            <v>58.93</v>
          </cell>
        </row>
        <row r="1956">
          <cell r="A1956">
            <v>43103</v>
          </cell>
          <cell r="B1956">
            <v>58.71</v>
          </cell>
        </row>
        <row r="1957">
          <cell r="A1957">
            <v>43102</v>
          </cell>
          <cell r="B1957">
            <v>57.63</v>
          </cell>
        </row>
        <row r="1958">
          <cell r="A1958">
            <v>43098</v>
          </cell>
          <cell r="B1958">
            <v>57.43</v>
          </cell>
        </row>
        <row r="1959">
          <cell r="A1959">
            <v>43097</v>
          </cell>
          <cell r="B1959">
            <v>57.81</v>
          </cell>
        </row>
        <row r="1960">
          <cell r="A1960">
            <v>43096</v>
          </cell>
          <cell r="B1960">
            <v>57.27</v>
          </cell>
        </row>
        <row r="1961">
          <cell r="A1961">
            <v>43095</v>
          </cell>
          <cell r="B1961">
            <v>57.14</v>
          </cell>
        </row>
        <row r="1962">
          <cell r="A1962">
            <v>43091</v>
          </cell>
          <cell r="B1962">
            <v>57.3</v>
          </cell>
        </row>
        <row r="1963">
          <cell r="A1963">
            <v>43090</v>
          </cell>
          <cell r="B1963">
            <v>57.58</v>
          </cell>
        </row>
        <row r="1964">
          <cell r="A1964">
            <v>43089</v>
          </cell>
          <cell r="B1964">
            <v>57.73</v>
          </cell>
        </row>
        <row r="1965">
          <cell r="A1965">
            <v>43088</v>
          </cell>
          <cell r="B1965">
            <v>58.01</v>
          </cell>
        </row>
        <row r="1966">
          <cell r="A1966">
            <v>43087</v>
          </cell>
          <cell r="B1966">
            <v>58.03</v>
          </cell>
        </row>
        <row r="1967">
          <cell r="A1967">
            <v>43084</v>
          </cell>
          <cell r="B1967">
            <v>58.29</v>
          </cell>
        </row>
        <row r="1968">
          <cell r="A1968">
            <v>43083</v>
          </cell>
          <cell r="B1968">
            <v>59.7</v>
          </cell>
        </row>
        <row r="1969">
          <cell r="A1969">
            <v>43082</v>
          </cell>
          <cell r="B1969">
            <v>59.49</v>
          </cell>
        </row>
        <row r="1970">
          <cell r="A1970">
            <v>43081</v>
          </cell>
          <cell r="B1970">
            <v>59.27</v>
          </cell>
        </row>
        <row r="1971">
          <cell r="A1971">
            <v>43080</v>
          </cell>
          <cell r="B1971">
            <v>59.07</v>
          </cell>
        </row>
        <row r="1972">
          <cell r="A1972">
            <v>43077</v>
          </cell>
          <cell r="B1972">
            <v>58.61</v>
          </cell>
        </row>
        <row r="1973">
          <cell r="A1973">
            <v>43076</v>
          </cell>
          <cell r="B1973">
            <v>59.14</v>
          </cell>
        </row>
        <row r="1974">
          <cell r="A1974">
            <v>43075</v>
          </cell>
          <cell r="B1974">
            <v>59.28</v>
          </cell>
        </row>
        <row r="1975">
          <cell r="A1975">
            <v>43074</v>
          </cell>
          <cell r="B1975">
            <v>59.34</v>
          </cell>
        </row>
        <row r="1976">
          <cell r="A1976">
            <v>43073</v>
          </cell>
          <cell r="B1976">
            <v>58.76</v>
          </cell>
        </row>
        <row r="1977">
          <cell r="A1977">
            <v>43070</v>
          </cell>
          <cell r="B1977">
            <v>57.32</v>
          </cell>
        </row>
        <row r="1978">
          <cell r="A1978">
            <v>43069</v>
          </cell>
          <cell r="B1978">
            <v>57.82</v>
          </cell>
        </row>
        <row r="1979">
          <cell r="A1979">
            <v>43068</v>
          </cell>
          <cell r="B1979">
            <v>57.51</v>
          </cell>
        </row>
        <row r="1980">
          <cell r="A1980">
            <v>43067</v>
          </cell>
          <cell r="B1980">
            <v>56.66</v>
          </cell>
        </row>
        <row r="1981">
          <cell r="A1981">
            <v>43066</v>
          </cell>
          <cell r="B1981">
            <v>55.91</v>
          </cell>
        </row>
        <row r="1982">
          <cell r="A1982">
            <v>43063</v>
          </cell>
          <cell r="B1982">
            <v>56.8</v>
          </cell>
        </row>
        <row r="1983">
          <cell r="A1983">
            <v>43061</v>
          </cell>
          <cell r="B1983">
            <v>57.14</v>
          </cell>
        </row>
        <row r="1984">
          <cell r="A1984">
            <v>43060</v>
          </cell>
          <cell r="B1984">
            <v>57.26</v>
          </cell>
        </row>
        <row r="1985">
          <cell r="A1985">
            <v>43059</v>
          </cell>
          <cell r="B1985">
            <v>56.81</v>
          </cell>
        </row>
        <row r="1986">
          <cell r="A1986">
            <v>43056</v>
          </cell>
          <cell r="B1986">
            <v>56.93</v>
          </cell>
        </row>
        <row r="1987">
          <cell r="A1987">
            <v>43055</v>
          </cell>
          <cell r="B1987">
            <v>57.24</v>
          </cell>
        </row>
        <row r="1988">
          <cell r="A1988">
            <v>43054</v>
          </cell>
          <cell r="B1988">
            <v>56.7</v>
          </cell>
        </row>
        <row r="1989">
          <cell r="A1989">
            <v>43053</v>
          </cell>
          <cell r="B1989">
            <v>56.93</v>
          </cell>
        </row>
        <row r="1990">
          <cell r="A1990">
            <v>43052</v>
          </cell>
          <cell r="B1990">
            <v>56.64</v>
          </cell>
        </row>
        <row r="1991">
          <cell r="A1991">
            <v>43049</v>
          </cell>
          <cell r="B1991">
            <v>57.04</v>
          </cell>
        </row>
        <row r="1992">
          <cell r="A1992">
            <v>43048</v>
          </cell>
          <cell r="B1992">
            <v>57.36</v>
          </cell>
        </row>
        <row r="1993">
          <cell r="A1993">
            <v>43047</v>
          </cell>
          <cell r="B1993">
            <v>57.91</v>
          </cell>
        </row>
        <row r="1994">
          <cell r="A1994">
            <v>43046</v>
          </cell>
          <cell r="B1994">
            <v>57.22</v>
          </cell>
        </row>
        <row r="1995">
          <cell r="A1995">
            <v>43045</v>
          </cell>
          <cell r="B1995">
            <v>56.57</v>
          </cell>
        </row>
        <row r="1996">
          <cell r="A1996">
            <v>43042</v>
          </cell>
          <cell r="B1996">
            <v>56.03</v>
          </cell>
        </row>
        <row r="1997">
          <cell r="A1997">
            <v>43041</v>
          </cell>
          <cell r="B1997">
            <v>54.87</v>
          </cell>
        </row>
        <row r="1998">
          <cell r="A1998">
            <v>43040</v>
          </cell>
          <cell r="B1998">
            <v>55.13</v>
          </cell>
        </row>
        <row r="1999">
          <cell r="A1999">
            <v>43039</v>
          </cell>
          <cell r="B1999">
            <v>54.84</v>
          </cell>
        </row>
        <row r="2000">
          <cell r="A2000">
            <v>43038</v>
          </cell>
          <cell r="B2000">
            <v>55.17</v>
          </cell>
        </row>
        <row r="2001">
          <cell r="A2001">
            <v>43035</v>
          </cell>
          <cell r="B2001">
            <v>54.88</v>
          </cell>
        </row>
        <row r="2002">
          <cell r="A2002">
            <v>43034</v>
          </cell>
          <cell r="B2002">
            <v>54.91</v>
          </cell>
        </row>
        <row r="2003">
          <cell r="A2003">
            <v>43033</v>
          </cell>
          <cell r="B2003">
            <v>54.16</v>
          </cell>
        </row>
        <row r="2004">
          <cell r="A2004">
            <v>43032</v>
          </cell>
          <cell r="B2004">
            <v>54.28</v>
          </cell>
        </row>
        <row r="2005">
          <cell r="A2005">
            <v>43031</v>
          </cell>
          <cell r="B2005">
            <v>54.27</v>
          </cell>
        </row>
        <row r="2006">
          <cell r="A2006">
            <v>43028</v>
          </cell>
          <cell r="B2006">
            <v>54.57</v>
          </cell>
        </row>
        <row r="2007">
          <cell r="A2007">
            <v>43027</v>
          </cell>
          <cell r="B2007">
            <v>55.4</v>
          </cell>
        </row>
        <row r="2008">
          <cell r="A2008">
            <v>43026</v>
          </cell>
          <cell r="B2008">
            <v>55.21</v>
          </cell>
        </row>
        <row r="2009">
          <cell r="A2009">
            <v>43025</v>
          </cell>
          <cell r="B2009">
            <v>54.51</v>
          </cell>
        </row>
        <row r="2010">
          <cell r="A2010">
            <v>43024</v>
          </cell>
          <cell r="B2010">
            <v>54.91</v>
          </cell>
        </row>
        <row r="2011">
          <cell r="A2011">
            <v>43021</v>
          </cell>
          <cell r="B2011">
            <v>55.72</v>
          </cell>
        </row>
        <row r="2012">
          <cell r="A2012">
            <v>43020</v>
          </cell>
          <cell r="B2012">
            <v>55.97</v>
          </cell>
        </row>
        <row r="2013">
          <cell r="A2013">
            <v>43019</v>
          </cell>
          <cell r="B2013">
            <v>55.64</v>
          </cell>
        </row>
        <row r="2014">
          <cell r="A2014">
            <v>43018</v>
          </cell>
          <cell r="B2014">
            <v>55.42</v>
          </cell>
        </row>
        <row r="2015">
          <cell r="A2015">
            <v>43017</v>
          </cell>
          <cell r="B2015">
            <v>55.02</v>
          </cell>
        </row>
        <row r="2016">
          <cell r="A2016">
            <v>43014</v>
          </cell>
          <cell r="B2016">
            <v>55.17</v>
          </cell>
        </row>
        <row r="2017">
          <cell r="A2017">
            <v>43013</v>
          </cell>
          <cell r="B2017">
            <v>54.6</v>
          </cell>
        </row>
        <row r="2018">
          <cell r="A2018">
            <v>43012</v>
          </cell>
          <cell r="B2018">
            <v>53.93</v>
          </cell>
        </row>
        <row r="2019">
          <cell r="A2019">
            <v>43011</v>
          </cell>
          <cell r="B2019">
            <v>53.99</v>
          </cell>
        </row>
        <row r="2020">
          <cell r="A2020">
            <v>43010</v>
          </cell>
          <cell r="B2020">
            <v>53.81</v>
          </cell>
        </row>
        <row r="2021">
          <cell r="A2021">
            <v>43007</v>
          </cell>
          <cell r="B2021">
            <v>53.71</v>
          </cell>
        </row>
        <row r="2022">
          <cell r="A2022">
            <v>43006</v>
          </cell>
          <cell r="B2022">
            <v>54.5</v>
          </cell>
        </row>
        <row r="2023">
          <cell r="A2023">
            <v>43005</v>
          </cell>
          <cell r="B2023">
            <v>54.99</v>
          </cell>
        </row>
        <row r="2024">
          <cell r="A2024">
            <v>43004</v>
          </cell>
          <cell r="B2024">
            <v>55.13</v>
          </cell>
        </row>
        <row r="2025">
          <cell r="A2025">
            <v>43003</v>
          </cell>
          <cell r="B2025">
            <v>54.95</v>
          </cell>
        </row>
        <row r="2026">
          <cell r="A2026">
            <v>43000</v>
          </cell>
          <cell r="B2026">
            <v>55.09</v>
          </cell>
        </row>
        <row r="2027">
          <cell r="A2027">
            <v>42999</v>
          </cell>
          <cell r="B2027">
            <v>55.01</v>
          </cell>
        </row>
        <row r="2028">
          <cell r="A2028">
            <v>42998</v>
          </cell>
          <cell r="B2028">
            <v>55.15</v>
          </cell>
        </row>
        <row r="2029">
          <cell r="A2029">
            <v>42997</v>
          </cell>
          <cell r="B2029">
            <v>54.62</v>
          </cell>
        </row>
        <row r="2030">
          <cell r="A2030">
            <v>42996</v>
          </cell>
          <cell r="B2030">
            <v>54.69</v>
          </cell>
        </row>
        <row r="2031">
          <cell r="A2031">
            <v>42993</v>
          </cell>
          <cell r="B2031">
            <v>54.67</v>
          </cell>
        </row>
        <row r="2032">
          <cell r="A2032">
            <v>42992</v>
          </cell>
          <cell r="B2032">
            <v>54.53</v>
          </cell>
        </row>
        <row r="2033">
          <cell r="A2033">
            <v>42991</v>
          </cell>
          <cell r="B2033">
            <v>54.29</v>
          </cell>
        </row>
        <row r="2034">
          <cell r="A2034">
            <v>42990</v>
          </cell>
          <cell r="B2034">
            <v>53.54</v>
          </cell>
        </row>
        <row r="2035">
          <cell r="A2035">
            <v>42989</v>
          </cell>
          <cell r="B2035">
            <v>54.02</v>
          </cell>
        </row>
        <row r="2036">
          <cell r="A2036">
            <v>42986</v>
          </cell>
          <cell r="B2036">
            <v>53.49</v>
          </cell>
        </row>
        <row r="2037">
          <cell r="A2037">
            <v>42985</v>
          </cell>
          <cell r="B2037">
            <v>53.47</v>
          </cell>
        </row>
        <row r="2038">
          <cell r="A2038">
            <v>42984</v>
          </cell>
          <cell r="B2038">
            <v>54.31</v>
          </cell>
        </row>
        <row r="2039">
          <cell r="A2039">
            <v>42983</v>
          </cell>
          <cell r="B2039">
            <v>55.13</v>
          </cell>
        </row>
        <row r="2040">
          <cell r="A2040">
            <v>42979</v>
          </cell>
          <cell r="B2040">
            <v>54.93</v>
          </cell>
        </row>
        <row r="2041">
          <cell r="A2041">
            <v>42978</v>
          </cell>
          <cell r="B2041">
            <v>54.86</v>
          </cell>
        </row>
        <row r="2042">
          <cell r="A2042">
            <v>42977</v>
          </cell>
          <cell r="B2042">
            <v>54.52</v>
          </cell>
        </row>
        <row r="2043">
          <cell r="A2043">
            <v>42976</v>
          </cell>
          <cell r="B2043">
            <v>54.1</v>
          </cell>
        </row>
        <row r="2044">
          <cell r="A2044">
            <v>42975</v>
          </cell>
          <cell r="B2044">
            <v>54.4</v>
          </cell>
        </row>
        <row r="2045">
          <cell r="A2045">
            <v>42972</v>
          </cell>
          <cell r="B2045">
            <v>54.36</v>
          </cell>
        </row>
        <row r="2046">
          <cell r="A2046">
            <v>42971</v>
          </cell>
          <cell r="B2046">
            <v>53.94</v>
          </cell>
        </row>
        <row r="2047">
          <cell r="A2047">
            <v>42970</v>
          </cell>
          <cell r="B2047">
            <v>54.08</v>
          </cell>
        </row>
        <row r="2048">
          <cell r="A2048">
            <v>42969</v>
          </cell>
          <cell r="B2048">
            <v>54.45</v>
          </cell>
        </row>
        <row r="2049">
          <cell r="A2049">
            <v>42968</v>
          </cell>
          <cell r="B2049">
            <v>53.15</v>
          </cell>
        </row>
        <row r="2050">
          <cell r="A2050">
            <v>42965</v>
          </cell>
          <cell r="B2050">
            <v>52.7</v>
          </cell>
        </row>
        <row r="2051">
          <cell r="A2051">
            <v>42964</v>
          </cell>
          <cell r="B2051">
            <v>53.04</v>
          </cell>
        </row>
        <row r="2052">
          <cell r="A2052">
            <v>42963</v>
          </cell>
          <cell r="B2052">
            <v>53.5</v>
          </cell>
        </row>
        <row r="2053">
          <cell r="A2053">
            <v>42962</v>
          </cell>
          <cell r="B2053">
            <v>53.15</v>
          </cell>
        </row>
        <row r="2054">
          <cell r="A2054">
            <v>42961</v>
          </cell>
          <cell r="B2054">
            <v>53.22</v>
          </cell>
        </row>
        <row r="2055">
          <cell r="A2055">
            <v>42958</v>
          </cell>
          <cell r="B2055">
            <v>53.18</v>
          </cell>
        </row>
        <row r="2056">
          <cell r="A2056">
            <v>42957</v>
          </cell>
          <cell r="B2056">
            <v>53.07</v>
          </cell>
        </row>
        <row r="2057">
          <cell r="A2057">
            <v>42956</v>
          </cell>
          <cell r="B2057">
            <v>53.74</v>
          </cell>
        </row>
        <row r="2058">
          <cell r="A2058">
            <v>42955</v>
          </cell>
          <cell r="B2058">
            <v>54.52</v>
          </cell>
        </row>
        <row r="2059">
          <cell r="A2059">
            <v>42954</v>
          </cell>
          <cell r="B2059">
            <v>55.63</v>
          </cell>
        </row>
        <row r="2060">
          <cell r="A2060">
            <v>42951</v>
          </cell>
          <cell r="B2060">
            <v>55.44</v>
          </cell>
        </row>
        <row r="2061">
          <cell r="A2061">
            <v>42950</v>
          </cell>
          <cell r="B2061">
            <v>55.68</v>
          </cell>
        </row>
        <row r="2062">
          <cell r="A2062">
            <v>42949</v>
          </cell>
          <cell r="B2062">
            <v>55.43</v>
          </cell>
        </row>
        <row r="2063">
          <cell r="A2063">
            <v>42948</v>
          </cell>
          <cell r="B2063">
            <v>54.73</v>
          </cell>
        </row>
        <row r="2064">
          <cell r="A2064">
            <v>42947</v>
          </cell>
          <cell r="B2064">
            <v>53.98</v>
          </cell>
        </row>
        <row r="2065">
          <cell r="A2065">
            <v>42944</v>
          </cell>
          <cell r="B2065">
            <v>54</v>
          </cell>
        </row>
        <row r="2066">
          <cell r="A2066">
            <v>42943</v>
          </cell>
          <cell r="B2066">
            <v>59.5</v>
          </cell>
        </row>
        <row r="2067">
          <cell r="A2067">
            <v>42942</v>
          </cell>
          <cell r="B2067">
            <v>57.94</v>
          </cell>
        </row>
        <row r="2068">
          <cell r="A2068">
            <v>42941</v>
          </cell>
          <cell r="B2068">
            <v>58.55</v>
          </cell>
        </row>
        <row r="2069">
          <cell r="A2069">
            <v>42940</v>
          </cell>
          <cell r="B2069">
            <v>58.02</v>
          </cell>
        </row>
        <row r="2070">
          <cell r="A2070">
            <v>42937</v>
          </cell>
          <cell r="B2070">
            <v>57.98</v>
          </cell>
        </row>
        <row r="2071">
          <cell r="A2071">
            <v>42936</v>
          </cell>
          <cell r="B2071">
            <v>58.03</v>
          </cell>
        </row>
        <row r="2072">
          <cell r="A2072">
            <v>42935</v>
          </cell>
          <cell r="B2072">
            <v>58.11</v>
          </cell>
        </row>
        <row r="2073">
          <cell r="A2073">
            <v>42934</v>
          </cell>
          <cell r="B2073">
            <v>58.21</v>
          </cell>
        </row>
        <row r="2074">
          <cell r="A2074">
            <v>42933</v>
          </cell>
          <cell r="B2074">
            <v>58.33</v>
          </cell>
        </row>
        <row r="2075">
          <cell r="A2075">
            <v>42930</v>
          </cell>
          <cell r="B2075">
            <v>58.76</v>
          </cell>
        </row>
        <row r="2076">
          <cell r="A2076">
            <v>42929</v>
          </cell>
          <cell r="B2076">
            <v>58.38</v>
          </cell>
        </row>
        <row r="2077">
          <cell r="A2077">
            <v>42928</v>
          </cell>
          <cell r="B2077">
            <v>58.54</v>
          </cell>
        </row>
        <row r="2078">
          <cell r="A2078">
            <v>42927</v>
          </cell>
          <cell r="B2078">
            <v>57.9</v>
          </cell>
        </row>
        <row r="2079">
          <cell r="A2079">
            <v>42926</v>
          </cell>
          <cell r="B2079">
            <v>57.81</v>
          </cell>
        </row>
        <row r="2080">
          <cell r="A2080">
            <v>42923</v>
          </cell>
          <cell r="B2080">
            <v>58.04</v>
          </cell>
        </row>
        <row r="2081">
          <cell r="A2081">
            <v>42922</v>
          </cell>
          <cell r="B2081">
            <v>57.6</v>
          </cell>
        </row>
        <row r="2082">
          <cell r="A2082">
            <v>42921</v>
          </cell>
          <cell r="B2082">
            <v>57.94</v>
          </cell>
        </row>
        <row r="2083">
          <cell r="A2083">
            <v>42919</v>
          </cell>
          <cell r="B2083">
            <v>58.25</v>
          </cell>
        </row>
        <row r="2084">
          <cell r="A2084">
            <v>42916</v>
          </cell>
          <cell r="B2084">
            <v>58.31</v>
          </cell>
        </row>
        <row r="2085">
          <cell r="A2085">
            <v>42915</v>
          </cell>
          <cell r="B2085">
            <v>58.36</v>
          </cell>
        </row>
        <row r="2086">
          <cell r="A2086">
            <v>42914</v>
          </cell>
          <cell r="B2086">
            <v>59.18</v>
          </cell>
        </row>
        <row r="2087">
          <cell r="A2087">
            <v>42913</v>
          </cell>
          <cell r="B2087">
            <v>58.96</v>
          </cell>
        </row>
        <row r="2088">
          <cell r="A2088">
            <v>42912</v>
          </cell>
          <cell r="B2088">
            <v>59.64</v>
          </cell>
        </row>
        <row r="2089">
          <cell r="A2089">
            <v>42909</v>
          </cell>
          <cell r="B2089">
            <v>59.81</v>
          </cell>
        </row>
        <row r="2090">
          <cell r="A2090">
            <v>42908</v>
          </cell>
          <cell r="B2090">
            <v>59.51</v>
          </cell>
        </row>
        <row r="2091">
          <cell r="A2091">
            <v>42907</v>
          </cell>
          <cell r="B2091">
            <v>59.96</v>
          </cell>
        </row>
        <row r="2092">
          <cell r="A2092">
            <v>42906</v>
          </cell>
          <cell r="B2092">
            <v>59.86</v>
          </cell>
        </row>
        <row r="2093">
          <cell r="A2093">
            <v>42905</v>
          </cell>
          <cell r="B2093">
            <v>60.9</v>
          </cell>
        </row>
        <row r="2094">
          <cell r="A2094">
            <v>42902</v>
          </cell>
          <cell r="B2094">
            <v>60.14</v>
          </cell>
        </row>
        <row r="2095">
          <cell r="A2095">
            <v>42901</v>
          </cell>
          <cell r="B2095">
            <v>60.09</v>
          </cell>
        </row>
        <row r="2096">
          <cell r="A2096">
            <v>42900</v>
          </cell>
          <cell r="B2096">
            <v>60.27</v>
          </cell>
        </row>
        <row r="2097">
          <cell r="A2097">
            <v>42899</v>
          </cell>
          <cell r="B2097">
            <v>60.92</v>
          </cell>
        </row>
        <row r="2098">
          <cell r="A2098">
            <v>42898</v>
          </cell>
          <cell r="B2098">
            <v>61.29</v>
          </cell>
        </row>
        <row r="2099">
          <cell r="A2099">
            <v>42895</v>
          </cell>
          <cell r="B2099">
            <v>62.19</v>
          </cell>
        </row>
        <row r="2100">
          <cell r="A2100">
            <v>42894</v>
          </cell>
          <cell r="B2100">
            <v>62.24</v>
          </cell>
        </row>
        <row r="2101">
          <cell r="A2101">
            <v>42893</v>
          </cell>
          <cell r="B2101">
            <v>63.5</v>
          </cell>
        </row>
        <row r="2102">
          <cell r="A2102">
            <v>42892</v>
          </cell>
          <cell r="B2102">
            <v>64.16</v>
          </cell>
        </row>
        <row r="2103">
          <cell r="A2103">
            <v>42891</v>
          </cell>
          <cell r="B2103">
            <v>64.27</v>
          </cell>
        </row>
        <row r="2104">
          <cell r="A2104">
            <v>42888</v>
          </cell>
          <cell r="B2104">
            <v>64.569999999999993</v>
          </cell>
        </row>
        <row r="2105">
          <cell r="A2105">
            <v>42887</v>
          </cell>
          <cell r="B2105">
            <v>63.75</v>
          </cell>
        </row>
        <row r="2106">
          <cell r="A2106">
            <v>42886</v>
          </cell>
          <cell r="B2106">
            <v>63.61</v>
          </cell>
        </row>
        <row r="2107">
          <cell r="A2107">
            <v>42885</v>
          </cell>
          <cell r="B2107">
            <v>63.26</v>
          </cell>
        </row>
        <row r="2108">
          <cell r="A2108">
            <v>42881</v>
          </cell>
          <cell r="B2108">
            <v>63.3</v>
          </cell>
        </row>
        <row r="2109">
          <cell r="A2109">
            <v>42880</v>
          </cell>
          <cell r="B2109">
            <v>62.9</v>
          </cell>
        </row>
        <row r="2110">
          <cell r="A2110">
            <v>42879</v>
          </cell>
          <cell r="B2110">
            <v>61.89</v>
          </cell>
        </row>
        <row r="2111">
          <cell r="A2111">
            <v>42878</v>
          </cell>
          <cell r="B2111">
            <v>61.15</v>
          </cell>
        </row>
        <row r="2112">
          <cell r="A2112">
            <v>42877</v>
          </cell>
          <cell r="B2112">
            <v>61.23</v>
          </cell>
        </row>
        <row r="2113">
          <cell r="A2113">
            <v>42874</v>
          </cell>
          <cell r="B2113">
            <v>61.36</v>
          </cell>
        </row>
        <row r="2114">
          <cell r="A2114">
            <v>42873</v>
          </cell>
          <cell r="B2114">
            <v>59.82</v>
          </cell>
        </row>
        <row r="2115">
          <cell r="A2115">
            <v>42872</v>
          </cell>
          <cell r="B2115">
            <v>59.73</v>
          </cell>
        </row>
        <row r="2116">
          <cell r="A2116">
            <v>42871</v>
          </cell>
          <cell r="B2116">
            <v>59.98</v>
          </cell>
        </row>
        <row r="2117">
          <cell r="A2117">
            <v>42870</v>
          </cell>
          <cell r="B2117">
            <v>60.45</v>
          </cell>
        </row>
        <row r="2118">
          <cell r="A2118">
            <v>42867</v>
          </cell>
          <cell r="B2118">
            <v>59.93</v>
          </cell>
        </row>
        <row r="2119">
          <cell r="A2119">
            <v>42866</v>
          </cell>
          <cell r="B2119">
            <v>60.27</v>
          </cell>
        </row>
        <row r="2120">
          <cell r="A2120">
            <v>42865</v>
          </cell>
          <cell r="B2120">
            <v>60.66</v>
          </cell>
        </row>
        <row r="2121">
          <cell r="A2121">
            <v>42864</v>
          </cell>
          <cell r="B2121">
            <v>60.98</v>
          </cell>
        </row>
        <row r="2122">
          <cell r="A2122">
            <v>42863</v>
          </cell>
          <cell r="B2122">
            <v>60.94</v>
          </cell>
        </row>
        <row r="2123">
          <cell r="A2123">
            <v>42860</v>
          </cell>
          <cell r="B2123">
            <v>60.95</v>
          </cell>
        </row>
        <row r="2124">
          <cell r="A2124">
            <v>42859</v>
          </cell>
          <cell r="B2124">
            <v>60.83</v>
          </cell>
        </row>
        <row r="2125">
          <cell r="A2125">
            <v>42858</v>
          </cell>
          <cell r="B2125">
            <v>60.59</v>
          </cell>
        </row>
        <row r="2126">
          <cell r="A2126">
            <v>42857</v>
          </cell>
          <cell r="B2126">
            <v>60.5</v>
          </cell>
        </row>
        <row r="2127">
          <cell r="A2127">
            <v>42856</v>
          </cell>
          <cell r="B2127">
            <v>60.18</v>
          </cell>
        </row>
        <row r="2128">
          <cell r="A2128">
            <v>42853</v>
          </cell>
          <cell r="B2128">
            <v>60.06</v>
          </cell>
        </row>
        <row r="2129">
          <cell r="A2129">
            <v>42852</v>
          </cell>
          <cell r="B2129">
            <v>61.3</v>
          </cell>
        </row>
        <row r="2130">
          <cell r="A2130">
            <v>42851</v>
          </cell>
          <cell r="B2130">
            <v>61.56</v>
          </cell>
        </row>
        <row r="2131">
          <cell r="A2131">
            <v>42850</v>
          </cell>
          <cell r="B2131">
            <v>60.96</v>
          </cell>
        </row>
        <row r="2132">
          <cell r="A2132">
            <v>42849</v>
          </cell>
          <cell r="B2132">
            <v>61.11</v>
          </cell>
        </row>
        <row r="2133">
          <cell r="A2133">
            <v>42846</v>
          </cell>
          <cell r="B2133">
            <v>60.61</v>
          </cell>
        </row>
        <row r="2134">
          <cell r="A2134">
            <v>42845</v>
          </cell>
          <cell r="B2134">
            <v>60.08</v>
          </cell>
        </row>
        <row r="2135">
          <cell r="A2135">
            <v>42844</v>
          </cell>
          <cell r="B2135">
            <v>59.04</v>
          </cell>
        </row>
        <row r="2136">
          <cell r="A2136">
            <v>42843</v>
          </cell>
          <cell r="B2136">
            <v>58.35</v>
          </cell>
        </row>
        <row r="2137">
          <cell r="A2137">
            <v>42842</v>
          </cell>
          <cell r="B2137">
            <v>58.08</v>
          </cell>
        </row>
        <row r="2138">
          <cell r="A2138">
            <v>42838</v>
          </cell>
          <cell r="B2138">
            <v>57.51</v>
          </cell>
        </row>
        <row r="2139">
          <cell r="A2139">
            <v>42837</v>
          </cell>
          <cell r="B2139">
            <v>57.58</v>
          </cell>
        </row>
        <row r="2140">
          <cell r="A2140">
            <v>42836</v>
          </cell>
          <cell r="B2140">
            <v>57.88</v>
          </cell>
        </row>
        <row r="2141">
          <cell r="A2141">
            <v>42835</v>
          </cell>
          <cell r="B2141">
            <v>57.95</v>
          </cell>
        </row>
        <row r="2142">
          <cell r="A2142">
            <v>42832</v>
          </cell>
          <cell r="B2142">
            <v>58.02</v>
          </cell>
        </row>
        <row r="2143">
          <cell r="A2143">
            <v>42831</v>
          </cell>
          <cell r="B2143">
            <v>57.92</v>
          </cell>
        </row>
        <row r="2144">
          <cell r="A2144">
            <v>42830</v>
          </cell>
          <cell r="B2144">
            <v>58.22</v>
          </cell>
        </row>
        <row r="2145">
          <cell r="A2145">
            <v>42829</v>
          </cell>
          <cell r="B2145">
            <v>58.32</v>
          </cell>
        </row>
        <row r="2146">
          <cell r="A2146">
            <v>42828</v>
          </cell>
          <cell r="B2146">
            <v>58.44</v>
          </cell>
        </row>
        <row r="2147">
          <cell r="A2147">
            <v>42825</v>
          </cell>
          <cell r="B2147">
            <v>58.39</v>
          </cell>
        </row>
        <row r="2148">
          <cell r="A2148">
            <v>42824</v>
          </cell>
          <cell r="B2148">
            <v>58.16</v>
          </cell>
        </row>
        <row r="2149">
          <cell r="A2149">
            <v>42823</v>
          </cell>
          <cell r="B2149">
            <v>57.54</v>
          </cell>
        </row>
        <row r="2150">
          <cell r="A2150">
            <v>42822</v>
          </cell>
          <cell r="B2150">
            <v>57.35</v>
          </cell>
        </row>
        <row r="2151">
          <cell r="A2151">
            <v>42821</v>
          </cell>
          <cell r="B2151">
            <v>57.23</v>
          </cell>
        </row>
        <row r="2152">
          <cell r="A2152">
            <v>42818</v>
          </cell>
          <cell r="B2152">
            <v>56.81</v>
          </cell>
        </row>
        <row r="2153">
          <cell r="A2153">
            <v>42817</v>
          </cell>
          <cell r="B2153">
            <v>55.85</v>
          </cell>
        </row>
        <row r="2154">
          <cell r="A2154">
            <v>42816</v>
          </cell>
          <cell r="B2154">
            <v>55.89</v>
          </cell>
        </row>
        <row r="2155">
          <cell r="A2155">
            <v>42815</v>
          </cell>
          <cell r="B2155">
            <v>55.54</v>
          </cell>
        </row>
        <row r="2156">
          <cell r="A2156">
            <v>42814</v>
          </cell>
          <cell r="B2156">
            <v>55.81</v>
          </cell>
        </row>
        <row r="2157">
          <cell r="A2157">
            <v>42811</v>
          </cell>
          <cell r="B2157">
            <v>55.78</v>
          </cell>
        </row>
        <row r="2158">
          <cell r="A2158">
            <v>42810</v>
          </cell>
          <cell r="B2158">
            <v>54.8</v>
          </cell>
        </row>
        <row r="2159">
          <cell r="A2159">
            <v>42809</v>
          </cell>
          <cell r="B2159">
            <v>54.54</v>
          </cell>
        </row>
        <row r="2160">
          <cell r="A2160">
            <v>42808</v>
          </cell>
          <cell r="B2160">
            <v>54.27</v>
          </cell>
        </row>
        <row r="2161">
          <cell r="A2161">
            <v>42807</v>
          </cell>
          <cell r="B2161">
            <v>54.63</v>
          </cell>
        </row>
        <row r="2162">
          <cell r="A2162">
            <v>42804</v>
          </cell>
          <cell r="B2162">
            <v>54.53</v>
          </cell>
        </row>
        <row r="2163">
          <cell r="A2163">
            <v>42803</v>
          </cell>
          <cell r="B2163">
            <v>55.19</v>
          </cell>
        </row>
        <row r="2164">
          <cell r="A2164">
            <v>42802</v>
          </cell>
          <cell r="B2164">
            <v>55.74</v>
          </cell>
        </row>
        <row r="2165">
          <cell r="A2165">
            <v>42801</v>
          </cell>
          <cell r="B2165">
            <v>56.2</v>
          </cell>
        </row>
        <row r="2166">
          <cell r="A2166">
            <v>42800</v>
          </cell>
          <cell r="B2166">
            <v>56.68</v>
          </cell>
        </row>
        <row r="2167">
          <cell r="A2167">
            <v>42797</v>
          </cell>
          <cell r="B2167">
            <v>57.1</v>
          </cell>
        </row>
        <row r="2168">
          <cell r="A2168">
            <v>42796</v>
          </cell>
          <cell r="B2168">
            <v>57.12</v>
          </cell>
        </row>
        <row r="2169">
          <cell r="A2169">
            <v>42795</v>
          </cell>
          <cell r="B2169">
            <v>57.14</v>
          </cell>
        </row>
        <row r="2170">
          <cell r="A2170">
            <v>42794</v>
          </cell>
          <cell r="B2170">
            <v>56.87</v>
          </cell>
        </row>
        <row r="2171">
          <cell r="A2171">
            <v>42793</v>
          </cell>
          <cell r="B2171">
            <v>56.78</v>
          </cell>
        </row>
        <row r="2172">
          <cell r="A2172">
            <v>42790</v>
          </cell>
          <cell r="B2172">
            <v>57.48</v>
          </cell>
        </row>
        <row r="2173">
          <cell r="A2173">
            <v>42789</v>
          </cell>
          <cell r="B2173">
            <v>57.64</v>
          </cell>
        </row>
        <row r="2174">
          <cell r="A2174">
            <v>42788</v>
          </cell>
          <cell r="B2174">
            <v>57.57</v>
          </cell>
        </row>
        <row r="2175">
          <cell r="A2175">
            <v>42787</v>
          </cell>
          <cell r="B2175">
            <v>57.54</v>
          </cell>
        </row>
        <row r="2176">
          <cell r="A2176">
            <v>42783</v>
          </cell>
          <cell r="B2176">
            <v>57.35</v>
          </cell>
        </row>
        <row r="2177">
          <cell r="A2177">
            <v>42782</v>
          </cell>
          <cell r="B2177">
            <v>56.73</v>
          </cell>
        </row>
        <row r="2178">
          <cell r="A2178">
            <v>42781</v>
          </cell>
          <cell r="B2178">
            <v>56.86</v>
          </cell>
        </row>
        <row r="2179">
          <cell r="A2179">
            <v>42780</v>
          </cell>
          <cell r="B2179">
            <v>56.58</v>
          </cell>
        </row>
        <row r="2180">
          <cell r="A2180">
            <v>42779</v>
          </cell>
          <cell r="B2180">
            <v>56.11</v>
          </cell>
        </row>
        <row r="2181">
          <cell r="A2181">
            <v>42776</v>
          </cell>
          <cell r="B2181">
            <v>56.22</v>
          </cell>
        </row>
        <row r="2182">
          <cell r="A2182">
            <v>42775</v>
          </cell>
          <cell r="B2182">
            <v>55.81</v>
          </cell>
        </row>
        <row r="2183">
          <cell r="A2183">
            <v>42774</v>
          </cell>
          <cell r="B2183">
            <v>55.22</v>
          </cell>
        </row>
        <row r="2184">
          <cell r="A2184">
            <v>42773</v>
          </cell>
          <cell r="B2184">
            <v>55.24</v>
          </cell>
        </row>
        <row r="2185">
          <cell r="A2185">
            <v>42772</v>
          </cell>
          <cell r="B2185">
            <v>55.73</v>
          </cell>
        </row>
        <row r="2186">
          <cell r="A2186">
            <v>42769</v>
          </cell>
          <cell r="B2186">
            <v>55.06</v>
          </cell>
        </row>
        <row r="2187">
          <cell r="A2187">
            <v>42768</v>
          </cell>
          <cell r="B2187">
            <v>53.87</v>
          </cell>
        </row>
        <row r="2188">
          <cell r="A2188">
            <v>42767</v>
          </cell>
          <cell r="B2188">
            <v>53.9</v>
          </cell>
        </row>
        <row r="2189">
          <cell r="A2189">
            <v>42766</v>
          </cell>
          <cell r="B2189">
            <v>55.22</v>
          </cell>
        </row>
        <row r="2190">
          <cell r="A2190">
            <v>42765</v>
          </cell>
          <cell r="B2190">
            <v>55.9</v>
          </cell>
        </row>
        <row r="2191">
          <cell r="A2191">
            <v>42762</v>
          </cell>
          <cell r="B2191">
            <v>56.12</v>
          </cell>
        </row>
        <row r="2192">
          <cell r="A2192">
            <v>42761</v>
          </cell>
          <cell r="B2192">
            <v>58.46</v>
          </cell>
        </row>
        <row r="2193">
          <cell r="A2193">
            <v>42760</v>
          </cell>
          <cell r="B2193">
            <v>58.7</v>
          </cell>
        </row>
        <row r="2194">
          <cell r="A2194">
            <v>42759</v>
          </cell>
          <cell r="B2194">
            <v>58.44</v>
          </cell>
        </row>
        <row r="2195">
          <cell r="A2195">
            <v>42758</v>
          </cell>
          <cell r="B2195">
            <v>57.76</v>
          </cell>
        </row>
        <row r="2196">
          <cell r="A2196">
            <v>42755</v>
          </cell>
          <cell r="B2196">
            <v>57.66</v>
          </cell>
        </row>
        <row r="2197">
          <cell r="A2197">
            <v>42754</v>
          </cell>
          <cell r="B2197">
            <v>57.89</v>
          </cell>
        </row>
        <row r="2198">
          <cell r="A2198">
            <v>42753</v>
          </cell>
          <cell r="B2198">
            <v>58.45</v>
          </cell>
        </row>
        <row r="2199">
          <cell r="A2199">
            <v>42752</v>
          </cell>
          <cell r="B2199">
            <v>58</v>
          </cell>
        </row>
        <row r="2200">
          <cell r="A2200">
            <v>42748</v>
          </cell>
          <cell r="B2200">
            <v>57.85</v>
          </cell>
        </row>
        <row r="2201">
          <cell r="A2201">
            <v>42747</v>
          </cell>
          <cell r="B2201">
            <v>58.03</v>
          </cell>
        </row>
        <row r="2202">
          <cell r="A2202">
            <v>42746</v>
          </cell>
          <cell r="B2202">
            <v>58.1</v>
          </cell>
        </row>
        <row r="2203">
          <cell r="A2203">
            <v>42745</v>
          </cell>
          <cell r="B2203">
            <v>57.88</v>
          </cell>
        </row>
        <row r="2204">
          <cell r="A2204">
            <v>42744</v>
          </cell>
          <cell r="B2204">
            <v>58.2</v>
          </cell>
        </row>
        <row r="2205">
          <cell r="A2205">
            <v>42741</v>
          </cell>
          <cell r="B2205">
            <v>57.13</v>
          </cell>
        </row>
        <row r="2206">
          <cell r="A2206">
            <v>42740</v>
          </cell>
          <cell r="B2206">
            <v>56.46</v>
          </cell>
        </row>
        <row r="2207">
          <cell r="A2207">
            <v>42739</v>
          </cell>
          <cell r="B2207">
            <v>55.99</v>
          </cell>
        </row>
        <row r="2208">
          <cell r="A2208">
            <v>42738</v>
          </cell>
          <cell r="B2208">
            <v>55.35</v>
          </cell>
        </row>
        <row r="2209">
          <cell r="A2209">
            <v>42734</v>
          </cell>
          <cell r="B2209">
            <v>55.52</v>
          </cell>
        </row>
        <row r="2210">
          <cell r="A2210">
            <v>42733</v>
          </cell>
          <cell r="B2210">
            <v>56.32</v>
          </cell>
        </row>
        <row r="2211">
          <cell r="A2211">
            <v>42732</v>
          </cell>
          <cell r="B2211">
            <v>56.35</v>
          </cell>
        </row>
        <row r="2212">
          <cell r="A2212">
            <v>42731</v>
          </cell>
          <cell r="B2212">
            <v>56.86</v>
          </cell>
        </row>
        <row r="2213">
          <cell r="A2213">
            <v>42727</v>
          </cell>
          <cell r="B2213">
            <v>57.01</v>
          </cell>
        </row>
        <row r="2214">
          <cell r="A2214">
            <v>42726</v>
          </cell>
          <cell r="B2214">
            <v>57.11</v>
          </cell>
        </row>
        <row r="2215">
          <cell r="A2215">
            <v>42725</v>
          </cell>
          <cell r="B2215">
            <v>57.44</v>
          </cell>
        </row>
        <row r="2216">
          <cell r="A2216">
            <v>42724</v>
          </cell>
          <cell r="B2216">
            <v>57.7</v>
          </cell>
        </row>
        <row r="2217">
          <cell r="A2217">
            <v>42723</v>
          </cell>
          <cell r="B2217">
            <v>57.65</v>
          </cell>
        </row>
        <row r="2218">
          <cell r="A2218">
            <v>42720</v>
          </cell>
          <cell r="B2218">
            <v>57.66</v>
          </cell>
        </row>
        <row r="2219">
          <cell r="A2219">
            <v>42719</v>
          </cell>
          <cell r="B2219">
            <v>57.71</v>
          </cell>
        </row>
        <row r="2220">
          <cell r="A2220">
            <v>42718</v>
          </cell>
          <cell r="B2220">
            <v>58.75</v>
          </cell>
        </row>
        <row r="2221">
          <cell r="A2221">
            <v>42717</v>
          </cell>
          <cell r="B2221">
            <v>59.31</v>
          </cell>
        </row>
        <row r="2222">
          <cell r="A2222">
            <v>42716</v>
          </cell>
          <cell r="B2222">
            <v>58.77</v>
          </cell>
        </row>
        <row r="2223">
          <cell r="A2223">
            <v>42713</v>
          </cell>
          <cell r="B2223">
            <v>58.75</v>
          </cell>
        </row>
        <row r="2224">
          <cell r="A2224">
            <v>42712</v>
          </cell>
          <cell r="B2224">
            <v>58.65</v>
          </cell>
        </row>
        <row r="2225">
          <cell r="A2225">
            <v>42711</v>
          </cell>
          <cell r="B2225">
            <v>58.76</v>
          </cell>
        </row>
        <row r="2226">
          <cell r="A2226">
            <v>42710</v>
          </cell>
          <cell r="B2226">
            <v>57.44</v>
          </cell>
        </row>
        <row r="2227">
          <cell r="A2227">
            <v>42709</v>
          </cell>
          <cell r="B2227">
            <v>57.5</v>
          </cell>
        </row>
        <row r="2228">
          <cell r="A2228">
            <v>42706</v>
          </cell>
          <cell r="B2228">
            <v>57.21</v>
          </cell>
        </row>
        <row r="2229">
          <cell r="A2229">
            <v>42705</v>
          </cell>
          <cell r="B2229">
            <v>58.51</v>
          </cell>
        </row>
        <row r="2230">
          <cell r="A2230">
            <v>42704</v>
          </cell>
          <cell r="B2230">
            <v>57.97</v>
          </cell>
        </row>
        <row r="2231">
          <cell r="A2231">
            <v>42703</v>
          </cell>
          <cell r="B2231">
            <v>58.17</v>
          </cell>
        </row>
        <row r="2232">
          <cell r="A2232">
            <v>42702</v>
          </cell>
          <cell r="B2232">
            <v>57.59</v>
          </cell>
        </row>
        <row r="2233">
          <cell r="A2233">
            <v>42699</v>
          </cell>
          <cell r="B2233">
            <v>57.43</v>
          </cell>
        </row>
        <row r="2234">
          <cell r="A2234">
            <v>42697</v>
          </cell>
          <cell r="B2234">
            <v>57.59</v>
          </cell>
        </row>
        <row r="2235">
          <cell r="A2235">
            <v>42696</v>
          </cell>
          <cell r="B2235">
            <v>57.12</v>
          </cell>
        </row>
        <row r="2236">
          <cell r="A2236">
            <v>42695</v>
          </cell>
          <cell r="B2236">
            <v>56.1</v>
          </cell>
        </row>
        <row r="2237">
          <cell r="A2237">
            <v>42692</v>
          </cell>
          <cell r="B2237">
            <v>55.77</v>
          </cell>
        </row>
        <row r="2238">
          <cell r="A2238">
            <v>42691</v>
          </cell>
          <cell r="B2238">
            <v>55.85</v>
          </cell>
        </row>
        <row r="2239">
          <cell r="A2239">
            <v>42690</v>
          </cell>
          <cell r="B2239">
            <v>55.44</v>
          </cell>
        </row>
        <row r="2240">
          <cell r="A2240">
            <v>42689</v>
          </cell>
          <cell r="B2240">
            <v>54.59</v>
          </cell>
        </row>
        <row r="2241">
          <cell r="A2241">
            <v>42688</v>
          </cell>
          <cell r="B2241">
            <v>54.22</v>
          </cell>
        </row>
        <row r="2242">
          <cell r="A2242">
            <v>42685</v>
          </cell>
          <cell r="B2242">
            <v>53.93</v>
          </cell>
        </row>
        <row r="2243">
          <cell r="A2243">
            <v>42684</v>
          </cell>
          <cell r="B2243">
            <v>53.57</v>
          </cell>
        </row>
        <row r="2244">
          <cell r="A2244">
            <v>42683</v>
          </cell>
          <cell r="B2244">
            <v>54.58</v>
          </cell>
        </row>
        <row r="2245">
          <cell r="A2245">
            <v>42682</v>
          </cell>
          <cell r="B2245">
            <v>54.62</v>
          </cell>
        </row>
        <row r="2246">
          <cell r="A2246">
            <v>42681</v>
          </cell>
          <cell r="B2246">
            <v>54.49</v>
          </cell>
        </row>
        <row r="2247">
          <cell r="A2247">
            <v>42678</v>
          </cell>
          <cell r="B2247">
            <v>52.75</v>
          </cell>
        </row>
        <row r="2248">
          <cell r="A2248">
            <v>42677</v>
          </cell>
          <cell r="B2248">
            <v>51.77</v>
          </cell>
        </row>
        <row r="2249">
          <cell r="A2249">
            <v>42676</v>
          </cell>
          <cell r="B2249">
            <v>52.98</v>
          </cell>
        </row>
        <row r="2250">
          <cell r="A2250">
            <v>42675</v>
          </cell>
          <cell r="B2250">
            <v>52.5</v>
          </cell>
        </row>
        <row r="2251">
          <cell r="A2251">
            <v>42674</v>
          </cell>
          <cell r="B2251">
            <v>53.07</v>
          </cell>
        </row>
        <row r="2252">
          <cell r="A2252">
            <v>42671</v>
          </cell>
          <cell r="B2252">
            <v>53.53</v>
          </cell>
        </row>
        <row r="2253">
          <cell r="A2253">
            <v>42670</v>
          </cell>
          <cell r="B2253">
            <v>53.59</v>
          </cell>
        </row>
        <row r="2254">
          <cell r="A2254">
            <v>42669</v>
          </cell>
          <cell r="B2254">
            <v>53.63</v>
          </cell>
        </row>
        <row r="2255">
          <cell r="A2255">
            <v>42668</v>
          </cell>
          <cell r="B2255">
            <v>53.67</v>
          </cell>
        </row>
        <row r="2256">
          <cell r="A2256">
            <v>42667</v>
          </cell>
          <cell r="B2256">
            <v>54.18</v>
          </cell>
        </row>
        <row r="2257">
          <cell r="A2257">
            <v>42664</v>
          </cell>
          <cell r="B2257">
            <v>53.63</v>
          </cell>
        </row>
        <row r="2258">
          <cell r="A2258">
            <v>42663</v>
          </cell>
          <cell r="B2258">
            <v>53.59</v>
          </cell>
        </row>
        <row r="2259">
          <cell r="A2259">
            <v>42662</v>
          </cell>
          <cell r="B2259">
            <v>53.15</v>
          </cell>
        </row>
        <row r="2260">
          <cell r="A2260">
            <v>42661</v>
          </cell>
          <cell r="B2260">
            <v>52.61</v>
          </cell>
        </row>
        <row r="2261">
          <cell r="A2261">
            <v>42660</v>
          </cell>
          <cell r="B2261">
            <v>52.76</v>
          </cell>
        </row>
        <row r="2262">
          <cell r="A2262">
            <v>42657</v>
          </cell>
          <cell r="B2262">
            <v>53.08</v>
          </cell>
        </row>
        <row r="2263">
          <cell r="A2263">
            <v>42656</v>
          </cell>
          <cell r="B2263">
            <v>52.95</v>
          </cell>
        </row>
        <row r="2264">
          <cell r="A2264">
            <v>42655</v>
          </cell>
          <cell r="B2264">
            <v>53.16</v>
          </cell>
        </row>
        <row r="2265">
          <cell r="A2265">
            <v>42654</v>
          </cell>
          <cell r="B2265">
            <v>52.92</v>
          </cell>
        </row>
        <row r="2266">
          <cell r="A2266">
            <v>42653</v>
          </cell>
          <cell r="B2266">
            <v>53.3</v>
          </cell>
        </row>
        <row r="2267">
          <cell r="A2267">
            <v>42650</v>
          </cell>
          <cell r="B2267">
            <v>53.46</v>
          </cell>
        </row>
        <row r="2268">
          <cell r="A2268">
            <v>42649</v>
          </cell>
          <cell r="B2268">
            <v>53.14</v>
          </cell>
        </row>
        <row r="2269">
          <cell r="A2269">
            <v>42648</v>
          </cell>
          <cell r="B2269">
            <v>53.35</v>
          </cell>
        </row>
        <row r="2270">
          <cell r="A2270">
            <v>42647</v>
          </cell>
          <cell r="B2270">
            <v>53.53</v>
          </cell>
        </row>
        <row r="2271">
          <cell r="A2271">
            <v>42646</v>
          </cell>
          <cell r="B2271">
            <v>53.84</v>
          </cell>
        </row>
        <row r="2272">
          <cell r="A2272">
            <v>42643</v>
          </cell>
          <cell r="B2272">
            <v>54.14</v>
          </cell>
        </row>
        <row r="2273">
          <cell r="A2273">
            <v>42642</v>
          </cell>
          <cell r="B2273">
            <v>53.45</v>
          </cell>
        </row>
        <row r="2274">
          <cell r="A2274">
            <v>42641</v>
          </cell>
          <cell r="B2274">
            <v>53.98</v>
          </cell>
        </row>
        <row r="2275">
          <cell r="A2275">
            <v>42640</v>
          </cell>
          <cell r="B2275">
            <v>54.19</v>
          </cell>
        </row>
        <row r="2276">
          <cell r="A2276">
            <v>42639</v>
          </cell>
          <cell r="B2276">
            <v>54.04</v>
          </cell>
        </row>
        <row r="2277">
          <cell r="A2277">
            <v>42636</v>
          </cell>
          <cell r="B2277">
            <v>54.43</v>
          </cell>
        </row>
        <row r="2278">
          <cell r="A2278">
            <v>42635</v>
          </cell>
          <cell r="B2278">
            <v>54.39</v>
          </cell>
        </row>
        <row r="2279">
          <cell r="A2279">
            <v>42634</v>
          </cell>
          <cell r="B2279">
            <v>53.98</v>
          </cell>
        </row>
        <row r="2280">
          <cell r="A2280">
            <v>42633</v>
          </cell>
          <cell r="B2280">
            <v>53.3</v>
          </cell>
        </row>
        <row r="2281">
          <cell r="A2281">
            <v>42632</v>
          </cell>
          <cell r="B2281">
            <v>53.01</v>
          </cell>
        </row>
        <row r="2282">
          <cell r="A2282">
            <v>42629</v>
          </cell>
          <cell r="B2282">
            <v>53.74</v>
          </cell>
        </row>
        <row r="2283">
          <cell r="A2283">
            <v>42628</v>
          </cell>
          <cell r="B2283">
            <v>54.11</v>
          </cell>
        </row>
        <row r="2284">
          <cell r="A2284">
            <v>42627</v>
          </cell>
          <cell r="B2284">
            <v>53.9</v>
          </cell>
        </row>
        <row r="2285">
          <cell r="A2285">
            <v>42626</v>
          </cell>
          <cell r="B2285">
            <v>53.98</v>
          </cell>
        </row>
        <row r="2286">
          <cell r="A2286">
            <v>42625</v>
          </cell>
          <cell r="B2286">
            <v>54.71</v>
          </cell>
        </row>
        <row r="2287">
          <cell r="A2287">
            <v>42622</v>
          </cell>
          <cell r="B2287">
            <v>54.35</v>
          </cell>
        </row>
        <row r="2288">
          <cell r="A2288">
            <v>42621</v>
          </cell>
          <cell r="B2288">
            <v>55.3</v>
          </cell>
        </row>
        <row r="2289">
          <cell r="A2289">
            <v>42620</v>
          </cell>
          <cell r="B2289">
            <v>56.32</v>
          </cell>
        </row>
        <row r="2290">
          <cell r="A2290">
            <v>42619</v>
          </cell>
          <cell r="B2290">
            <v>56.02</v>
          </cell>
        </row>
        <row r="2291">
          <cell r="A2291">
            <v>42615</v>
          </cell>
          <cell r="B2291">
            <v>56.18</v>
          </cell>
        </row>
        <row r="2292">
          <cell r="A2292">
            <v>42614</v>
          </cell>
          <cell r="B2292">
            <v>56.31</v>
          </cell>
        </row>
        <row r="2293">
          <cell r="A2293">
            <v>42613</v>
          </cell>
          <cell r="B2293">
            <v>56.23</v>
          </cell>
        </row>
        <row r="2294">
          <cell r="A2294">
            <v>42612</v>
          </cell>
          <cell r="B2294">
            <v>56.4</v>
          </cell>
        </row>
        <row r="2295">
          <cell r="A2295">
            <v>42611</v>
          </cell>
          <cell r="B2295">
            <v>56.8</v>
          </cell>
        </row>
        <row r="2296">
          <cell r="A2296">
            <v>42608</v>
          </cell>
          <cell r="B2296">
            <v>57.29</v>
          </cell>
        </row>
        <row r="2297">
          <cell r="A2297">
            <v>42607</v>
          </cell>
          <cell r="B2297">
            <v>57.29</v>
          </cell>
        </row>
        <row r="2298">
          <cell r="A2298">
            <v>42606</v>
          </cell>
          <cell r="B2298">
            <v>57.09</v>
          </cell>
        </row>
        <row r="2299">
          <cell r="A2299">
            <v>42605</v>
          </cell>
          <cell r="B2299">
            <v>56.4</v>
          </cell>
        </row>
        <row r="2300">
          <cell r="A2300">
            <v>42604</v>
          </cell>
          <cell r="B2300">
            <v>55.85</v>
          </cell>
        </row>
        <row r="2301">
          <cell r="A2301">
            <v>42601</v>
          </cell>
          <cell r="B2301">
            <v>54.94</v>
          </cell>
        </row>
        <row r="2302">
          <cell r="A2302">
            <v>42600</v>
          </cell>
          <cell r="B2302">
            <v>55.53</v>
          </cell>
        </row>
        <row r="2303">
          <cell r="A2303">
            <v>42599</v>
          </cell>
          <cell r="B2303">
            <v>55.8</v>
          </cell>
        </row>
        <row r="2304">
          <cell r="A2304">
            <v>42598</v>
          </cell>
          <cell r="B2304">
            <v>55.37</v>
          </cell>
        </row>
        <row r="2305">
          <cell r="A2305">
            <v>42597</v>
          </cell>
          <cell r="B2305">
            <v>55.25</v>
          </cell>
        </row>
        <row r="2306">
          <cell r="A2306">
            <v>42594</v>
          </cell>
          <cell r="B2306">
            <v>55.47</v>
          </cell>
        </row>
        <row r="2307">
          <cell r="A2307">
            <v>42593</v>
          </cell>
          <cell r="B2307">
            <v>55.47</v>
          </cell>
        </row>
        <row r="2308">
          <cell r="A2308">
            <v>42592</v>
          </cell>
          <cell r="B2308">
            <v>55.62</v>
          </cell>
        </row>
        <row r="2309">
          <cell r="A2309">
            <v>42591</v>
          </cell>
          <cell r="B2309">
            <v>55.2</v>
          </cell>
        </row>
        <row r="2310">
          <cell r="A2310">
            <v>42590</v>
          </cell>
          <cell r="B2310">
            <v>55.36</v>
          </cell>
        </row>
        <row r="2311">
          <cell r="A2311">
            <v>42587</v>
          </cell>
          <cell r="B2311">
            <v>55.9</v>
          </cell>
        </row>
        <row r="2312">
          <cell r="A2312">
            <v>42586</v>
          </cell>
          <cell r="B2312">
            <v>55.42</v>
          </cell>
        </row>
        <row r="2313">
          <cell r="A2313">
            <v>42585</v>
          </cell>
          <cell r="B2313">
            <v>55.94</v>
          </cell>
        </row>
        <row r="2314">
          <cell r="A2314">
            <v>42584</v>
          </cell>
          <cell r="B2314">
            <v>56.73</v>
          </cell>
        </row>
        <row r="2315">
          <cell r="A2315">
            <v>42583</v>
          </cell>
          <cell r="B2315">
            <v>57.63</v>
          </cell>
        </row>
        <row r="2316">
          <cell r="A2316">
            <v>42580</v>
          </cell>
          <cell r="B2316">
            <v>58.05</v>
          </cell>
        </row>
        <row r="2317">
          <cell r="A2317">
            <v>42579</v>
          </cell>
          <cell r="B2317">
            <v>58.21</v>
          </cell>
        </row>
        <row r="2318">
          <cell r="A2318">
            <v>42578</v>
          </cell>
          <cell r="B2318">
            <v>57.85</v>
          </cell>
        </row>
        <row r="2319">
          <cell r="A2319">
            <v>42577</v>
          </cell>
          <cell r="B2319">
            <v>58.31</v>
          </cell>
        </row>
        <row r="2320">
          <cell r="A2320">
            <v>42576</v>
          </cell>
          <cell r="B2320">
            <v>57.95</v>
          </cell>
        </row>
        <row r="2321">
          <cell r="A2321">
            <v>42573</v>
          </cell>
          <cell r="B2321">
            <v>57.9</v>
          </cell>
        </row>
        <row r="2322">
          <cell r="A2322">
            <v>42572</v>
          </cell>
          <cell r="B2322">
            <v>57.6</v>
          </cell>
        </row>
        <row r="2323">
          <cell r="A2323">
            <v>42571</v>
          </cell>
          <cell r="B2323">
            <v>57.54</v>
          </cell>
        </row>
        <row r="2324">
          <cell r="A2324">
            <v>42570</v>
          </cell>
          <cell r="B2324">
            <v>56.76</v>
          </cell>
        </row>
        <row r="2325">
          <cell r="A2325">
            <v>42569</v>
          </cell>
          <cell r="B2325">
            <v>56.92</v>
          </cell>
        </row>
        <row r="2326">
          <cell r="A2326">
            <v>42566</v>
          </cell>
          <cell r="B2326">
            <v>57.41</v>
          </cell>
        </row>
        <row r="2327">
          <cell r="A2327">
            <v>42565</v>
          </cell>
          <cell r="B2327">
            <v>57.59</v>
          </cell>
        </row>
        <row r="2328">
          <cell r="A2328">
            <v>42564</v>
          </cell>
          <cell r="B2328">
            <v>56.48</v>
          </cell>
        </row>
        <row r="2329">
          <cell r="A2329">
            <v>42563</v>
          </cell>
          <cell r="B2329">
            <v>57.48</v>
          </cell>
        </row>
        <row r="2330">
          <cell r="A2330">
            <v>42562</v>
          </cell>
          <cell r="B2330">
            <v>56.32</v>
          </cell>
        </row>
        <row r="2331">
          <cell r="A2331">
            <v>42559</v>
          </cell>
          <cell r="B2331">
            <v>56.51</v>
          </cell>
        </row>
        <row r="2332">
          <cell r="A2332">
            <v>42558</v>
          </cell>
          <cell r="B2332">
            <v>56.91</v>
          </cell>
        </row>
        <row r="2333">
          <cell r="A2333">
            <v>42557</v>
          </cell>
          <cell r="B2333">
            <v>56.75</v>
          </cell>
        </row>
        <row r="2334">
          <cell r="A2334">
            <v>42556</v>
          </cell>
          <cell r="B2334">
            <v>56.77</v>
          </cell>
        </row>
        <row r="2335">
          <cell r="A2335">
            <v>42552</v>
          </cell>
          <cell r="B2335">
            <v>56.99</v>
          </cell>
        </row>
        <row r="2336">
          <cell r="A2336">
            <v>42551</v>
          </cell>
          <cell r="B2336">
            <v>57.12</v>
          </cell>
        </row>
        <row r="2337">
          <cell r="A2337">
            <v>42550</v>
          </cell>
          <cell r="B2337">
            <v>56.74</v>
          </cell>
        </row>
        <row r="2338">
          <cell r="A2338">
            <v>42549</v>
          </cell>
          <cell r="B2338">
            <v>54.85</v>
          </cell>
        </row>
        <row r="2339">
          <cell r="A2339">
            <v>42548</v>
          </cell>
          <cell r="B2339">
            <v>53.69</v>
          </cell>
        </row>
        <row r="2340">
          <cell r="A2340">
            <v>42545</v>
          </cell>
          <cell r="B2340">
            <v>54.68</v>
          </cell>
        </row>
        <row r="2341">
          <cell r="A2341">
            <v>42544</v>
          </cell>
          <cell r="B2341">
            <v>56.13</v>
          </cell>
        </row>
        <row r="2342">
          <cell r="A2342">
            <v>42543</v>
          </cell>
          <cell r="B2342">
            <v>55.61</v>
          </cell>
        </row>
        <row r="2343">
          <cell r="A2343">
            <v>42542</v>
          </cell>
          <cell r="B2343">
            <v>55.81</v>
          </cell>
        </row>
        <row r="2344">
          <cell r="A2344">
            <v>42541</v>
          </cell>
          <cell r="B2344">
            <v>55.38</v>
          </cell>
        </row>
        <row r="2345">
          <cell r="A2345">
            <v>42538</v>
          </cell>
          <cell r="B2345">
            <v>55.31</v>
          </cell>
        </row>
        <row r="2346">
          <cell r="A2346">
            <v>42537</v>
          </cell>
          <cell r="B2346">
            <v>55.53</v>
          </cell>
        </row>
        <row r="2347">
          <cell r="A2347">
            <v>42536</v>
          </cell>
          <cell r="B2347">
            <v>55.35</v>
          </cell>
        </row>
        <row r="2348">
          <cell r="A2348">
            <v>42535</v>
          </cell>
          <cell r="B2348">
            <v>55.57</v>
          </cell>
        </row>
        <row r="2349">
          <cell r="A2349">
            <v>42534</v>
          </cell>
          <cell r="B2349">
            <v>55.04</v>
          </cell>
        </row>
        <row r="2350">
          <cell r="A2350">
            <v>42531</v>
          </cell>
          <cell r="B2350">
            <v>54.865000000000002</v>
          </cell>
        </row>
        <row r="2351">
          <cell r="A2351">
            <v>42530</v>
          </cell>
          <cell r="B2351">
            <v>55.58</v>
          </cell>
        </row>
        <row r="2352">
          <cell r="A2352">
            <v>42529</v>
          </cell>
          <cell r="B2352">
            <v>55.22</v>
          </cell>
        </row>
        <row r="2353">
          <cell r="A2353">
            <v>42528</v>
          </cell>
          <cell r="B2353">
            <v>55.3</v>
          </cell>
        </row>
        <row r="2354">
          <cell r="A2354">
            <v>42527</v>
          </cell>
          <cell r="B2354">
            <v>55.59</v>
          </cell>
        </row>
        <row r="2355">
          <cell r="A2355">
            <v>42524</v>
          </cell>
          <cell r="B2355">
            <v>54.61</v>
          </cell>
        </row>
        <row r="2356">
          <cell r="A2356">
            <v>42523</v>
          </cell>
          <cell r="B2356">
            <v>54.62</v>
          </cell>
        </row>
        <row r="2357">
          <cell r="A2357">
            <v>42522</v>
          </cell>
          <cell r="B2357">
            <v>54.82</v>
          </cell>
        </row>
        <row r="2358">
          <cell r="A2358">
            <v>42521</v>
          </cell>
          <cell r="B2358">
            <v>54.89</v>
          </cell>
        </row>
        <row r="2359">
          <cell r="A2359">
            <v>42517</v>
          </cell>
          <cell r="B2359">
            <v>55.15</v>
          </cell>
        </row>
        <row r="2360">
          <cell r="A2360">
            <v>42516</v>
          </cell>
          <cell r="B2360">
            <v>55.29</v>
          </cell>
        </row>
        <row r="2361">
          <cell r="A2361">
            <v>42515</v>
          </cell>
          <cell r="B2361">
            <v>55.15</v>
          </cell>
        </row>
        <row r="2362">
          <cell r="A2362">
            <v>42514</v>
          </cell>
          <cell r="B2362">
            <v>55.44</v>
          </cell>
        </row>
        <row r="2363">
          <cell r="A2363">
            <v>42513</v>
          </cell>
          <cell r="B2363">
            <v>54.6</v>
          </cell>
        </row>
        <row r="2364">
          <cell r="A2364">
            <v>42510</v>
          </cell>
          <cell r="B2364">
            <v>54.62</v>
          </cell>
        </row>
        <row r="2365">
          <cell r="A2365">
            <v>42509</v>
          </cell>
          <cell r="B2365">
            <v>54.55</v>
          </cell>
        </row>
        <row r="2366">
          <cell r="A2366">
            <v>42508</v>
          </cell>
          <cell r="B2366">
            <v>54.8</v>
          </cell>
        </row>
        <row r="2367">
          <cell r="A2367">
            <v>42507</v>
          </cell>
          <cell r="B2367">
            <v>54.88</v>
          </cell>
        </row>
        <row r="2368">
          <cell r="A2368">
            <v>42506</v>
          </cell>
          <cell r="B2368">
            <v>55.53</v>
          </cell>
        </row>
        <row r="2369">
          <cell r="A2369">
            <v>42503</v>
          </cell>
          <cell r="B2369">
            <v>55.82</v>
          </cell>
        </row>
        <row r="2370">
          <cell r="A2370">
            <v>42502</v>
          </cell>
          <cell r="B2370">
            <v>56.3</v>
          </cell>
        </row>
        <row r="2371">
          <cell r="A2371">
            <v>42501</v>
          </cell>
          <cell r="B2371">
            <v>56.23</v>
          </cell>
        </row>
        <row r="2372">
          <cell r="A2372">
            <v>42500</v>
          </cell>
          <cell r="B2372">
            <v>57.49</v>
          </cell>
        </row>
        <row r="2373">
          <cell r="A2373">
            <v>42499</v>
          </cell>
          <cell r="B2373">
            <v>56.64</v>
          </cell>
        </row>
        <row r="2374">
          <cell r="A2374">
            <v>42496</v>
          </cell>
          <cell r="B2374">
            <v>56.31</v>
          </cell>
        </row>
        <row r="2375">
          <cell r="A2375">
            <v>42495</v>
          </cell>
          <cell r="B2375">
            <v>56.25</v>
          </cell>
        </row>
        <row r="2376">
          <cell r="A2376">
            <v>42494</v>
          </cell>
          <cell r="B2376">
            <v>56.39</v>
          </cell>
        </row>
        <row r="2377">
          <cell r="A2377">
            <v>42493</v>
          </cell>
          <cell r="B2377">
            <v>56.25</v>
          </cell>
        </row>
        <row r="2378">
          <cell r="A2378">
            <v>42492</v>
          </cell>
          <cell r="B2378">
            <v>57.36</v>
          </cell>
        </row>
        <row r="2379">
          <cell r="A2379">
            <v>42489</v>
          </cell>
          <cell r="B2379">
            <v>56.23</v>
          </cell>
        </row>
        <row r="2380">
          <cell r="A2380">
            <v>42488</v>
          </cell>
          <cell r="B2380">
            <v>56.42</v>
          </cell>
        </row>
        <row r="2381">
          <cell r="A2381">
            <v>42487</v>
          </cell>
          <cell r="B2381">
            <v>56.9</v>
          </cell>
        </row>
        <row r="2382">
          <cell r="A2382">
            <v>42486</v>
          </cell>
          <cell r="B2382">
            <v>57.72</v>
          </cell>
        </row>
        <row r="2383">
          <cell r="A2383">
            <v>42485</v>
          </cell>
          <cell r="B2383">
            <v>57.77</v>
          </cell>
        </row>
        <row r="2384">
          <cell r="A2384">
            <v>42482</v>
          </cell>
          <cell r="B2384">
            <v>57.68</v>
          </cell>
        </row>
        <row r="2385">
          <cell r="A2385">
            <v>42481</v>
          </cell>
          <cell r="B2385">
            <v>60.64</v>
          </cell>
        </row>
        <row r="2386">
          <cell r="A2386">
            <v>42480</v>
          </cell>
          <cell r="B2386">
            <v>60.9</v>
          </cell>
        </row>
        <row r="2387">
          <cell r="A2387">
            <v>42479</v>
          </cell>
          <cell r="B2387">
            <v>60.9</v>
          </cell>
        </row>
        <row r="2388">
          <cell r="A2388">
            <v>42478</v>
          </cell>
          <cell r="B2388">
            <v>60.89</v>
          </cell>
        </row>
        <row r="2389">
          <cell r="A2389">
            <v>42475</v>
          </cell>
          <cell r="B2389">
            <v>60.51</v>
          </cell>
        </row>
        <row r="2390">
          <cell r="A2390">
            <v>42474</v>
          </cell>
          <cell r="B2390">
            <v>60.13</v>
          </cell>
        </row>
        <row r="2391">
          <cell r="A2391">
            <v>42473</v>
          </cell>
          <cell r="B2391">
            <v>60.21</v>
          </cell>
        </row>
        <row r="2392">
          <cell r="A2392">
            <v>42472</v>
          </cell>
          <cell r="B2392">
            <v>59.5</v>
          </cell>
        </row>
        <row r="2393">
          <cell r="A2393">
            <v>42471</v>
          </cell>
          <cell r="B2393">
            <v>60.9</v>
          </cell>
        </row>
        <row r="2394">
          <cell r="A2394">
            <v>42468</v>
          </cell>
          <cell r="B2394">
            <v>61.04</v>
          </cell>
        </row>
        <row r="2395">
          <cell r="A2395">
            <v>42467</v>
          </cell>
          <cell r="B2395">
            <v>61.17</v>
          </cell>
        </row>
        <row r="2396">
          <cell r="A2396">
            <v>42466</v>
          </cell>
          <cell r="B2396">
            <v>60.83</v>
          </cell>
        </row>
        <row r="2397">
          <cell r="A2397">
            <v>42465</v>
          </cell>
          <cell r="B2397">
            <v>60.04</v>
          </cell>
        </row>
        <row r="2398">
          <cell r="A2398">
            <v>42464</v>
          </cell>
          <cell r="B2398">
            <v>60.25</v>
          </cell>
        </row>
        <row r="2399">
          <cell r="A2399">
            <v>42461</v>
          </cell>
          <cell r="B2399">
            <v>61.02</v>
          </cell>
        </row>
        <row r="2400">
          <cell r="A2400">
            <v>42460</v>
          </cell>
          <cell r="B2400">
            <v>59.7</v>
          </cell>
        </row>
        <row r="2401">
          <cell r="A2401">
            <v>42459</v>
          </cell>
          <cell r="B2401">
            <v>60.01</v>
          </cell>
        </row>
        <row r="2402">
          <cell r="A2402">
            <v>42458</v>
          </cell>
          <cell r="B2402">
            <v>59.55</v>
          </cell>
        </row>
        <row r="2403">
          <cell r="A2403">
            <v>42457</v>
          </cell>
          <cell r="B2403">
            <v>58.96</v>
          </cell>
        </row>
        <row r="2404">
          <cell r="A2404">
            <v>42453</v>
          </cell>
          <cell r="B2404">
            <v>58.36</v>
          </cell>
        </row>
        <row r="2405">
          <cell r="A2405">
            <v>42452</v>
          </cell>
          <cell r="B2405">
            <v>58.83</v>
          </cell>
        </row>
        <row r="2406">
          <cell r="A2406">
            <v>42451</v>
          </cell>
          <cell r="B2406">
            <v>59.38</v>
          </cell>
        </row>
        <row r="2407">
          <cell r="A2407">
            <v>42450</v>
          </cell>
          <cell r="B2407">
            <v>59.1</v>
          </cell>
        </row>
        <row r="2408">
          <cell r="A2408">
            <v>42447</v>
          </cell>
          <cell r="B2408">
            <v>59.7</v>
          </cell>
        </row>
        <row r="2409">
          <cell r="A2409">
            <v>42446</v>
          </cell>
          <cell r="B2409">
            <v>59.55</v>
          </cell>
        </row>
        <row r="2410">
          <cell r="A2410">
            <v>42445</v>
          </cell>
          <cell r="B2410">
            <v>59.67</v>
          </cell>
        </row>
        <row r="2411">
          <cell r="A2411">
            <v>42444</v>
          </cell>
          <cell r="B2411">
            <v>59.08</v>
          </cell>
        </row>
        <row r="2412">
          <cell r="A2412">
            <v>42443</v>
          </cell>
          <cell r="B2412">
            <v>58.65</v>
          </cell>
        </row>
        <row r="2413">
          <cell r="A2413">
            <v>42440</v>
          </cell>
          <cell r="B2413">
            <v>57.59</v>
          </cell>
        </row>
        <row r="2414">
          <cell r="A2414">
            <v>42439</v>
          </cell>
          <cell r="B2414">
            <v>57.52</v>
          </cell>
        </row>
        <row r="2415">
          <cell r="A2415">
            <v>42438</v>
          </cell>
          <cell r="B2415">
            <v>57.07</v>
          </cell>
        </row>
        <row r="2416">
          <cell r="A2416">
            <v>42437</v>
          </cell>
          <cell r="B2416">
            <v>57.6</v>
          </cell>
        </row>
        <row r="2417">
          <cell r="A2417">
            <v>42436</v>
          </cell>
          <cell r="B2417">
            <v>58</v>
          </cell>
        </row>
        <row r="2418">
          <cell r="A2418">
            <v>42433</v>
          </cell>
          <cell r="B2418">
            <v>58.7</v>
          </cell>
        </row>
        <row r="2419">
          <cell r="A2419">
            <v>42432</v>
          </cell>
          <cell r="B2419">
            <v>59.04</v>
          </cell>
        </row>
        <row r="2420">
          <cell r="A2420">
            <v>42431</v>
          </cell>
          <cell r="B2420">
            <v>59.56</v>
          </cell>
        </row>
        <row r="2421">
          <cell r="A2421">
            <v>42430</v>
          </cell>
          <cell r="B2421">
            <v>60.04</v>
          </cell>
        </row>
        <row r="2422">
          <cell r="A2422">
            <v>42429</v>
          </cell>
          <cell r="B2422">
            <v>58.21</v>
          </cell>
        </row>
        <row r="2423">
          <cell r="A2423">
            <v>42426</v>
          </cell>
          <cell r="B2423">
            <v>58.34</v>
          </cell>
        </row>
        <row r="2424">
          <cell r="A2424">
            <v>42425</v>
          </cell>
          <cell r="B2424">
            <v>58.75</v>
          </cell>
        </row>
        <row r="2425">
          <cell r="A2425">
            <v>42424</v>
          </cell>
          <cell r="B2425">
            <v>58.11</v>
          </cell>
        </row>
        <row r="2426">
          <cell r="A2426">
            <v>42423</v>
          </cell>
          <cell r="B2426">
            <v>58.46</v>
          </cell>
        </row>
        <row r="2427">
          <cell r="A2427">
            <v>42422</v>
          </cell>
          <cell r="B2427">
            <v>58.87</v>
          </cell>
        </row>
        <row r="2428">
          <cell r="A2428">
            <v>42419</v>
          </cell>
          <cell r="B2428">
            <v>57.67</v>
          </cell>
        </row>
        <row r="2429">
          <cell r="A2429">
            <v>42418</v>
          </cell>
          <cell r="B2429">
            <v>56.96</v>
          </cell>
        </row>
        <row r="2430">
          <cell r="A2430">
            <v>42417</v>
          </cell>
          <cell r="B2430">
            <v>57.63</v>
          </cell>
        </row>
        <row r="2431">
          <cell r="A2431">
            <v>42416</v>
          </cell>
          <cell r="B2431">
            <v>56.41</v>
          </cell>
        </row>
        <row r="2432">
          <cell r="A2432">
            <v>42412</v>
          </cell>
          <cell r="B2432">
            <v>55.86</v>
          </cell>
        </row>
        <row r="2433">
          <cell r="A2433">
            <v>42411</v>
          </cell>
          <cell r="B2433">
            <v>54.92</v>
          </cell>
        </row>
        <row r="2434">
          <cell r="A2434">
            <v>42410</v>
          </cell>
          <cell r="B2434">
            <v>55.14</v>
          </cell>
        </row>
        <row r="2435">
          <cell r="A2435">
            <v>42409</v>
          </cell>
          <cell r="B2435">
            <v>54.42</v>
          </cell>
        </row>
        <row r="2436">
          <cell r="A2436">
            <v>42408</v>
          </cell>
          <cell r="B2436">
            <v>54.14</v>
          </cell>
        </row>
        <row r="2437">
          <cell r="A2437">
            <v>42405</v>
          </cell>
          <cell r="B2437">
            <v>54.49</v>
          </cell>
        </row>
        <row r="2438">
          <cell r="A2438">
            <v>42404</v>
          </cell>
          <cell r="B2438">
            <v>58.29</v>
          </cell>
        </row>
        <row r="2439">
          <cell r="A2439">
            <v>42403</v>
          </cell>
          <cell r="B2439">
            <v>59.53</v>
          </cell>
        </row>
        <row r="2440">
          <cell r="A2440">
            <v>42402</v>
          </cell>
          <cell r="B2440">
            <v>60.695</v>
          </cell>
        </row>
        <row r="2441">
          <cell r="A2441">
            <v>42401</v>
          </cell>
          <cell r="B2441">
            <v>61.4</v>
          </cell>
        </row>
        <row r="2442">
          <cell r="A2442">
            <v>42398</v>
          </cell>
          <cell r="B2442">
            <v>60.77</v>
          </cell>
        </row>
        <row r="2443">
          <cell r="A2443">
            <v>42397</v>
          </cell>
          <cell r="B2443">
            <v>59.284999999999997</v>
          </cell>
        </row>
        <row r="2444">
          <cell r="A2444">
            <v>42396</v>
          </cell>
          <cell r="B2444">
            <v>57.63</v>
          </cell>
        </row>
        <row r="2445">
          <cell r="A2445">
            <v>42395</v>
          </cell>
          <cell r="B2445">
            <v>58.61</v>
          </cell>
        </row>
        <row r="2446">
          <cell r="A2446">
            <v>42394</v>
          </cell>
          <cell r="B2446">
            <v>57.71</v>
          </cell>
        </row>
        <row r="2447">
          <cell r="A2447">
            <v>42391</v>
          </cell>
          <cell r="B2447">
            <v>59.17</v>
          </cell>
        </row>
        <row r="2448">
          <cell r="A2448">
            <v>42390</v>
          </cell>
          <cell r="B2448">
            <v>59.03</v>
          </cell>
        </row>
        <row r="2449">
          <cell r="A2449">
            <v>42389</v>
          </cell>
          <cell r="B2449">
            <v>56.92</v>
          </cell>
        </row>
        <row r="2450">
          <cell r="A2450">
            <v>42388</v>
          </cell>
          <cell r="B2450">
            <v>58.55</v>
          </cell>
        </row>
        <row r="2451">
          <cell r="A2451">
            <v>42384</v>
          </cell>
          <cell r="B2451">
            <v>58</v>
          </cell>
        </row>
        <row r="2452">
          <cell r="A2452">
            <v>42383</v>
          </cell>
          <cell r="B2452">
            <v>58.98</v>
          </cell>
        </row>
        <row r="2453">
          <cell r="A2453">
            <v>42382</v>
          </cell>
          <cell r="B2453">
            <v>57.87</v>
          </cell>
        </row>
        <row r="2454">
          <cell r="A2454">
            <v>42381</v>
          </cell>
          <cell r="B2454">
            <v>59.46</v>
          </cell>
        </row>
        <row r="2455">
          <cell r="A2455">
            <v>42380</v>
          </cell>
          <cell r="B2455">
            <v>57.82</v>
          </cell>
        </row>
        <row r="2456">
          <cell r="A2456">
            <v>42377</v>
          </cell>
          <cell r="B2456">
            <v>56.63</v>
          </cell>
        </row>
        <row r="2457">
          <cell r="A2457">
            <v>42376</v>
          </cell>
          <cell r="B2457">
            <v>56.69</v>
          </cell>
        </row>
        <row r="2458">
          <cell r="A2458">
            <v>42375</v>
          </cell>
          <cell r="B2458">
            <v>58.13</v>
          </cell>
        </row>
        <row r="2459">
          <cell r="A2459">
            <v>42374</v>
          </cell>
          <cell r="B2459">
            <v>58.65</v>
          </cell>
        </row>
        <row r="2460">
          <cell r="A2460">
            <v>42373</v>
          </cell>
          <cell r="B2460">
            <v>58.26</v>
          </cell>
        </row>
        <row r="2461">
          <cell r="A2461">
            <v>42369</v>
          </cell>
          <cell r="B2461">
            <v>60.03</v>
          </cell>
        </row>
        <row r="2462">
          <cell r="A2462">
            <v>42368</v>
          </cell>
          <cell r="B2462">
            <v>60.82</v>
          </cell>
        </row>
        <row r="2463">
          <cell r="A2463">
            <v>42367</v>
          </cell>
          <cell r="B2463">
            <v>61.13</v>
          </cell>
        </row>
        <row r="2464">
          <cell r="A2464">
            <v>42366</v>
          </cell>
          <cell r="B2464">
            <v>60.19</v>
          </cell>
        </row>
        <row r="2465">
          <cell r="A2465">
            <v>42362</v>
          </cell>
          <cell r="B2465">
            <v>60.32</v>
          </cell>
        </row>
        <row r="2466">
          <cell r="A2466">
            <v>42361</v>
          </cell>
          <cell r="B2466">
            <v>60.34</v>
          </cell>
        </row>
        <row r="2467">
          <cell r="A2467">
            <v>42360</v>
          </cell>
          <cell r="B2467">
            <v>59.99</v>
          </cell>
        </row>
        <row r="2468">
          <cell r="A2468">
            <v>42359</v>
          </cell>
          <cell r="B2468">
            <v>59.54</v>
          </cell>
        </row>
        <row r="2469">
          <cell r="A2469">
            <v>42356</v>
          </cell>
          <cell r="B2469">
            <v>58.62</v>
          </cell>
        </row>
        <row r="2470">
          <cell r="A2470">
            <v>42355</v>
          </cell>
          <cell r="B2470">
            <v>59.515000000000001</v>
          </cell>
        </row>
        <row r="2471">
          <cell r="A2471">
            <v>42354</v>
          </cell>
          <cell r="B2471">
            <v>60.35</v>
          </cell>
        </row>
        <row r="2472">
          <cell r="A2472">
            <v>42353</v>
          </cell>
          <cell r="B2472">
            <v>59.98</v>
          </cell>
        </row>
        <row r="2473">
          <cell r="A2473">
            <v>42352</v>
          </cell>
          <cell r="B2473">
            <v>59.92</v>
          </cell>
        </row>
        <row r="2474">
          <cell r="A2474">
            <v>42349</v>
          </cell>
          <cell r="B2474">
            <v>59.82</v>
          </cell>
        </row>
        <row r="2475">
          <cell r="A2475">
            <v>42348</v>
          </cell>
          <cell r="B2475">
            <v>61.87</v>
          </cell>
        </row>
        <row r="2476">
          <cell r="A2476">
            <v>42347</v>
          </cell>
          <cell r="B2476">
            <v>61.18</v>
          </cell>
        </row>
        <row r="2477">
          <cell r="A2477">
            <v>42346</v>
          </cell>
          <cell r="B2477">
            <v>62.16</v>
          </cell>
        </row>
        <row r="2478">
          <cell r="A2478">
            <v>42345</v>
          </cell>
          <cell r="B2478">
            <v>61.89</v>
          </cell>
        </row>
        <row r="2479">
          <cell r="A2479">
            <v>42342</v>
          </cell>
          <cell r="B2479">
            <v>61.75</v>
          </cell>
        </row>
        <row r="2480">
          <cell r="A2480">
            <v>42341</v>
          </cell>
          <cell r="B2480">
            <v>59.55</v>
          </cell>
        </row>
        <row r="2481">
          <cell r="A2481">
            <v>42340</v>
          </cell>
          <cell r="B2481">
            <v>61.22</v>
          </cell>
        </row>
        <row r="2482">
          <cell r="A2482">
            <v>42339</v>
          </cell>
          <cell r="B2482">
            <v>61.37</v>
          </cell>
        </row>
        <row r="2483">
          <cell r="A2483">
            <v>42338</v>
          </cell>
          <cell r="B2483">
            <v>61.39</v>
          </cell>
        </row>
        <row r="2484">
          <cell r="A2484">
            <v>42335</v>
          </cell>
          <cell r="B2484">
            <v>62.18</v>
          </cell>
        </row>
        <row r="2485">
          <cell r="A2485">
            <v>42333</v>
          </cell>
          <cell r="B2485">
            <v>62.19</v>
          </cell>
        </row>
        <row r="2486">
          <cell r="A2486">
            <v>42332</v>
          </cell>
          <cell r="B2486">
            <v>61.96</v>
          </cell>
        </row>
        <row r="2487">
          <cell r="A2487">
            <v>42331</v>
          </cell>
          <cell r="B2487">
            <v>62.64</v>
          </cell>
        </row>
        <row r="2488">
          <cell r="A2488">
            <v>42328</v>
          </cell>
          <cell r="B2488">
            <v>61.99</v>
          </cell>
        </row>
        <row r="2489">
          <cell r="A2489">
            <v>42327</v>
          </cell>
          <cell r="B2489">
            <v>61.46</v>
          </cell>
        </row>
        <row r="2490">
          <cell r="A2490">
            <v>42326</v>
          </cell>
          <cell r="B2490">
            <v>61.8</v>
          </cell>
        </row>
        <row r="2491">
          <cell r="A2491">
            <v>42325</v>
          </cell>
          <cell r="B2491">
            <v>60.55</v>
          </cell>
        </row>
        <row r="2492">
          <cell r="A2492">
            <v>42324</v>
          </cell>
          <cell r="B2492">
            <v>60.68</v>
          </cell>
        </row>
        <row r="2493">
          <cell r="A2493">
            <v>42321</v>
          </cell>
          <cell r="B2493">
            <v>59.74</v>
          </cell>
        </row>
        <row r="2494">
          <cell r="A2494">
            <v>42320</v>
          </cell>
          <cell r="B2494">
            <v>61.07</v>
          </cell>
        </row>
        <row r="2495">
          <cell r="A2495">
            <v>42319</v>
          </cell>
          <cell r="B2495">
            <v>61.87</v>
          </cell>
        </row>
        <row r="2496">
          <cell r="A2496">
            <v>42318</v>
          </cell>
          <cell r="B2496">
            <v>62.18</v>
          </cell>
        </row>
        <row r="2497">
          <cell r="A2497">
            <v>42317</v>
          </cell>
          <cell r="B2497">
            <v>61.34</v>
          </cell>
        </row>
        <row r="2498">
          <cell r="A2498">
            <v>42314</v>
          </cell>
          <cell r="B2498">
            <v>61.97</v>
          </cell>
        </row>
        <row r="2499">
          <cell r="A2499">
            <v>42313</v>
          </cell>
          <cell r="B2499">
            <v>62.28</v>
          </cell>
        </row>
        <row r="2500">
          <cell r="A2500">
            <v>42312</v>
          </cell>
          <cell r="B2500">
            <v>61.96</v>
          </cell>
        </row>
        <row r="2501">
          <cell r="A2501">
            <v>42311</v>
          </cell>
          <cell r="B2501">
            <v>62.8</v>
          </cell>
        </row>
        <row r="2502">
          <cell r="A2502">
            <v>42310</v>
          </cell>
          <cell r="B2502">
            <v>62.24</v>
          </cell>
        </row>
        <row r="2503">
          <cell r="A2503">
            <v>42307</v>
          </cell>
          <cell r="B2503">
            <v>62.57</v>
          </cell>
        </row>
        <row r="2504">
          <cell r="A2504">
            <v>42306</v>
          </cell>
          <cell r="B2504">
            <v>62.5</v>
          </cell>
        </row>
        <row r="2505">
          <cell r="A2505">
            <v>42305</v>
          </cell>
          <cell r="B2505">
            <v>63.51</v>
          </cell>
        </row>
        <row r="2506">
          <cell r="A2506">
            <v>42304</v>
          </cell>
          <cell r="B2506">
            <v>62.71</v>
          </cell>
        </row>
        <row r="2507">
          <cell r="A2507">
            <v>42303</v>
          </cell>
          <cell r="B2507">
            <v>63.43</v>
          </cell>
        </row>
        <row r="2508">
          <cell r="A2508">
            <v>42300</v>
          </cell>
          <cell r="B2508">
            <v>62.61</v>
          </cell>
        </row>
        <row r="2509">
          <cell r="A2509">
            <v>42299</v>
          </cell>
          <cell r="B2509">
            <v>61.49</v>
          </cell>
        </row>
        <row r="2510">
          <cell r="A2510">
            <v>42298</v>
          </cell>
          <cell r="B2510">
            <v>60.53</v>
          </cell>
        </row>
        <row r="2511">
          <cell r="A2511">
            <v>42297</v>
          </cell>
          <cell r="B2511">
            <v>60.88</v>
          </cell>
        </row>
        <row r="2512">
          <cell r="A2512">
            <v>42296</v>
          </cell>
          <cell r="B2512">
            <v>60.97</v>
          </cell>
        </row>
        <row r="2513">
          <cell r="A2513">
            <v>42293</v>
          </cell>
          <cell r="B2513">
            <v>59.93</v>
          </cell>
        </row>
        <row r="2514">
          <cell r="A2514">
            <v>42292</v>
          </cell>
          <cell r="B2514">
            <v>59.69</v>
          </cell>
        </row>
        <row r="2515">
          <cell r="A2515">
            <v>42291</v>
          </cell>
          <cell r="B2515">
            <v>58.82</v>
          </cell>
        </row>
        <row r="2516">
          <cell r="A2516">
            <v>42290</v>
          </cell>
          <cell r="B2516">
            <v>60.16</v>
          </cell>
        </row>
        <row r="2517">
          <cell r="A2517">
            <v>42289</v>
          </cell>
          <cell r="B2517">
            <v>60.54</v>
          </cell>
        </row>
        <row r="2518">
          <cell r="A2518">
            <v>42286</v>
          </cell>
          <cell r="B2518">
            <v>60.07</v>
          </cell>
        </row>
        <row r="2519">
          <cell r="A2519">
            <v>42285</v>
          </cell>
          <cell r="B2519">
            <v>59.46</v>
          </cell>
        </row>
        <row r="2520">
          <cell r="A2520">
            <v>42284</v>
          </cell>
          <cell r="B2520">
            <v>58.78</v>
          </cell>
        </row>
        <row r="2521">
          <cell r="A2521">
            <v>42283</v>
          </cell>
          <cell r="B2521">
            <v>58.69</v>
          </cell>
        </row>
        <row r="2522">
          <cell r="A2522">
            <v>42282</v>
          </cell>
          <cell r="B2522">
            <v>59.04</v>
          </cell>
        </row>
        <row r="2523">
          <cell r="A2523">
            <v>42279</v>
          </cell>
          <cell r="B2523">
            <v>58.08</v>
          </cell>
        </row>
        <row r="2524">
          <cell r="A2524">
            <v>42278</v>
          </cell>
          <cell r="B2524">
            <v>57.48</v>
          </cell>
        </row>
        <row r="2525">
          <cell r="A2525">
            <v>42277</v>
          </cell>
          <cell r="B2525">
            <v>56.84</v>
          </cell>
        </row>
        <row r="2526">
          <cell r="A2526">
            <v>42276</v>
          </cell>
          <cell r="B2526">
            <v>55.72</v>
          </cell>
        </row>
        <row r="2527">
          <cell r="A2527">
            <v>42275</v>
          </cell>
          <cell r="B2527">
            <v>55.77</v>
          </cell>
        </row>
        <row r="2528">
          <cell r="A2528">
            <v>42272</v>
          </cell>
          <cell r="B2528">
            <v>57.99</v>
          </cell>
        </row>
        <row r="2529">
          <cell r="A2529">
            <v>42271</v>
          </cell>
          <cell r="B2529">
            <v>58.37</v>
          </cell>
        </row>
        <row r="2530">
          <cell r="A2530">
            <v>42270</v>
          </cell>
          <cell r="B2530">
            <v>57.79</v>
          </cell>
        </row>
        <row r="2531">
          <cell r="A2531">
            <v>42269</v>
          </cell>
          <cell r="B2531">
            <v>57.12</v>
          </cell>
        </row>
        <row r="2532">
          <cell r="A2532">
            <v>42268</v>
          </cell>
          <cell r="B2532">
            <v>57.54</v>
          </cell>
        </row>
        <row r="2533">
          <cell r="A2533">
            <v>42265</v>
          </cell>
          <cell r="B2533">
            <v>56.84</v>
          </cell>
        </row>
        <row r="2534">
          <cell r="A2534">
            <v>42264</v>
          </cell>
          <cell r="B2534">
            <v>57.28</v>
          </cell>
        </row>
        <row r="2535">
          <cell r="A2535">
            <v>42263</v>
          </cell>
          <cell r="B2535">
            <v>57.26</v>
          </cell>
        </row>
        <row r="2536">
          <cell r="A2536">
            <v>42262</v>
          </cell>
          <cell r="B2536">
            <v>56.91</v>
          </cell>
        </row>
        <row r="2537">
          <cell r="A2537">
            <v>42261</v>
          </cell>
          <cell r="B2537">
            <v>56.29</v>
          </cell>
        </row>
        <row r="2538">
          <cell r="A2538">
            <v>42258</v>
          </cell>
          <cell r="B2538">
            <v>56.53</v>
          </cell>
        </row>
        <row r="2539">
          <cell r="A2539">
            <v>42257</v>
          </cell>
          <cell r="B2539">
            <v>55.37</v>
          </cell>
        </row>
        <row r="2540">
          <cell r="A2540">
            <v>42256</v>
          </cell>
          <cell r="B2540">
            <v>54.69</v>
          </cell>
        </row>
        <row r="2541">
          <cell r="A2541">
            <v>42255</v>
          </cell>
          <cell r="B2541">
            <v>55.21</v>
          </cell>
        </row>
        <row r="2542">
          <cell r="A2542">
            <v>42251</v>
          </cell>
          <cell r="B2542">
            <v>54.28</v>
          </cell>
        </row>
        <row r="2543">
          <cell r="A2543">
            <v>42250</v>
          </cell>
          <cell r="B2543">
            <v>54.69</v>
          </cell>
        </row>
        <row r="2544">
          <cell r="A2544">
            <v>42249</v>
          </cell>
          <cell r="B2544">
            <v>55.26</v>
          </cell>
        </row>
        <row r="2545">
          <cell r="A2545">
            <v>42248</v>
          </cell>
          <cell r="B2545">
            <v>53.5</v>
          </cell>
        </row>
        <row r="2546">
          <cell r="A2546">
            <v>42247</v>
          </cell>
          <cell r="B2546">
            <v>54.71</v>
          </cell>
        </row>
        <row r="2547">
          <cell r="A2547">
            <v>42244</v>
          </cell>
          <cell r="B2547">
            <v>55.63</v>
          </cell>
        </row>
        <row r="2548">
          <cell r="A2548">
            <v>42243</v>
          </cell>
          <cell r="B2548">
            <v>55.95</v>
          </cell>
        </row>
        <row r="2549">
          <cell r="A2549">
            <v>42242</v>
          </cell>
          <cell r="B2549">
            <v>53.96</v>
          </cell>
        </row>
        <row r="2550">
          <cell r="A2550">
            <v>42241</v>
          </cell>
          <cell r="B2550">
            <v>51.09</v>
          </cell>
        </row>
        <row r="2551">
          <cell r="A2551">
            <v>42240</v>
          </cell>
          <cell r="B2551">
            <v>50.34</v>
          </cell>
        </row>
        <row r="2552">
          <cell r="A2552">
            <v>42237</v>
          </cell>
          <cell r="B2552">
            <v>52.84</v>
          </cell>
        </row>
        <row r="2553">
          <cell r="A2553">
            <v>42236</v>
          </cell>
          <cell r="B2553">
            <v>55.81</v>
          </cell>
        </row>
        <row r="2554">
          <cell r="A2554">
            <v>42235</v>
          </cell>
          <cell r="B2554">
            <v>57.59</v>
          </cell>
        </row>
        <row r="2555">
          <cell r="A2555">
            <v>42234</v>
          </cell>
          <cell r="B2555">
            <v>57.83</v>
          </cell>
        </row>
        <row r="2556">
          <cell r="A2556">
            <v>42233</v>
          </cell>
          <cell r="B2556">
            <v>57.74</v>
          </cell>
        </row>
        <row r="2557">
          <cell r="A2557">
            <v>42230</v>
          </cell>
          <cell r="B2557">
            <v>57.1</v>
          </cell>
        </row>
        <row r="2558">
          <cell r="A2558">
            <v>42229</v>
          </cell>
          <cell r="B2558">
            <v>56.85</v>
          </cell>
        </row>
        <row r="2559">
          <cell r="A2559">
            <v>42228</v>
          </cell>
          <cell r="B2559">
            <v>56.38</v>
          </cell>
        </row>
        <row r="2560">
          <cell r="A2560">
            <v>42227</v>
          </cell>
          <cell r="B2560">
            <v>56.35</v>
          </cell>
        </row>
        <row r="2561">
          <cell r="A2561">
            <v>42226</v>
          </cell>
          <cell r="B2561">
            <v>56.27</v>
          </cell>
        </row>
        <row r="2562">
          <cell r="A2562">
            <v>42223</v>
          </cell>
          <cell r="B2562">
            <v>57.2</v>
          </cell>
        </row>
        <row r="2563">
          <cell r="A2563">
            <v>42222</v>
          </cell>
          <cell r="B2563">
            <v>57.23</v>
          </cell>
        </row>
        <row r="2564">
          <cell r="A2564">
            <v>42221</v>
          </cell>
          <cell r="B2564">
            <v>59.01</v>
          </cell>
        </row>
        <row r="2565">
          <cell r="A2565">
            <v>42220</v>
          </cell>
          <cell r="B2565">
            <v>58.7</v>
          </cell>
        </row>
        <row r="2566">
          <cell r="A2566">
            <v>42219</v>
          </cell>
          <cell r="B2566">
            <v>58.19</v>
          </cell>
        </row>
        <row r="2567">
          <cell r="A2567">
            <v>42216</v>
          </cell>
          <cell r="B2567">
            <v>57.93</v>
          </cell>
        </row>
        <row r="2568">
          <cell r="A2568">
            <v>42215</v>
          </cell>
          <cell r="B2568">
            <v>58.06</v>
          </cell>
        </row>
        <row r="2569">
          <cell r="A2569">
            <v>42214</v>
          </cell>
          <cell r="B2569">
            <v>57.51</v>
          </cell>
        </row>
        <row r="2570">
          <cell r="A2570">
            <v>42213</v>
          </cell>
          <cell r="B2570">
            <v>57.14</v>
          </cell>
        </row>
        <row r="2571">
          <cell r="A2571">
            <v>42212</v>
          </cell>
          <cell r="B2571">
            <v>56.98</v>
          </cell>
        </row>
        <row r="2572">
          <cell r="A2572">
            <v>42209</v>
          </cell>
          <cell r="B2572">
            <v>57.29</v>
          </cell>
        </row>
        <row r="2573">
          <cell r="A2573">
            <v>42208</v>
          </cell>
          <cell r="B2573">
            <v>56.56</v>
          </cell>
        </row>
        <row r="2574">
          <cell r="A2574">
            <v>42207</v>
          </cell>
          <cell r="B2574">
            <v>56.69</v>
          </cell>
        </row>
        <row r="2575">
          <cell r="A2575">
            <v>42206</v>
          </cell>
          <cell r="B2575">
            <v>56.2</v>
          </cell>
        </row>
        <row r="2576">
          <cell r="A2576">
            <v>42205</v>
          </cell>
          <cell r="B2576">
            <v>56.21</v>
          </cell>
        </row>
        <row r="2577">
          <cell r="A2577">
            <v>42202</v>
          </cell>
          <cell r="B2577">
            <v>55.69</v>
          </cell>
        </row>
        <row r="2578">
          <cell r="A2578">
            <v>42201</v>
          </cell>
          <cell r="B2578">
            <v>55.74</v>
          </cell>
        </row>
        <row r="2579">
          <cell r="A2579">
            <v>42200</v>
          </cell>
          <cell r="B2579">
            <v>55.34</v>
          </cell>
        </row>
        <row r="2580">
          <cell r="A2580">
            <v>42199</v>
          </cell>
          <cell r="B2580">
            <v>55.75</v>
          </cell>
        </row>
        <row r="2581">
          <cell r="A2581">
            <v>42198</v>
          </cell>
          <cell r="B2581">
            <v>55.7</v>
          </cell>
        </row>
        <row r="2582">
          <cell r="A2582">
            <v>42195</v>
          </cell>
          <cell r="B2582">
            <v>54.57</v>
          </cell>
        </row>
        <row r="2583">
          <cell r="A2583">
            <v>42194</v>
          </cell>
          <cell r="B2583">
            <v>54.05</v>
          </cell>
        </row>
        <row r="2584">
          <cell r="A2584">
            <v>42193</v>
          </cell>
          <cell r="B2584">
            <v>53.39</v>
          </cell>
        </row>
        <row r="2585">
          <cell r="A2585">
            <v>42192</v>
          </cell>
          <cell r="B2585">
            <v>54.375</v>
          </cell>
        </row>
        <row r="2586">
          <cell r="A2586">
            <v>42191</v>
          </cell>
          <cell r="B2586">
            <v>54.305</v>
          </cell>
        </row>
        <row r="2587">
          <cell r="A2587">
            <v>42187</v>
          </cell>
          <cell r="B2587">
            <v>54.24</v>
          </cell>
        </row>
        <row r="2588">
          <cell r="A2588">
            <v>42186</v>
          </cell>
          <cell r="B2588">
            <v>53.89</v>
          </cell>
        </row>
        <row r="2589">
          <cell r="A2589">
            <v>42185</v>
          </cell>
          <cell r="B2589">
            <v>53.615000000000002</v>
          </cell>
        </row>
        <row r="2590">
          <cell r="A2590">
            <v>42184</v>
          </cell>
          <cell r="B2590">
            <v>53.55</v>
          </cell>
        </row>
        <row r="2591">
          <cell r="A2591">
            <v>42181</v>
          </cell>
          <cell r="B2591">
            <v>54.62</v>
          </cell>
        </row>
        <row r="2592">
          <cell r="A2592">
            <v>42180</v>
          </cell>
          <cell r="B2592">
            <v>54.07</v>
          </cell>
        </row>
        <row r="2593">
          <cell r="A2593">
            <v>42179</v>
          </cell>
          <cell r="B2593">
            <v>53.71</v>
          </cell>
        </row>
        <row r="2594">
          <cell r="A2594">
            <v>42178</v>
          </cell>
          <cell r="B2594">
            <v>54.115000000000002</v>
          </cell>
        </row>
        <row r="2595">
          <cell r="A2595">
            <v>42177</v>
          </cell>
          <cell r="B2595">
            <v>53.9</v>
          </cell>
        </row>
        <row r="2596">
          <cell r="A2596">
            <v>42174</v>
          </cell>
          <cell r="B2596">
            <v>53.93</v>
          </cell>
        </row>
        <row r="2597">
          <cell r="A2597">
            <v>42173</v>
          </cell>
          <cell r="B2597">
            <v>54.11</v>
          </cell>
        </row>
        <row r="2598">
          <cell r="A2598">
            <v>42172</v>
          </cell>
          <cell r="B2598">
            <v>53.24</v>
          </cell>
        </row>
        <row r="2599">
          <cell r="A2599">
            <v>42171</v>
          </cell>
          <cell r="B2599">
            <v>52.965000000000003</v>
          </cell>
        </row>
        <row r="2600">
          <cell r="A2600">
            <v>42170</v>
          </cell>
          <cell r="B2600">
            <v>52.27</v>
          </cell>
        </row>
        <row r="2601">
          <cell r="A2601">
            <v>42167</v>
          </cell>
          <cell r="B2601">
            <v>52.63</v>
          </cell>
        </row>
        <row r="2602">
          <cell r="A2602">
            <v>42166</v>
          </cell>
          <cell r="B2602">
            <v>52.49</v>
          </cell>
        </row>
        <row r="2603">
          <cell r="A2603">
            <v>42165</v>
          </cell>
          <cell r="B2603">
            <v>52.69</v>
          </cell>
        </row>
        <row r="2604">
          <cell r="A2604">
            <v>42164</v>
          </cell>
          <cell r="B2604">
            <v>51.54</v>
          </cell>
        </row>
        <row r="2605">
          <cell r="A2605">
            <v>42163</v>
          </cell>
          <cell r="B2605">
            <v>51.53</v>
          </cell>
        </row>
        <row r="2606">
          <cell r="A2606">
            <v>42160</v>
          </cell>
          <cell r="B2606">
            <v>52.19</v>
          </cell>
        </row>
        <row r="2607">
          <cell r="A2607">
            <v>42159</v>
          </cell>
          <cell r="B2607">
            <v>51.72</v>
          </cell>
        </row>
        <row r="2608">
          <cell r="A2608">
            <v>42158</v>
          </cell>
          <cell r="B2608">
            <v>52.12</v>
          </cell>
        </row>
        <row r="2609">
          <cell r="A2609">
            <v>42157</v>
          </cell>
          <cell r="B2609">
            <v>51.73</v>
          </cell>
        </row>
        <row r="2610">
          <cell r="A2610">
            <v>42156</v>
          </cell>
          <cell r="B2610">
            <v>52.22</v>
          </cell>
        </row>
        <row r="2611">
          <cell r="A2611">
            <v>42153</v>
          </cell>
          <cell r="B2611">
            <v>51.96</v>
          </cell>
        </row>
        <row r="2612">
          <cell r="A2612">
            <v>42152</v>
          </cell>
          <cell r="B2612">
            <v>51.81</v>
          </cell>
        </row>
        <row r="2613">
          <cell r="A2613">
            <v>42151</v>
          </cell>
          <cell r="B2613">
            <v>51.59</v>
          </cell>
        </row>
        <row r="2614">
          <cell r="A2614">
            <v>42150</v>
          </cell>
          <cell r="B2614">
            <v>50.84</v>
          </cell>
        </row>
        <row r="2615">
          <cell r="A2615">
            <v>42146</v>
          </cell>
          <cell r="B2615">
            <v>51.48</v>
          </cell>
        </row>
        <row r="2616">
          <cell r="A2616">
            <v>42145</v>
          </cell>
          <cell r="B2616">
            <v>51.33</v>
          </cell>
        </row>
        <row r="2617">
          <cell r="A2617">
            <v>42144</v>
          </cell>
          <cell r="B2617">
            <v>51.03</v>
          </cell>
        </row>
        <row r="2618">
          <cell r="A2618">
            <v>42143</v>
          </cell>
          <cell r="B2618">
            <v>51.42</v>
          </cell>
        </row>
        <row r="2619">
          <cell r="A2619">
            <v>42142</v>
          </cell>
          <cell r="B2619">
            <v>51.18</v>
          </cell>
        </row>
        <row r="2620">
          <cell r="A2620">
            <v>42139</v>
          </cell>
          <cell r="B2620">
            <v>50.8</v>
          </cell>
        </row>
        <row r="2621">
          <cell r="A2621">
            <v>42138</v>
          </cell>
          <cell r="B2621">
            <v>50.555</v>
          </cell>
        </row>
        <row r="2622">
          <cell r="A2622">
            <v>42137</v>
          </cell>
          <cell r="B2622">
            <v>49.59</v>
          </cell>
        </row>
        <row r="2623">
          <cell r="A2623">
            <v>42136</v>
          </cell>
          <cell r="B2623">
            <v>49.71</v>
          </cell>
        </row>
        <row r="2624">
          <cell r="A2624">
            <v>42135</v>
          </cell>
          <cell r="B2624">
            <v>49.5</v>
          </cell>
        </row>
        <row r="2625">
          <cell r="A2625">
            <v>42132</v>
          </cell>
          <cell r="B2625">
            <v>49.78</v>
          </cell>
        </row>
        <row r="2626">
          <cell r="A2626">
            <v>42131</v>
          </cell>
          <cell r="B2626">
            <v>49.35</v>
          </cell>
        </row>
        <row r="2627">
          <cell r="A2627">
            <v>42130</v>
          </cell>
          <cell r="B2627">
            <v>48.93</v>
          </cell>
        </row>
        <row r="2628">
          <cell r="A2628">
            <v>42129</v>
          </cell>
          <cell r="B2628">
            <v>49.405000000000001</v>
          </cell>
        </row>
        <row r="2629">
          <cell r="A2629">
            <v>42128</v>
          </cell>
          <cell r="B2629">
            <v>50.445</v>
          </cell>
        </row>
        <row r="2630">
          <cell r="A2630">
            <v>42125</v>
          </cell>
          <cell r="B2630">
            <v>50.29</v>
          </cell>
        </row>
        <row r="2631">
          <cell r="A2631">
            <v>42124</v>
          </cell>
          <cell r="B2631">
            <v>49.58</v>
          </cell>
        </row>
        <row r="2632">
          <cell r="A2632">
            <v>42123</v>
          </cell>
          <cell r="B2632">
            <v>50.65</v>
          </cell>
        </row>
        <row r="2633">
          <cell r="A2633">
            <v>42122</v>
          </cell>
          <cell r="B2633">
            <v>50.61</v>
          </cell>
        </row>
        <row r="2634">
          <cell r="A2634">
            <v>42121</v>
          </cell>
          <cell r="B2634">
            <v>50.87</v>
          </cell>
        </row>
        <row r="2635">
          <cell r="A2635">
            <v>42118</v>
          </cell>
          <cell r="B2635">
            <v>51.84</v>
          </cell>
        </row>
        <row r="2636">
          <cell r="A2636">
            <v>42117</v>
          </cell>
          <cell r="B2636">
            <v>49.43</v>
          </cell>
        </row>
        <row r="2637">
          <cell r="A2637">
            <v>42116</v>
          </cell>
          <cell r="B2637">
            <v>48.335000000000001</v>
          </cell>
        </row>
        <row r="2638">
          <cell r="A2638">
            <v>42115</v>
          </cell>
          <cell r="B2638">
            <v>48.37</v>
          </cell>
        </row>
        <row r="2639">
          <cell r="A2639">
            <v>42114</v>
          </cell>
          <cell r="B2639">
            <v>47.97</v>
          </cell>
        </row>
        <row r="2640">
          <cell r="A2640">
            <v>42111</v>
          </cell>
          <cell r="B2640">
            <v>47.62</v>
          </cell>
        </row>
        <row r="2641">
          <cell r="A2641">
            <v>42110</v>
          </cell>
          <cell r="B2641">
            <v>48.244999999999997</v>
          </cell>
        </row>
        <row r="2642">
          <cell r="A2642">
            <v>42109</v>
          </cell>
          <cell r="B2642">
            <v>48.14</v>
          </cell>
        </row>
        <row r="2643">
          <cell r="A2643">
            <v>42108</v>
          </cell>
          <cell r="B2643">
            <v>48.3</v>
          </cell>
        </row>
        <row r="2644">
          <cell r="A2644">
            <v>42107</v>
          </cell>
          <cell r="B2644">
            <v>48.5</v>
          </cell>
        </row>
        <row r="2645">
          <cell r="A2645">
            <v>42104</v>
          </cell>
          <cell r="B2645">
            <v>48.17</v>
          </cell>
        </row>
        <row r="2646">
          <cell r="A2646">
            <v>42103</v>
          </cell>
          <cell r="B2646">
            <v>47.96</v>
          </cell>
        </row>
        <row r="2647">
          <cell r="A2647">
            <v>42102</v>
          </cell>
          <cell r="B2647">
            <v>47.615000000000002</v>
          </cell>
        </row>
        <row r="2648">
          <cell r="A2648">
            <v>42101</v>
          </cell>
          <cell r="B2648">
            <v>47.034999999999997</v>
          </cell>
        </row>
        <row r="2649">
          <cell r="A2649">
            <v>42100</v>
          </cell>
          <cell r="B2649">
            <v>47.26</v>
          </cell>
        </row>
        <row r="2650">
          <cell r="A2650">
            <v>42096</v>
          </cell>
          <cell r="B2650">
            <v>47.195</v>
          </cell>
        </row>
        <row r="2651">
          <cell r="A2651">
            <v>42095</v>
          </cell>
          <cell r="B2651">
            <v>46.51</v>
          </cell>
        </row>
        <row r="2652">
          <cell r="A2652">
            <v>42094</v>
          </cell>
          <cell r="B2652">
            <v>47.35</v>
          </cell>
        </row>
        <row r="2653">
          <cell r="A2653">
            <v>42093</v>
          </cell>
          <cell r="B2653">
            <v>47.99</v>
          </cell>
        </row>
        <row r="2654">
          <cell r="A2654">
            <v>42090</v>
          </cell>
          <cell r="B2654">
            <v>47.534999999999997</v>
          </cell>
        </row>
        <row r="2655">
          <cell r="A2655">
            <v>42089</v>
          </cell>
          <cell r="B2655">
            <v>47.54</v>
          </cell>
        </row>
        <row r="2656">
          <cell r="A2656">
            <v>42088</v>
          </cell>
          <cell r="B2656">
            <v>47.884999999999998</v>
          </cell>
        </row>
        <row r="2657">
          <cell r="A2657">
            <v>42087</v>
          </cell>
          <cell r="B2657">
            <v>48.957500000000003</v>
          </cell>
        </row>
        <row r="2658">
          <cell r="A2658">
            <v>42086</v>
          </cell>
          <cell r="B2658">
            <v>48.685000000000002</v>
          </cell>
        </row>
        <row r="2659">
          <cell r="A2659">
            <v>42083</v>
          </cell>
          <cell r="B2659">
            <v>48.73</v>
          </cell>
        </row>
        <row r="2660">
          <cell r="A2660">
            <v>42082</v>
          </cell>
          <cell r="B2660">
            <v>48.88</v>
          </cell>
        </row>
        <row r="2661">
          <cell r="A2661">
            <v>42081</v>
          </cell>
          <cell r="B2661">
            <v>47.92</v>
          </cell>
        </row>
        <row r="2662">
          <cell r="A2662">
            <v>42080</v>
          </cell>
          <cell r="B2662">
            <v>47.192500000000003</v>
          </cell>
        </row>
        <row r="2663">
          <cell r="A2663">
            <v>42079</v>
          </cell>
          <cell r="B2663">
            <v>47.022500000000001</v>
          </cell>
        </row>
        <row r="2664">
          <cell r="A2664">
            <v>42076</v>
          </cell>
          <cell r="B2664">
            <v>46.645000000000003</v>
          </cell>
        </row>
        <row r="2665">
          <cell r="A2665">
            <v>42075</v>
          </cell>
          <cell r="B2665">
            <v>46.69</v>
          </cell>
        </row>
        <row r="2666">
          <cell r="A2666">
            <v>42074</v>
          </cell>
          <cell r="B2666">
            <v>45.71</v>
          </cell>
        </row>
        <row r="2667">
          <cell r="A2667">
            <v>42073</v>
          </cell>
          <cell r="B2667">
            <v>46.09</v>
          </cell>
        </row>
        <row r="2668">
          <cell r="A2668">
            <v>42072</v>
          </cell>
          <cell r="B2668">
            <v>46.52</v>
          </cell>
        </row>
        <row r="2669">
          <cell r="A2669">
            <v>42069</v>
          </cell>
          <cell r="B2669">
            <v>46.107500000000002</v>
          </cell>
        </row>
        <row r="2670">
          <cell r="A2670">
            <v>42068</v>
          </cell>
          <cell r="B2670">
            <v>46.814999999999998</v>
          </cell>
        </row>
        <row r="2671">
          <cell r="A2671">
            <v>42067</v>
          </cell>
          <cell r="B2671">
            <v>46.53</v>
          </cell>
        </row>
        <row r="2672">
          <cell r="A2672">
            <v>42066</v>
          </cell>
          <cell r="B2672">
            <v>47</v>
          </cell>
        </row>
        <row r="2673">
          <cell r="A2673">
            <v>42065</v>
          </cell>
          <cell r="B2673">
            <v>47.112499999999997</v>
          </cell>
        </row>
        <row r="2674">
          <cell r="A2674">
            <v>42062</v>
          </cell>
          <cell r="B2674">
            <v>46.7425</v>
          </cell>
        </row>
        <row r="2675">
          <cell r="A2675">
            <v>42061</v>
          </cell>
          <cell r="B2675">
            <v>47.274999999999999</v>
          </cell>
        </row>
        <row r="2676">
          <cell r="A2676">
            <v>42060</v>
          </cell>
          <cell r="B2676">
            <v>47.13</v>
          </cell>
        </row>
        <row r="2677">
          <cell r="A2677">
            <v>42059</v>
          </cell>
          <cell r="B2677">
            <v>46.725000000000001</v>
          </cell>
        </row>
        <row r="2678">
          <cell r="A2678">
            <v>42058</v>
          </cell>
          <cell r="B2678">
            <v>46.79</v>
          </cell>
        </row>
        <row r="2679">
          <cell r="A2679">
            <v>42055</v>
          </cell>
          <cell r="B2679">
            <v>46.755000000000003</v>
          </cell>
        </row>
        <row r="2680">
          <cell r="A2680">
            <v>42054</v>
          </cell>
          <cell r="B2680">
            <v>46.585000000000001</v>
          </cell>
        </row>
        <row r="2681">
          <cell r="A2681">
            <v>42053</v>
          </cell>
          <cell r="B2681">
            <v>46.5</v>
          </cell>
        </row>
        <row r="2682">
          <cell r="A2682">
            <v>42052</v>
          </cell>
          <cell r="B2682">
            <v>46.015000000000001</v>
          </cell>
        </row>
        <row r="2683">
          <cell r="A2683">
            <v>42048</v>
          </cell>
          <cell r="B2683">
            <v>45.79</v>
          </cell>
        </row>
        <row r="2684">
          <cell r="A2684">
            <v>42047</v>
          </cell>
          <cell r="B2684">
            <v>45.912500000000001</v>
          </cell>
        </row>
        <row r="2685">
          <cell r="A2685">
            <v>42046</v>
          </cell>
          <cell r="B2685">
            <v>45.395000000000003</v>
          </cell>
        </row>
        <row r="2686">
          <cell r="A2686">
            <v>42045</v>
          </cell>
          <cell r="B2686">
            <v>45.59</v>
          </cell>
        </row>
        <row r="2687">
          <cell r="A2687">
            <v>42044</v>
          </cell>
          <cell r="B2687">
            <v>44.41</v>
          </cell>
        </row>
        <row r="2688">
          <cell r="A2688">
            <v>42041</v>
          </cell>
          <cell r="B2688">
            <v>44.5</v>
          </cell>
        </row>
        <row r="2689">
          <cell r="A2689">
            <v>42040</v>
          </cell>
          <cell r="B2689">
            <v>44.82</v>
          </cell>
        </row>
        <row r="2690">
          <cell r="A2690">
            <v>42039</v>
          </cell>
          <cell r="B2690">
            <v>44.35</v>
          </cell>
        </row>
        <row r="2691">
          <cell r="A2691">
            <v>42038</v>
          </cell>
          <cell r="B2691">
            <v>44.244999999999997</v>
          </cell>
        </row>
        <row r="2692">
          <cell r="A2692">
            <v>42037</v>
          </cell>
          <cell r="B2692">
            <v>43.994999999999997</v>
          </cell>
        </row>
        <row r="2693">
          <cell r="A2693">
            <v>42034</v>
          </cell>
          <cell r="B2693">
            <v>43.765000000000001</v>
          </cell>
        </row>
        <row r="2694">
          <cell r="A2694">
            <v>42033</v>
          </cell>
          <cell r="B2694">
            <v>44.524999999999999</v>
          </cell>
        </row>
        <row r="2695">
          <cell r="A2695">
            <v>42032</v>
          </cell>
          <cell r="B2695">
            <v>43.782499999999999</v>
          </cell>
        </row>
        <row r="2696">
          <cell r="A2696">
            <v>42031</v>
          </cell>
          <cell r="B2696">
            <v>44.17</v>
          </cell>
        </row>
        <row r="2697">
          <cell r="A2697">
            <v>42030</v>
          </cell>
          <cell r="B2697">
            <v>44.06</v>
          </cell>
        </row>
        <row r="2698">
          <cell r="A2698">
            <v>42027</v>
          </cell>
          <cell r="B2698">
            <v>44.11</v>
          </cell>
        </row>
        <row r="2699">
          <cell r="A2699">
            <v>42026</v>
          </cell>
          <cell r="B2699">
            <v>41.37</v>
          </cell>
        </row>
        <row r="2700">
          <cell r="A2700">
            <v>42025</v>
          </cell>
          <cell r="B2700">
            <v>40.645000000000003</v>
          </cell>
        </row>
        <row r="2701">
          <cell r="A2701">
            <v>42024</v>
          </cell>
          <cell r="B2701">
            <v>40.612499999999997</v>
          </cell>
        </row>
        <row r="2702">
          <cell r="A2702">
            <v>42020</v>
          </cell>
          <cell r="B2702">
            <v>40.305</v>
          </cell>
        </row>
        <row r="2703">
          <cell r="A2703">
            <v>42019</v>
          </cell>
          <cell r="B2703">
            <v>39.79</v>
          </cell>
        </row>
        <row r="2704">
          <cell r="A2704">
            <v>42018</v>
          </cell>
          <cell r="B2704">
            <v>40.21</v>
          </cell>
        </row>
        <row r="2705">
          <cell r="A2705">
            <v>42017</v>
          </cell>
          <cell r="B2705">
            <v>40.435000000000002</v>
          </cell>
        </row>
        <row r="2706">
          <cell r="A2706">
            <v>42016</v>
          </cell>
          <cell r="B2706">
            <v>40.115000000000002</v>
          </cell>
        </row>
        <row r="2707">
          <cell r="A2707">
            <v>42013</v>
          </cell>
          <cell r="B2707">
            <v>39.895000000000003</v>
          </cell>
        </row>
        <row r="2708">
          <cell r="A2708">
            <v>42012</v>
          </cell>
          <cell r="B2708">
            <v>41.244999999999997</v>
          </cell>
        </row>
        <row r="2709">
          <cell r="A2709">
            <v>42011</v>
          </cell>
          <cell r="B2709">
            <v>40.590000000000003</v>
          </cell>
        </row>
        <row r="2710">
          <cell r="A2710">
            <v>42010</v>
          </cell>
          <cell r="B2710">
            <v>39.615000000000002</v>
          </cell>
        </row>
        <row r="2711">
          <cell r="A2711">
            <v>42009</v>
          </cell>
          <cell r="B2711">
            <v>39.94</v>
          </cell>
        </row>
        <row r="2712">
          <cell r="A2712">
            <v>42006</v>
          </cell>
          <cell r="B2712">
            <v>40.72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D514"/>
  <sheetViews>
    <sheetView showGridLines="0" zoomScale="70" zoomScaleNormal="70" workbookViewId="0"/>
  </sheetViews>
  <sheetFormatPr defaultRowHeight="14.4" x14ac:dyDescent="0.3"/>
  <cols>
    <col min="1" max="1" width="7.109375" bestFit="1" customWidth="1"/>
    <col min="2" max="2" width="37.88671875" customWidth="1"/>
    <col min="3" max="3" width="37.88671875" hidden="1" customWidth="1"/>
    <col min="4" max="13" width="17.88671875" customWidth="1"/>
  </cols>
  <sheetData>
    <row r="2" spans="1:30" ht="20.25" customHeight="1" x14ac:dyDescent="0.3">
      <c r="B2" s="293" t="s">
        <v>0</v>
      </c>
      <c r="C2" s="293"/>
      <c r="D2" s="293"/>
      <c r="E2" s="293"/>
      <c r="F2" s="293"/>
      <c r="G2" s="293"/>
      <c r="H2" s="293"/>
      <c r="I2" s="293"/>
      <c r="J2" s="293"/>
      <c r="K2" s="293"/>
      <c r="L2" s="293"/>
      <c r="M2" s="293"/>
    </row>
    <row r="3" spans="1:30" x14ac:dyDescent="0.3">
      <c r="B3" s="219" t="s">
        <v>1</v>
      </c>
      <c r="C3" s="219" t="s">
        <v>1</v>
      </c>
      <c r="D3" s="220" t="s">
        <v>2</v>
      </c>
      <c r="E3" s="220" t="s">
        <v>3</v>
      </c>
      <c r="F3" s="220" t="s">
        <v>4</v>
      </c>
      <c r="G3" s="220" t="s">
        <v>5</v>
      </c>
      <c r="H3" s="220" t="s">
        <v>6</v>
      </c>
      <c r="I3" s="220" t="s">
        <v>7</v>
      </c>
      <c r="J3" s="220" t="s">
        <v>8</v>
      </c>
      <c r="K3" s="220" t="s">
        <v>9</v>
      </c>
      <c r="L3" s="220" t="s">
        <v>10</v>
      </c>
      <c r="M3" s="220" t="s">
        <v>11</v>
      </c>
    </row>
    <row r="4" spans="1:30" x14ac:dyDescent="0.3">
      <c r="B4" s="221" t="s">
        <v>12</v>
      </c>
      <c r="C4" s="221" t="s">
        <v>12</v>
      </c>
      <c r="D4" s="222" t="s">
        <v>13</v>
      </c>
      <c r="E4" s="222" t="s">
        <v>14</v>
      </c>
      <c r="F4" s="222" t="s">
        <v>15</v>
      </c>
      <c r="G4" s="222" t="s">
        <v>16</v>
      </c>
      <c r="H4" s="222" t="s">
        <v>17</v>
      </c>
      <c r="I4" s="222" t="s">
        <v>18</v>
      </c>
      <c r="J4" s="222" t="s">
        <v>19</v>
      </c>
      <c r="K4" s="222" t="s">
        <v>20</v>
      </c>
      <c r="L4" s="222" t="s">
        <v>21</v>
      </c>
      <c r="M4" s="222" t="s">
        <v>22</v>
      </c>
    </row>
    <row r="5" spans="1:30" x14ac:dyDescent="0.3">
      <c r="B5" s="3" t="s">
        <v>23</v>
      </c>
      <c r="C5" s="3" t="s">
        <v>23</v>
      </c>
      <c r="D5" s="14">
        <v>19162.7</v>
      </c>
      <c r="E5" s="14">
        <v>21315.9</v>
      </c>
      <c r="F5" s="14">
        <v>22386.799999999999</v>
      </c>
      <c r="G5" s="14">
        <v>24719.5</v>
      </c>
      <c r="H5" s="14">
        <v>26508.6</v>
      </c>
      <c r="I5" s="14">
        <v>23518</v>
      </c>
      <c r="J5" s="14">
        <v>29060.6</v>
      </c>
      <c r="K5" s="14">
        <v>32250.3</v>
      </c>
      <c r="L5" s="14">
        <v>35975.599999999999</v>
      </c>
      <c r="M5" s="14">
        <v>36176.199999999997</v>
      </c>
    </row>
    <row r="6" spans="1:30" x14ac:dyDescent="0.3">
      <c r="B6" s="4" t="s">
        <v>24</v>
      </c>
      <c r="C6" s="4" t="s">
        <v>24</v>
      </c>
      <c r="D6" s="13">
        <v>17300.8</v>
      </c>
      <c r="E6" s="13">
        <v>19161.7</v>
      </c>
      <c r="F6" s="13">
        <v>20005.7</v>
      </c>
      <c r="G6" s="13">
        <v>22067.3</v>
      </c>
      <c r="H6" s="13">
        <v>23633.599999999999</v>
      </c>
      <c r="I6" s="13">
        <v>21190.9</v>
      </c>
      <c r="J6" s="13">
        <v>26377</v>
      </c>
      <c r="K6" s="13">
        <v>28594.799999999999</v>
      </c>
      <c r="L6" s="13">
        <v>31462.9</v>
      </c>
      <c r="M6" s="13">
        <v>31671.1</v>
      </c>
      <c r="AD6" s="1" t="s">
        <v>25</v>
      </c>
    </row>
    <row r="7" spans="1:30" x14ac:dyDescent="0.3">
      <c r="B7" s="12" t="s">
        <v>26</v>
      </c>
      <c r="C7" s="39" t="s">
        <v>26</v>
      </c>
      <c r="D7" s="13">
        <v>1861.9</v>
      </c>
      <c r="E7" s="13">
        <v>2154.1999999999998</v>
      </c>
      <c r="F7" s="13">
        <v>2381.1</v>
      </c>
      <c r="G7" s="13">
        <v>2652.2</v>
      </c>
      <c r="H7" s="13">
        <v>2875</v>
      </c>
      <c r="I7" s="13">
        <v>2327.1</v>
      </c>
      <c r="J7" s="13">
        <v>2683.6</v>
      </c>
      <c r="K7" s="13">
        <v>3655.5</v>
      </c>
      <c r="L7" s="13">
        <v>4512.7</v>
      </c>
      <c r="M7" s="13">
        <v>4505.1000000000004</v>
      </c>
      <c r="AD7" s="1"/>
    </row>
    <row r="8" spans="1:30" x14ac:dyDescent="0.3">
      <c r="B8" s="4" t="s">
        <v>27</v>
      </c>
      <c r="C8" s="4" t="s">
        <v>27</v>
      </c>
      <c r="D8" s="13">
        <v>13198.6</v>
      </c>
      <c r="E8" s="13">
        <v>14573.3</v>
      </c>
      <c r="F8" s="13">
        <v>15552.2</v>
      </c>
      <c r="G8" s="13">
        <v>17402.900000000001</v>
      </c>
      <c r="H8" s="13">
        <v>19020.5</v>
      </c>
      <c r="I8" s="13">
        <v>18458.900000000001</v>
      </c>
      <c r="J8" s="13">
        <v>20652</v>
      </c>
      <c r="K8" s="13">
        <v>23879.200000000001</v>
      </c>
      <c r="L8" s="13">
        <v>26129.4</v>
      </c>
      <c r="M8" s="13">
        <v>26467.1</v>
      </c>
      <c r="AD8" s="2" t="s">
        <v>28</v>
      </c>
    </row>
    <row r="9" spans="1:30" x14ac:dyDescent="0.3">
      <c r="B9" s="4" t="s">
        <v>29</v>
      </c>
      <c r="C9" s="4" t="s">
        <v>29</v>
      </c>
      <c r="D9" s="13">
        <v>13198.6</v>
      </c>
      <c r="E9" s="13">
        <v>14573.3</v>
      </c>
      <c r="F9" s="13">
        <v>15552.2</v>
      </c>
      <c r="G9" s="13">
        <v>17402.900000000001</v>
      </c>
      <c r="H9" s="13">
        <v>19020.5</v>
      </c>
      <c r="I9" s="13">
        <v>18458.900000000001</v>
      </c>
      <c r="J9" s="13">
        <v>20652</v>
      </c>
      <c r="K9" s="13">
        <v>23879.200000000001</v>
      </c>
      <c r="L9" s="13">
        <v>26129.4</v>
      </c>
      <c r="M9" s="13">
        <v>26467.1</v>
      </c>
      <c r="AD9" s="1" t="s">
        <v>30</v>
      </c>
    </row>
    <row r="10" spans="1:30" x14ac:dyDescent="0.3">
      <c r="B10" s="3" t="s">
        <v>31</v>
      </c>
      <c r="C10" s="3" t="s">
        <v>31</v>
      </c>
      <c r="D10" s="14">
        <v>5964.1</v>
      </c>
      <c r="E10" s="14">
        <v>6742.6</v>
      </c>
      <c r="F10" s="14">
        <v>6834.6</v>
      </c>
      <c r="G10" s="14">
        <v>7316.6</v>
      </c>
      <c r="H10" s="14">
        <v>7488.1</v>
      </c>
      <c r="I10" s="14">
        <v>5059.1000000000004</v>
      </c>
      <c r="J10" s="14">
        <v>8408.6</v>
      </c>
      <c r="K10" s="14">
        <v>8371.1</v>
      </c>
      <c r="L10" s="14">
        <v>9846.2000000000007</v>
      </c>
      <c r="M10" s="14">
        <v>9709.1</v>
      </c>
      <c r="AD10" s="1" t="s">
        <v>32</v>
      </c>
    </row>
    <row r="11" spans="1:30" x14ac:dyDescent="0.3">
      <c r="B11" s="4" t="s">
        <v>33</v>
      </c>
      <c r="C11" s="4" t="s">
        <v>33</v>
      </c>
      <c r="D11" s="13">
        <v>0</v>
      </c>
      <c r="E11" s="13">
        <v>318.2</v>
      </c>
      <c r="F11" s="13">
        <v>391.4</v>
      </c>
      <c r="G11" s="13">
        <v>301.2</v>
      </c>
      <c r="H11" s="13">
        <v>298</v>
      </c>
      <c r="I11" s="13">
        <v>322.5</v>
      </c>
      <c r="J11" s="13">
        <v>385.3</v>
      </c>
      <c r="K11" s="13">
        <v>234.1</v>
      </c>
      <c r="L11" s="13">
        <v>298.39999999999998</v>
      </c>
      <c r="M11" s="13">
        <v>301.2</v>
      </c>
      <c r="AD11" s="1" t="s">
        <v>34</v>
      </c>
    </row>
    <row r="12" spans="1:30" x14ac:dyDescent="0.3">
      <c r="A12" s="44"/>
      <c r="B12" s="4" t="s">
        <v>35</v>
      </c>
      <c r="C12" s="4" t="s">
        <v>35</v>
      </c>
      <c r="D12" s="13">
        <v>2308.5</v>
      </c>
      <c r="E12" s="13">
        <v>2888.9</v>
      </c>
      <c r="F12" s="13">
        <v>2874.8</v>
      </c>
      <c r="G12" s="13">
        <v>3122.8</v>
      </c>
      <c r="H12" s="13">
        <v>3215.6</v>
      </c>
      <c r="I12" s="13">
        <v>3248.4</v>
      </c>
      <c r="J12" s="13">
        <v>3576</v>
      </c>
      <c r="K12" s="13">
        <v>3750.2</v>
      </c>
      <c r="L12" s="13">
        <v>4343.2</v>
      </c>
      <c r="M12" s="13">
        <v>4480</v>
      </c>
    </row>
    <row r="13" spans="1:30" x14ac:dyDescent="0.3">
      <c r="B13" s="4" t="s">
        <v>36</v>
      </c>
      <c r="C13" s="4" t="s">
        <v>36</v>
      </c>
      <c r="D13" s="13">
        <v>1424.6</v>
      </c>
      <c r="E13" s="13">
        <v>1657.5</v>
      </c>
      <c r="F13" s="13">
        <v>1691</v>
      </c>
      <c r="G13" s="13">
        <v>1968.5</v>
      </c>
      <c r="H13" s="13">
        <v>2029</v>
      </c>
      <c r="I13" s="13">
        <v>1922.2</v>
      </c>
      <c r="J13" s="13">
        <v>2215.5</v>
      </c>
      <c r="K13" s="13">
        <v>2448.6999999999998</v>
      </c>
      <c r="L13" s="13">
        <v>2949.1</v>
      </c>
      <c r="M13" s="13">
        <v>2523.3000000000002</v>
      </c>
    </row>
    <row r="14" spans="1:30" x14ac:dyDescent="0.3">
      <c r="B14" s="15" t="s">
        <v>37</v>
      </c>
      <c r="C14" s="40" t="s">
        <v>37</v>
      </c>
      <c r="D14" s="16">
        <v>227.9</v>
      </c>
      <c r="E14" s="16">
        <v>248.6</v>
      </c>
      <c r="F14" s="16">
        <v>282.60000000000002</v>
      </c>
      <c r="G14" s="16">
        <v>260.3</v>
      </c>
      <c r="H14" s="16">
        <v>245.7</v>
      </c>
      <c r="I14" s="16">
        <v>258.8</v>
      </c>
      <c r="J14" s="16">
        <v>305.10000000000002</v>
      </c>
      <c r="K14" s="16">
        <v>416.7</v>
      </c>
      <c r="L14" s="16">
        <v>507.8</v>
      </c>
      <c r="M14" s="16">
        <v>0</v>
      </c>
    </row>
    <row r="15" spans="1:30" x14ac:dyDescent="0.3">
      <c r="B15" s="15" t="s">
        <v>38</v>
      </c>
      <c r="C15" s="40" t="s">
        <v>38</v>
      </c>
      <c r="D15" s="16">
        <v>1196.7</v>
      </c>
      <c r="E15" s="16">
        <v>1408.9</v>
      </c>
      <c r="F15" s="16">
        <v>1408.4</v>
      </c>
      <c r="G15" s="16">
        <v>1708.2</v>
      </c>
      <c r="H15" s="16">
        <v>1783.3</v>
      </c>
      <c r="I15" s="16">
        <v>1663.4</v>
      </c>
      <c r="J15" s="16">
        <v>1910.4</v>
      </c>
      <c r="K15" s="16">
        <v>2032</v>
      </c>
      <c r="L15" s="16">
        <v>2441.3000000000002</v>
      </c>
      <c r="M15" s="16">
        <v>2523.3000000000002</v>
      </c>
    </row>
    <row r="16" spans="1:30" x14ac:dyDescent="0.3">
      <c r="B16" s="4" t="s">
        <v>39</v>
      </c>
      <c r="C16" s="4" t="s">
        <v>39</v>
      </c>
      <c r="D16" s="13">
        <v>0</v>
      </c>
      <c r="E16" s="13">
        <v>0</v>
      </c>
      <c r="F16" s="13">
        <v>0</v>
      </c>
      <c r="G16" s="13">
        <v>0</v>
      </c>
      <c r="H16" s="13">
        <v>0</v>
      </c>
      <c r="I16" s="13">
        <v>0</v>
      </c>
      <c r="J16" s="13">
        <v>0</v>
      </c>
      <c r="K16" s="13">
        <v>0</v>
      </c>
      <c r="L16" s="13">
        <v>0</v>
      </c>
      <c r="M16" s="13">
        <v>0</v>
      </c>
    </row>
    <row r="17" spans="2:13" x14ac:dyDescent="0.3">
      <c r="B17" s="12" t="s">
        <v>40</v>
      </c>
      <c r="C17" s="39" t="s">
        <v>40</v>
      </c>
      <c r="D17" s="13">
        <v>893.9</v>
      </c>
      <c r="E17" s="13">
        <v>980.8</v>
      </c>
      <c r="F17" s="13">
        <v>1011.4</v>
      </c>
      <c r="G17" s="13">
        <v>1247</v>
      </c>
      <c r="H17" s="13">
        <v>1377.3</v>
      </c>
      <c r="I17" s="13">
        <v>1431.3</v>
      </c>
      <c r="J17" s="13">
        <v>1441.7</v>
      </c>
      <c r="K17" s="13">
        <v>1447.9</v>
      </c>
      <c r="L17" s="13">
        <v>1362.6</v>
      </c>
      <c r="M17" s="13">
        <v>1512.6</v>
      </c>
    </row>
    <row r="18" spans="2:13" x14ac:dyDescent="0.3">
      <c r="B18" s="4" t="s">
        <v>41</v>
      </c>
      <c r="C18" s="4" t="s">
        <v>41</v>
      </c>
      <c r="D18" s="13">
        <v>-10</v>
      </c>
      <c r="E18" s="13">
        <v>250.6</v>
      </c>
      <c r="F18" s="13">
        <v>172.4</v>
      </c>
      <c r="G18" s="13">
        <v>-92.7</v>
      </c>
      <c r="H18" s="13">
        <v>-190.7</v>
      </c>
      <c r="I18" s="13">
        <v>-105.1</v>
      </c>
      <c r="J18" s="13">
        <v>-81.2</v>
      </c>
      <c r="K18" s="13">
        <v>-146.4</v>
      </c>
      <c r="L18" s="13">
        <v>31.5</v>
      </c>
      <c r="M18" s="13">
        <v>444.1</v>
      </c>
    </row>
    <row r="19" spans="2:13" x14ac:dyDescent="0.3">
      <c r="B19" s="3" t="s">
        <v>42</v>
      </c>
      <c r="C19" s="3" t="s">
        <v>42</v>
      </c>
      <c r="D19" s="14">
        <v>3655.6</v>
      </c>
      <c r="E19" s="14">
        <v>4171.8999999999996</v>
      </c>
      <c r="F19" s="14">
        <v>4351.2</v>
      </c>
      <c r="G19" s="14">
        <v>4495</v>
      </c>
      <c r="H19" s="14">
        <v>4570.5</v>
      </c>
      <c r="I19" s="14">
        <v>2133.1999999999998</v>
      </c>
      <c r="J19" s="14">
        <v>5217.8999999999996</v>
      </c>
      <c r="K19" s="14">
        <v>4855</v>
      </c>
      <c r="L19" s="14">
        <v>5801.4</v>
      </c>
      <c r="M19" s="14">
        <v>5530.3</v>
      </c>
    </row>
    <row r="20" spans="2:13" x14ac:dyDescent="0.3">
      <c r="B20" s="4" t="s">
        <v>43</v>
      </c>
      <c r="C20" s="4" t="s">
        <v>43</v>
      </c>
      <c r="D20" s="13">
        <v>27.5</v>
      </c>
      <c r="E20" s="13">
        <v>-21.3</v>
      </c>
      <c r="F20" s="13">
        <v>-89.3</v>
      </c>
      <c r="G20" s="13">
        <v>-21.1</v>
      </c>
      <c r="H20" s="13">
        <v>234.5</v>
      </c>
      <c r="I20" s="13">
        <v>397.3</v>
      </c>
      <c r="J20" s="13">
        <v>379.7</v>
      </c>
      <c r="K20" s="13">
        <v>385.9</v>
      </c>
      <c r="L20" s="13">
        <v>468.9</v>
      </c>
      <c r="M20" s="13">
        <v>439.2</v>
      </c>
    </row>
    <row r="21" spans="2:13" x14ac:dyDescent="0.3">
      <c r="B21" s="4" t="s">
        <v>44</v>
      </c>
      <c r="C21" s="4" t="s">
        <v>44</v>
      </c>
      <c r="D21" s="13">
        <v>0</v>
      </c>
      <c r="E21" s="13">
        <v>0</v>
      </c>
      <c r="F21" s="13">
        <v>0</v>
      </c>
      <c r="G21" s="13">
        <v>0</v>
      </c>
      <c r="H21" s="13">
        <v>0</v>
      </c>
      <c r="I21" s="13">
        <v>0</v>
      </c>
      <c r="J21" s="13">
        <v>0</v>
      </c>
      <c r="K21" s="13">
        <v>482.9</v>
      </c>
      <c r="L21" s="13">
        <v>550.1</v>
      </c>
      <c r="M21" s="13">
        <v>562</v>
      </c>
    </row>
    <row r="22" spans="2:13" x14ac:dyDescent="0.3">
      <c r="B22" s="5" t="s">
        <v>45</v>
      </c>
      <c r="C22" s="5" t="s">
        <v>45</v>
      </c>
      <c r="D22" s="16">
        <v>70.5</v>
      </c>
      <c r="E22" s="16">
        <v>81.3</v>
      </c>
      <c r="F22" s="16">
        <v>92.5</v>
      </c>
      <c r="G22" s="16">
        <v>170.3</v>
      </c>
      <c r="H22" s="16">
        <v>331</v>
      </c>
      <c r="I22" s="16">
        <v>437</v>
      </c>
      <c r="J22" s="16">
        <v>469.8</v>
      </c>
      <c r="K22" s="16">
        <v>482.9</v>
      </c>
      <c r="L22" s="16">
        <v>550.1</v>
      </c>
      <c r="M22" s="16">
        <v>562</v>
      </c>
    </row>
    <row r="23" spans="2:13" x14ac:dyDescent="0.3">
      <c r="B23" s="5" t="s">
        <v>46</v>
      </c>
      <c r="C23" s="5" t="s">
        <v>46</v>
      </c>
      <c r="D23" s="16">
        <v>0</v>
      </c>
      <c r="E23" s="16">
        <v>0</v>
      </c>
      <c r="F23" s="16">
        <v>0</v>
      </c>
      <c r="G23" s="16">
        <v>0</v>
      </c>
      <c r="H23" s="16">
        <v>0</v>
      </c>
      <c r="I23" s="16">
        <v>0</v>
      </c>
      <c r="J23" s="16">
        <v>0</v>
      </c>
      <c r="K23" s="16">
        <v>0</v>
      </c>
      <c r="L23" s="16">
        <v>0</v>
      </c>
      <c r="M23" s="16">
        <v>0</v>
      </c>
    </row>
    <row r="24" spans="2:13" x14ac:dyDescent="0.3">
      <c r="B24" s="4" t="s">
        <v>47</v>
      </c>
      <c r="C24" s="4" t="s">
        <v>47</v>
      </c>
      <c r="D24" s="13">
        <v>0</v>
      </c>
      <c r="E24" s="13">
        <v>0</v>
      </c>
      <c r="F24" s="13">
        <v>0</v>
      </c>
      <c r="G24" s="13">
        <v>0</v>
      </c>
      <c r="H24" s="13">
        <v>0</v>
      </c>
      <c r="I24" s="13">
        <v>0</v>
      </c>
      <c r="J24" s="13">
        <v>0</v>
      </c>
      <c r="K24" s="13">
        <v>0</v>
      </c>
      <c r="L24" s="13">
        <v>0</v>
      </c>
      <c r="M24" s="13">
        <v>0</v>
      </c>
    </row>
    <row r="25" spans="2:13" x14ac:dyDescent="0.3">
      <c r="B25" s="4" t="s">
        <v>48</v>
      </c>
      <c r="C25" s="4" t="s">
        <v>48</v>
      </c>
      <c r="D25" s="13">
        <v>-43</v>
      </c>
      <c r="E25" s="13">
        <v>-102.6</v>
      </c>
      <c r="F25" s="13">
        <v>-181.8</v>
      </c>
      <c r="G25" s="13">
        <v>-191.4</v>
      </c>
      <c r="H25" s="13">
        <v>-96.5</v>
      </c>
      <c r="I25" s="13">
        <v>-39.700000000000003</v>
      </c>
      <c r="J25" s="13">
        <v>-90.1</v>
      </c>
      <c r="K25" s="13">
        <v>-97</v>
      </c>
      <c r="L25" s="13">
        <v>-81.2</v>
      </c>
      <c r="M25" s="13">
        <v>-122.8</v>
      </c>
    </row>
    <row r="26" spans="2:13" x14ac:dyDescent="0.3">
      <c r="B26" s="3" t="s">
        <v>49</v>
      </c>
      <c r="C26" s="3" t="s">
        <v>49</v>
      </c>
      <c r="D26" s="14">
        <v>3628.1</v>
      </c>
      <c r="E26" s="14">
        <v>4193.2</v>
      </c>
      <c r="F26" s="14">
        <v>4440.5</v>
      </c>
      <c r="G26" s="14">
        <v>4516.1000000000004</v>
      </c>
      <c r="H26" s="14">
        <v>4336</v>
      </c>
      <c r="I26" s="14">
        <v>1735.9</v>
      </c>
      <c r="J26" s="14">
        <v>4838.2</v>
      </c>
      <c r="K26" s="14">
        <v>4469.1000000000004</v>
      </c>
      <c r="L26" s="14">
        <v>5332.5</v>
      </c>
      <c r="M26" s="14">
        <v>5091.1000000000004</v>
      </c>
    </row>
    <row r="27" spans="2:13" x14ac:dyDescent="0.3">
      <c r="B27" s="4" t="s">
        <v>50</v>
      </c>
      <c r="C27" s="4" t="s">
        <v>50</v>
      </c>
      <c r="D27" s="13">
        <v>-274.89999999999998</v>
      </c>
      <c r="E27" s="13">
        <v>-5.4</v>
      </c>
      <c r="F27" s="13">
        <v>123</v>
      </c>
      <c r="G27" s="13">
        <v>-1263.9000000000001</v>
      </c>
      <c r="H27" s="13">
        <v>-130.19999999999999</v>
      </c>
      <c r="I27" s="13">
        <v>571.5</v>
      </c>
      <c r="J27" s="13">
        <v>-518.70000000000005</v>
      </c>
      <c r="K27" s="13">
        <v>237.2</v>
      </c>
      <c r="L27" s="13">
        <v>-69.400000000000006</v>
      </c>
      <c r="M27" s="13">
        <v>121.5</v>
      </c>
    </row>
    <row r="28" spans="2:13" x14ac:dyDescent="0.3">
      <c r="B28" s="4" t="s">
        <v>51</v>
      </c>
      <c r="C28" s="4" t="s">
        <v>51</v>
      </c>
      <c r="D28" s="13">
        <v>-336</v>
      </c>
      <c r="E28" s="13">
        <v>0</v>
      </c>
      <c r="F28" s="13">
        <v>61.6</v>
      </c>
      <c r="G28" s="13">
        <v>285.5</v>
      </c>
      <c r="H28" s="13">
        <v>274.60000000000002</v>
      </c>
      <c r="I28" s="13">
        <v>290.89999999999998</v>
      </c>
      <c r="J28" s="13">
        <v>175.4</v>
      </c>
      <c r="K28" s="13">
        <v>191.2</v>
      </c>
      <c r="L28" s="13">
        <v>0.1</v>
      </c>
      <c r="M28" s="13">
        <v>0</v>
      </c>
    </row>
    <row r="29" spans="2:13" x14ac:dyDescent="0.3">
      <c r="B29" s="4" t="s">
        <v>52</v>
      </c>
      <c r="C29" s="4" t="s">
        <v>52</v>
      </c>
      <c r="D29" s="13">
        <v>0</v>
      </c>
      <c r="E29" s="13">
        <v>0</v>
      </c>
      <c r="F29" s="13">
        <v>0</v>
      </c>
      <c r="G29" s="13">
        <v>0</v>
      </c>
      <c r="H29" s="13">
        <v>0</v>
      </c>
      <c r="I29" s="13">
        <v>0</v>
      </c>
      <c r="J29" s="13">
        <v>0</v>
      </c>
      <c r="K29" s="13">
        <v>0</v>
      </c>
      <c r="L29" s="13">
        <v>-91.3</v>
      </c>
      <c r="M29" s="13">
        <v>0</v>
      </c>
    </row>
    <row r="30" spans="2:13" x14ac:dyDescent="0.3">
      <c r="B30" s="4" t="s">
        <v>53</v>
      </c>
      <c r="C30" s="4" t="s">
        <v>53</v>
      </c>
      <c r="D30" s="13">
        <v>61.1</v>
      </c>
      <c r="E30" s="13">
        <v>0</v>
      </c>
      <c r="F30" s="13">
        <v>0</v>
      </c>
      <c r="G30" s="13">
        <v>0</v>
      </c>
      <c r="H30" s="13">
        <v>0</v>
      </c>
      <c r="I30" s="13">
        <v>0</v>
      </c>
      <c r="J30" s="13">
        <v>0</v>
      </c>
      <c r="K30" s="13">
        <v>0</v>
      </c>
      <c r="L30" s="13">
        <v>0</v>
      </c>
      <c r="M30" s="13">
        <v>0</v>
      </c>
    </row>
    <row r="31" spans="2:13" x14ac:dyDescent="0.3">
      <c r="B31" s="4" t="s">
        <v>54</v>
      </c>
      <c r="C31" s="39" t="s">
        <v>55</v>
      </c>
      <c r="D31" s="13">
        <v>0</v>
      </c>
      <c r="E31" s="13">
        <v>0</v>
      </c>
      <c r="F31" s="13">
        <v>87.2</v>
      </c>
      <c r="G31" s="13">
        <v>37.6</v>
      </c>
      <c r="H31" s="13">
        <v>10.5</v>
      </c>
      <c r="I31" s="13">
        <v>0</v>
      </c>
      <c r="J31" s="13">
        <v>0</v>
      </c>
      <c r="K31" s="13">
        <v>0</v>
      </c>
      <c r="L31" s="13">
        <v>0</v>
      </c>
      <c r="M31" s="13">
        <v>0</v>
      </c>
    </row>
    <row r="32" spans="2:13" x14ac:dyDescent="0.3">
      <c r="B32" s="4" t="s">
        <v>56</v>
      </c>
      <c r="C32" s="39" t="s">
        <v>57</v>
      </c>
      <c r="D32" s="13">
        <v>0</v>
      </c>
      <c r="E32" s="13">
        <v>-5.4</v>
      </c>
      <c r="F32" s="13">
        <v>-92.1</v>
      </c>
      <c r="G32" s="13">
        <v>-1871.8</v>
      </c>
      <c r="H32" s="13">
        <v>-622.79999999999995</v>
      </c>
      <c r="I32" s="13">
        <v>0</v>
      </c>
      <c r="J32" s="13">
        <v>-864.5</v>
      </c>
      <c r="K32" s="13">
        <v>0</v>
      </c>
      <c r="L32" s="13">
        <v>0</v>
      </c>
      <c r="M32" s="13">
        <v>0</v>
      </c>
    </row>
    <row r="33" spans="2:13" ht="15" customHeight="1" x14ac:dyDescent="0.3">
      <c r="B33" s="4" t="s">
        <v>57</v>
      </c>
      <c r="C33" s="39" t="s">
        <v>58</v>
      </c>
      <c r="D33" s="13">
        <v>0</v>
      </c>
      <c r="E33" s="13">
        <v>0</v>
      </c>
      <c r="F33" s="13">
        <v>0</v>
      </c>
      <c r="G33" s="13">
        <v>0</v>
      </c>
      <c r="H33" s="13">
        <v>0</v>
      </c>
      <c r="I33" s="13">
        <v>0</v>
      </c>
      <c r="J33" s="13">
        <v>0</v>
      </c>
      <c r="K33" s="13">
        <v>0</v>
      </c>
      <c r="L33" s="13">
        <v>0</v>
      </c>
      <c r="M33" s="13">
        <v>0</v>
      </c>
    </row>
    <row r="34" spans="2:13" x14ac:dyDescent="0.3">
      <c r="B34" s="4" t="s">
        <v>58</v>
      </c>
      <c r="C34" s="39" t="s">
        <v>59</v>
      </c>
      <c r="D34" s="13">
        <v>0</v>
      </c>
      <c r="E34" s="13">
        <v>0</v>
      </c>
      <c r="F34" s="13">
        <v>6</v>
      </c>
      <c r="G34" s="13">
        <v>239</v>
      </c>
      <c r="H34" s="13">
        <v>146.19999999999999</v>
      </c>
      <c r="I34" s="13">
        <v>280.60000000000002</v>
      </c>
      <c r="J34" s="13">
        <v>170.4</v>
      </c>
      <c r="K34" s="13">
        <v>0</v>
      </c>
      <c r="L34" s="13">
        <v>0</v>
      </c>
      <c r="M34" s="13">
        <v>0</v>
      </c>
    </row>
    <row r="35" spans="2:13" x14ac:dyDescent="0.3">
      <c r="B35" s="4" t="s">
        <v>59</v>
      </c>
      <c r="C35" s="39" t="s">
        <v>60</v>
      </c>
      <c r="D35" s="13">
        <v>0</v>
      </c>
      <c r="E35" s="13">
        <v>0</v>
      </c>
      <c r="F35" s="13">
        <v>0</v>
      </c>
      <c r="G35" s="13">
        <v>0</v>
      </c>
      <c r="H35" s="13">
        <v>0</v>
      </c>
      <c r="I35" s="13">
        <v>0</v>
      </c>
      <c r="J35" s="13">
        <v>0</v>
      </c>
      <c r="K35" s="13">
        <v>0</v>
      </c>
      <c r="L35" s="13">
        <v>0</v>
      </c>
      <c r="M35" s="13">
        <v>0</v>
      </c>
    </row>
    <row r="36" spans="2:13" x14ac:dyDescent="0.3">
      <c r="B36" s="4" t="s">
        <v>61</v>
      </c>
      <c r="C36" s="39" t="s">
        <v>61</v>
      </c>
      <c r="D36" s="13">
        <v>0</v>
      </c>
      <c r="E36" s="13">
        <v>0</v>
      </c>
      <c r="F36" s="13">
        <v>60.3</v>
      </c>
      <c r="G36" s="13">
        <v>45.8</v>
      </c>
      <c r="H36" s="13">
        <v>61.3</v>
      </c>
      <c r="I36" s="13">
        <v>0</v>
      </c>
      <c r="J36" s="13">
        <v>0</v>
      </c>
      <c r="K36" s="13">
        <v>46</v>
      </c>
      <c r="L36" s="13">
        <v>21.8</v>
      </c>
      <c r="M36" s="13">
        <v>121.5</v>
      </c>
    </row>
    <row r="37" spans="2:13" x14ac:dyDescent="0.3">
      <c r="B37" s="3" t="s">
        <v>62</v>
      </c>
      <c r="C37" s="3" t="s">
        <v>62</v>
      </c>
      <c r="D37" s="14">
        <v>3903</v>
      </c>
      <c r="E37" s="14">
        <v>4198.6000000000004</v>
      </c>
      <c r="F37" s="14">
        <v>4317.5</v>
      </c>
      <c r="G37" s="14">
        <v>5780</v>
      </c>
      <c r="H37" s="14">
        <v>4466.2</v>
      </c>
      <c r="I37" s="14">
        <v>1164.4000000000001</v>
      </c>
      <c r="J37" s="14">
        <v>5356.9</v>
      </c>
      <c r="K37" s="14">
        <v>4231.8999999999996</v>
      </c>
      <c r="L37" s="14">
        <v>5401.9</v>
      </c>
      <c r="M37" s="14">
        <v>4969.6000000000004</v>
      </c>
    </row>
    <row r="38" spans="2:13" x14ac:dyDescent="0.3">
      <c r="B38" s="4" t="s">
        <v>63</v>
      </c>
      <c r="C38" s="4" t="s">
        <v>63</v>
      </c>
      <c r="D38" s="13">
        <v>1143.7</v>
      </c>
      <c r="E38" s="13">
        <v>1379.7</v>
      </c>
      <c r="F38" s="13">
        <v>1432.6</v>
      </c>
      <c r="G38" s="13">
        <v>1262</v>
      </c>
      <c r="H38" s="13">
        <v>871.6</v>
      </c>
      <c r="I38" s="13">
        <v>239.7</v>
      </c>
      <c r="J38" s="13">
        <v>1156.5999999999999</v>
      </c>
      <c r="K38" s="13">
        <v>948.5</v>
      </c>
      <c r="L38" s="13">
        <v>1277.2</v>
      </c>
      <c r="M38" s="13">
        <v>1207.3</v>
      </c>
    </row>
    <row r="39" spans="2:13" x14ac:dyDescent="0.3">
      <c r="B39" s="4" t="s">
        <v>64</v>
      </c>
      <c r="C39" s="4" t="s">
        <v>64</v>
      </c>
      <c r="D39" s="13">
        <v>1123.3</v>
      </c>
      <c r="E39" s="13">
        <v>1089.0999999999999</v>
      </c>
      <c r="F39" s="13">
        <v>1318.4</v>
      </c>
      <c r="G39" s="13">
        <v>535.20000000000005</v>
      </c>
      <c r="H39" s="13">
        <v>2320.4</v>
      </c>
      <c r="I39" s="13">
        <v>268.2</v>
      </c>
      <c r="J39" s="13">
        <v>1281.5999999999999</v>
      </c>
      <c r="K39" s="13">
        <v>925.4</v>
      </c>
      <c r="L39" s="13">
        <v>1336.5</v>
      </c>
      <c r="M39" s="13">
        <v>1220.9000000000001</v>
      </c>
    </row>
    <row r="40" spans="2:13" x14ac:dyDescent="0.3">
      <c r="B40" s="4" t="s">
        <v>65</v>
      </c>
      <c r="C40" s="4" t="s">
        <v>65</v>
      </c>
      <c r="D40" s="13">
        <v>20.399999999999999</v>
      </c>
      <c r="E40" s="13">
        <v>290.60000000000002</v>
      </c>
      <c r="F40" s="13">
        <v>114.2</v>
      </c>
      <c r="G40" s="13">
        <v>726.8</v>
      </c>
      <c r="H40" s="13">
        <v>-1448.8</v>
      </c>
      <c r="I40" s="13">
        <v>-28.5</v>
      </c>
      <c r="J40" s="13">
        <v>-125</v>
      </c>
      <c r="K40" s="13">
        <v>23.1</v>
      </c>
      <c r="L40" s="13">
        <v>-59.3</v>
      </c>
      <c r="M40" s="13">
        <v>-13.6</v>
      </c>
    </row>
    <row r="41" spans="2:13" x14ac:dyDescent="0.3">
      <c r="B41" s="3" t="s">
        <v>66</v>
      </c>
      <c r="C41" s="3" t="s">
        <v>66</v>
      </c>
      <c r="D41" s="14">
        <v>2759.3</v>
      </c>
      <c r="E41" s="14">
        <v>2818.9</v>
      </c>
      <c r="F41" s="14">
        <v>2884.9</v>
      </c>
      <c r="G41" s="14">
        <v>4518</v>
      </c>
      <c r="H41" s="14">
        <v>3594.6</v>
      </c>
      <c r="I41" s="14">
        <v>924.7</v>
      </c>
      <c r="J41" s="14">
        <v>4200.3</v>
      </c>
      <c r="K41" s="14">
        <v>3283.4</v>
      </c>
      <c r="L41" s="14">
        <v>4124.7</v>
      </c>
      <c r="M41" s="14">
        <v>3762.3</v>
      </c>
    </row>
    <row r="42" spans="2:13" x14ac:dyDescent="0.3">
      <c r="B42" s="4" t="s">
        <v>67</v>
      </c>
      <c r="C42" s="4" t="s">
        <v>67</v>
      </c>
      <c r="D42" s="13">
        <v>0</v>
      </c>
      <c r="E42" s="13">
        <v>0</v>
      </c>
      <c r="F42" s="13">
        <v>0</v>
      </c>
      <c r="G42" s="13">
        <v>0</v>
      </c>
      <c r="H42" s="13">
        <v>0</v>
      </c>
      <c r="I42" s="13">
        <v>0</v>
      </c>
      <c r="J42" s="13">
        <v>0</v>
      </c>
      <c r="K42" s="13">
        <v>0</v>
      </c>
      <c r="L42" s="13">
        <v>0</v>
      </c>
      <c r="M42" s="13">
        <v>0</v>
      </c>
    </row>
    <row r="43" spans="2:13" x14ac:dyDescent="0.3">
      <c r="B43" s="4" t="s">
        <v>68</v>
      </c>
      <c r="C43" s="4" t="s">
        <v>68</v>
      </c>
      <c r="D43" s="13">
        <v>0</v>
      </c>
      <c r="E43" s="13">
        <v>0</v>
      </c>
      <c r="F43" s="13">
        <v>0</v>
      </c>
      <c r="G43" s="13">
        <v>0</v>
      </c>
      <c r="H43" s="13">
        <v>0</v>
      </c>
      <c r="I43" s="13">
        <v>0</v>
      </c>
      <c r="J43" s="13">
        <v>0</v>
      </c>
      <c r="K43" s="13">
        <v>0</v>
      </c>
      <c r="L43" s="13">
        <v>0</v>
      </c>
      <c r="M43" s="13">
        <v>0</v>
      </c>
    </row>
    <row r="44" spans="2:13" x14ac:dyDescent="0.3">
      <c r="B44" s="4" t="s">
        <v>69</v>
      </c>
      <c r="C44" s="4" t="s">
        <v>69</v>
      </c>
      <c r="D44" s="13">
        <v>0</v>
      </c>
      <c r="E44" s="13">
        <v>0</v>
      </c>
      <c r="F44" s="13">
        <v>0</v>
      </c>
      <c r="G44" s="13">
        <v>0</v>
      </c>
      <c r="H44" s="13">
        <v>0</v>
      </c>
      <c r="I44" s="13">
        <v>0</v>
      </c>
      <c r="J44" s="13">
        <v>0</v>
      </c>
      <c r="K44" s="13">
        <v>0</v>
      </c>
      <c r="L44" s="13">
        <v>0</v>
      </c>
      <c r="M44" s="13">
        <v>0</v>
      </c>
    </row>
    <row r="45" spans="2:13" x14ac:dyDescent="0.3">
      <c r="B45" s="3" t="s">
        <v>70</v>
      </c>
      <c r="C45" s="3" t="s">
        <v>70</v>
      </c>
      <c r="D45" s="14">
        <v>2759.3</v>
      </c>
      <c r="E45" s="14">
        <v>2818.9</v>
      </c>
      <c r="F45" s="14">
        <v>2884.9</v>
      </c>
      <c r="G45" s="14">
        <v>4518</v>
      </c>
      <c r="H45" s="14">
        <v>3594.6</v>
      </c>
      <c r="I45" s="14">
        <v>924.7</v>
      </c>
      <c r="J45" s="14">
        <v>4200.3</v>
      </c>
      <c r="K45" s="14">
        <v>3283.4</v>
      </c>
      <c r="L45" s="14">
        <v>4124.7</v>
      </c>
      <c r="M45" s="14">
        <v>3762.3</v>
      </c>
    </row>
    <row r="46" spans="2:13" x14ac:dyDescent="0.3">
      <c r="B46" s="4" t="s">
        <v>71</v>
      </c>
      <c r="C46" s="4" t="s">
        <v>71</v>
      </c>
      <c r="D46" s="13">
        <v>1.9</v>
      </c>
      <c r="E46" s="13">
        <v>1.2</v>
      </c>
      <c r="F46" s="13">
        <v>0.2</v>
      </c>
      <c r="G46" s="13">
        <v>-0.3</v>
      </c>
      <c r="H46" s="13">
        <v>-4.5999999999999996</v>
      </c>
      <c r="I46" s="13">
        <v>-3.6</v>
      </c>
      <c r="J46" s="13">
        <v>1</v>
      </c>
      <c r="K46" s="13">
        <v>1.8</v>
      </c>
      <c r="L46" s="13">
        <v>0.2</v>
      </c>
      <c r="M46" s="13">
        <v>1.4</v>
      </c>
    </row>
    <row r="47" spans="2:13" x14ac:dyDescent="0.3">
      <c r="B47" s="3" t="s">
        <v>72</v>
      </c>
      <c r="C47" s="3" t="s">
        <v>72</v>
      </c>
      <c r="D47" s="14">
        <v>2757.4</v>
      </c>
      <c r="E47" s="14">
        <v>2817.7</v>
      </c>
      <c r="F47" s="14">
        <v>2884.7</v>
      </c>
      <c r="G47" s="14">
        <v>4518.3</v>
      </c>
      <c r="H47" s="14">
        <v>3599.2</v>
      </c>
      <c r="I47" s="14">
        <v>928.3</v>
      </c>
      <c r="J47" s="14">
        <v>4199.3</v>
      </c>
      <c r="K47" s="14">
        <v>3281.6</v>
      </c>
      <c r="L47" s="14">
        <v>4124.5</v>
      </c>
      <c r="M47" s="14">
        <v>3760.9</v>
      </c>
    </row>
    <row r="48" spans="2:13" x14ac:dyDescent="0.3">
      <c r="B48" s="4" t="s">
        <v>73</v>
      </c>
      <c r="C48" s="4" t="s">
        <v>73</v>
      </c>
      <c r="D48" s="13">
        <v>0</v>
      </c>
      <c r="E48" s="13">
        <v>0</v>
      </c>
      <c r="F48" s="13">
        <v>0</v>
      </c>
      <c r="G48" s="13">
        <v>0</v>
      </c>
      <c r="H48" s="13">
        <v>0</v>
      </c>
      <c r="I48" s="13">
        <v>0</v>
      </c>
      <c r="J48" s="13">
        <v>0</v>
      </c>
      <c r="K48" s="13">
        <v>0</v>
      </c>
      <c r="L48" s="13">
        <v>0</v>
      </c>
      <c r="M48" s="13">
        <v>0</v>
      </c>
    </row>
    <row r="49" spans="2:13" x14ac:dyDescent="0.3">
      <c r="B49" s="4" t="s">
        <v>74</v>
      </c>
      <c r="C49" s="4" t="s">
        <v>74</v>
      </c>
      <c r="D49" s="13">
        <v>0</v>
      </c>
      <c r="E49" s="13">
        <v>0</v>
      </c>
      <c r="F49" s="13">
        <v>0</v>
      </c>
      <c r="G49" s="13">
        <v>0</v>
      </c>
      <c r="H49" s="13">
        <v>0</v>
      </c>
      <c r="I49" s="13">
        <v>0</v>
      </c>
      <c r="J49" s="13">
        <v>0</v>
      </c>
      <c r="K49" s="13">
        <v>0</v>
      </c>
      <c r="L49" s="13">
        <v>0</v>
      </c>
      <c r="M49" s="13">
        <v>0</v>
      </c>
    </row>
    <row r="50" spans="2:13" x14ac:dyDescent="0.3">
      <c r="B50" s="3" t="s">
        <v>75</v>
      </c>
      <c r="C50" s="3" t="s">
        <v>75</v>
      </c>
      <c r="D50" s="14">
        <v>2757.4</v>
      </c>
      <c r="E50" s="14">
        <v>2817.7</v>
      </c>
      <c r="F50" s="14">
        <v>2884.7</v>
      </c>
      <c r="G50" s="14">
        <v>4518.3</v>
      </c>
      <c r="H50" s="14">
        <v>3599.2</v>
      </c>
      <c r="I50" s="14">
        <v>928.3</v>
      </c>
      <c r="J50" s="14">
        <v>4199.3</v>
      </c>
      <c r="K50" s="14">
        <v>3281.6</v>
      </c>
      <c r="L50" s="14">
        <v>4124.5</v>
      </c>
      <c r="M50" s="14">
        <v>3760.9</v>
      </c>
    </row>
    <row r="51" spans="2:13" x14ac:dyDescent="0.3">
      <c r="B51" s="3" t="s">
        <v>76</v>
      </c>
      <c r="C51" s="3" t="s">
        <v>76</v>
      </c>
      <c r="D51" s="11"/>
      <c r="E51" s="11"/>
      <c r="F51" s="11"/>
      <c r="G51" s="11"/>
      <c r="H51" s="11"/>
      <c r="I51" s="11"/>
      <c r="J51" s="11"/>
      <c r="K51" s="11"/>
      <c r="L51" s="11"/>
      <c r="M51" s="11"/>
    </row>
    <row r="52" spans="2:13" x14ac:dyDescent="0.3">
      <c r="B52" s="3" t="s">
        <v>77</v>
      </c>
      <c r="C52" s="3" t="s">
        <v>77</v>
      </c>
      <c r="D52" s="14">
        <v>2578.7150000000001</v>
      </c>
      <c r="E52" s="14">
        <v>2814.19</v>
      </c>
      <c r="F52" s="14">
        <v>2995.17</v>
      </c>
      <c r="G52" s="14">
        <v>3754.5655000000002</v>
      </c>
      <c r="H52" s="14">
        <v>3498.547</v>
      </c>
      <c r="I52" s="14">
        <v>1379.7850000000001</v>
      </c>
      <c r="J52" s="14">
        <v>3789.527</v>
      </c>
      <c r="K52" s="14">
        <v>3468.9879999999998</v>
      </c>
      <c r="L52" s="14">
        <v>4069.674</v>
      </c>
      <c r="M52" s="14">
        <v>3856.8850000000002</v>
      </c>
    </row>
    <row r="53" spans="2:13" x14ac:dyDescent="0.3">
      <c r="B53" s="4" t="s">
        <v>78</v>
      </c>
      <c r="C53" s="4" t="s">
        <v>78</v>
      </c>
      <c r="D53" s="13">
        <v>-178.685</v>
      </c>
      <c r="E53" s="13">
        <v>-3.51</v>
      </c>
      <c r="F53" s="13">
        <v>110.47</v>
      </c>
      <c r="G53" s="13">
        <v>-763.73450000000003</v>
      </c>
      <c r="H53" s="13">
        <v>-100.65300000000001</v>
      </c>
      <c r="I53" s="13">
        <v>451.48500000000001</v>
      </c>
      <c r="J53" s="13">
        <v>-409.77300000000002</v>
      </c>
      <c r="K53" s="13">
        <v>187.38800000000001</v>
      </c>
      <c r="L53" s="13">
        <v>-54.826000000000001</v>
      </c>
      <c r="M53" s="13">
        <v>95.984999999999999</v>
      </c>
    </row>
    <row r="54" spans="2:13" x14ac:dyDescent="0.3">
      <c r="B54" s="4" t="s">
        <v>79</v>
      </c>
      <c r="C54" s="4" t="s">
        <v>79</v>
      </c>
      <c r="D54" s="13">
        <v>0</v>
      </c>
      <c r="E54" s="13">
        <v>0</v>
      </c>
      <c r="F54" s="13">
        <v>0</v>
      </c>
      <c r="G54" s="13">
        <v>0</v>
      </c>
      <c r="H54" s="13">
        <v>0</v>
      </c>
      <c r="I54" s="13">
        <v>0</v>
      </c>
      <c r="J54" s="13">
        <v>0</v>
      </c>
      <c r="K54" s="13">
        <v>0</v>
      </c>
      <c r="L54" s="13">
        <v>0</v>
      </c>
      <c r="M54" s="13">
        <v>0</v>
      </c>
    </row>
    <row r="55" spans="2:13" x14ac:dyDescent="0.3">
      <c r="B55" s="3" t="s">
        <v>76</v>
      </c>
      <c r="C55" s="3" t="s">
        <v>76</v>
      </c>
      <c r="D55" s="11"/>
      <c r="E55" s="11"/>
      <c r="F55" s="11"/>
      <c r="G55" s="11"/>
      <c r="H55" s="11"/>
      <c r="I55" s="11"/>
      <c r="J55" s="11"/>
      <c r="K55" s="11"/>
      <c r="L55" s="11"/>
      <c r="M55" s="11"/>
    </row>
    <row r="56" spans="2:13" x14ac:dyDescent="0.3">
      <c r="B56" s="4" t="s">
        <v>80</v>
      </c>
      <c r="C56" s="4" t="s">
        <v>80</v>
      </c>
      <c r="D56" s="13">
        <v>1495.9</v>
      </c>
      <c r="E56" s="13">
        <v>1471.6</v>
      </c>
      <c r="F56" s="13">
        <v>1449.5</v>
      </c>
      <c r="G56" s="13">
        <v>1382.7</v>
      </c>
      <c r="H56" s="13">
        <v>1221.2</v>
      </c>
      <c r="I56" s="13">
        <v>1172.8</v>
      </c>
      <c r="J56" s="13">
        <v>1177.5999999999999</v>
      </c>
      <c r="K56" s="13">
        <v>1153.3</v>
      </c>
      <c r="L56" s="13">
        <v>1146.8</v>
      </c>
      <c r="M56" s="13">
        <v>1133.8</v>
      </c>
    </row>
    <row r="57" spans="2:13" x14ac:dyDescent="0.3">
      <c r="B57" s="3" t="s">
        <v>81</v>
      </c>
      <c r="C57" s="3" t="s">
        <v>81</v>
      </c>
      <c r="D57" s="41">
        <v>1.84</v>
      </c>
      <c r="E57" s="41">
        <v>1.91</v>
      </c>
      <c r="F57" s="41">
        <v>1.99</v>
      </c>
      <c r="G57" s="41">
        <v>3.27</v>
      </c>
      <c r="H57" s="41">
        <v>2.95</v>
      </c>
      <c r="I57" s="41">
        <v>0.79</v>
      </c>
      <c r="J57" s="41">
        <v>3.57</v>
      </c>
      <c r="K57" s="41">
        <v>2.85</v>
      </c>
      <c r="L57" s="41">
        <v>3.6</v>
      </c>
      <c r="M57" s="41">
        <v>3.32</v>
      </c>
    </row>
    <row r="58" spans="2:13" x14ac:dyDescent="0.3">
      <c r="B58" s="3" t="s">
        <v>82</v>
      </c>
      <c r="C58" s="3" t="s">
        <v>82</v>
      </c>
      <c r="D58" s="41">
        <v>1.84</v>
      </c>
      <c r="E58" s="41">
        <v>1.91</v>
      </c>
      <c r="F58" s="41">
        <v>1.99</v>
      </c>
      <c r="G58" s="41">
        <v>3.27</v>
      </c>
      <c r="H58" s="41">
        <v>2.95</v>
      </c>
      <c r="I58" s="41">
        <v>0.79</v>
      </c>
      <c r="J58" s="41">
        <v>3.57</v>
      </c>
      <c r="K58" s="41">
        <v>2.85</v>
      </c>
      <c r="L58" s="41">
        <v>3.6</v>
      </c>
      <c r="M58" s="41">
        <v>3.32</v>
      </c>
    </row>
    <row r="59" spans="2:13" x14ac:dyDescent="0.3">
      <c r="B59" s="3" t="s">
        <v>83</v>
      </c>
      <c r="C59" s="3" t="s">
        <v>83</v>
      </c>
      <c r="D59" s="41">
        <v>1.7239</v>
      </c>
      <c r="E59" s="41">
        <v>1.9123000000000001</v>
      </c>
      <c r="F59" s="41">
        <v>2.0663</v>
      </c>
      <c r="G59" s="41">
        <v>2.7153999999999998</v>
      </c>
      <c r="H59" s="41">
        <v>2.8647999999999998</v>
      </c>
      <c r="I59" s="41">
        <v>1.1765000000000001</v>
      </c>
      <c r="J59" s="41">
        <v>3.218</v>
      </c>
      <c r="K59" s="41">
        <v>3.0078999999999998</v>
      </c>
      <c r="L59" s="41">
        <v>3.5487000000000002</v>
      </c>
      <c r="M59" s="41">
        <v>3.4016999999999999</v>
      </c>
    </row>
    <row r="60" spans="2:13" x14ac:dyDescent="0.3">
      <c r="B60" s="3" t="s">
        <v>76</v>
      </c>
      <c r="C60" s="3" t="s">
        <v>76</v>
      </c>
      <c r="D60" s="11"/>
      <c r="E60" s="11"/>
      <c r="F60" s="11"/>
      <c r="G60" s="11"/>
      <c r="H60" s="11"/>
      <c r="I60" s="11"/>
      <c r="J60" s="11"/>
      <c r="K60" s="11"/>
      <c r="L60" s="11"/>
      <c r="M60" s="11"/>
    </row>
    <row r="61" spans="2:13" x14ac:dyDescent="0.3">
      <c r="B61" s="4" t="s">
        <v>84</v>
      </c>
      <c r="C61" s="4" t="s">
        <v>84</v>
      </c>
      <c r="D61" s="13">
        <v>1513.4</v>
      </c>
      <c r="E61" s="13">
        <v>1486.7</v>
      </c>
      <c r="F61" s="13">
        <v>1461.5</v>
      </c>
      <c r="G61" s="13">
        <v>1394.6</v>
      </c>
      <c r="H61" s="13">
        <v>1233.2</v>
      </c>
      <c r="I61" s="13">
        <v>1181.8</v>
      </c>
      <c r="J61" s="13">
        <v>1185.5</v>
      </c>
      <c r="K61" s="13">
        <v>1158.5</v>
      </c>
      <c r="L61" s="13">
        <v>1151.3</v>
      </c>
      <c r="M61" s="13">
        <v>1137.3</v>
      </c>
    </row>
    <row r="62" spans="2:13" x14ac:dyDescent="0.3">
      <c r="B62" s="3" t="s">
        <v>85</v>
      </c>
      <c r="C62" s="3" t="s">
        <v>85</v>
      </c>
      <c r="D62" s="41">
        <v>1.82</v>
      </c>
      <c r="E62" s="41">
        <v>1.9</v>
      </c>
      <c r="F62" s="41">
        <v>1.97</v>
      </c>
      <c r="G62" s="41">
        <v>3.24</v>
      </c>
      <c r="H62" s="41">
        <v>2.92</v>
      </c>
      <c r="I62" s="41">
        <v>0.79</v>
      </c>
      <c r="J62" s="41">
        <v>3.54</v>
      </c>
      <c r="K62" s="41">
        <v>2.83</v>
      </c>
      <c r="L62" s="41">
        <v>3.58</v>
      </c>
      <c r="M62" s="41">
        <v>3.31</v>
      </c>
    </row>
    <row r="63" spans="2:13" x14ac:dyDescent="0.3">
      <c r="B63" s="3" t="s">
        <v>86</v>
      </c>
      <c r="C63" s="3" t="s">
        <v>86</v>
      </c>
      <c r="D63" s="41">
        <v>1.82</v>
      </c>
      <c r="E63" s="41">
        <v>1.9</v>
      </c>
      <c r="F63" s="41">
        <v>1.97</v>
      </c>
      <c r="G63" s="41">
        <v>3.24</v>
      </c>
      <c r="H63" s="41">
        <v>2.92</v>
      </c>
      <c r="I63" s="41">
        <v>0.79</v>
      </c>
      <c r="J63" s="41">
        <v>3.54</v>
      </c>
      <c r="K63" s="41">
        <v>2.83</v>
      </c>
      <c r="L63" s="41">
        <v>3.58</v>
      </c>
      <c r="M63" s="41">
        <v>3.31</v>
      </c>
    </row>
    <row r="64" spans="2:13" x14ac:dyDescent="0.3">
      <c r="B64" s="3" t="s">
        <v>87</v>
      </c>
      <c r="C64" s="3" t="s">
        <v>87</v>
      </c>
      <c r="D64" s="41">
        <v>1.7019</v>
      </c>
      <c r="E64" s="41">
        <v>1.8976</v>
      </c>
      <c r="F64" s="41">
        <v>2.0455999999999999</v>
      </c>
      <c r="G64" s="41">
        <v>2.6924000000000001</v>
      </c>
      <c r="H64" s="41">
        <v>2.8384</v>
      </c>
      <c r="I64" s="41">
        <v>1.1719999999999999</v>
      </c>
      <c r="J64" s="41">
        <v>3.1943000000000001</v>
      </c>
      <c r="K64" s="41">
        <v>2.9918</v>
      </c>
      <c r="L64" s="41">
        <v>3.5324</v>
      </c>
      <c r="M64" s="41">
        <v>3.3944000000000001</v>
      </c>
    </row>
    <row r="65" spans="2:13" x14ac:dyDescent="0.3">
      <c r="B65" s="3" t="s">
        <v>76</v>
      </c>
      <c r="C65" s="3" t="s">
        <v>76</v>
      </c>
      <c r="D65" s="11"/>
      <c r="E65" s="11"/>
      <c r="F65" s="11"/>
      <c r="G65" s="11"/>
      <c r="H65" s="11"/>
      <c r="I65" s="11"/>
      <c r="J65" s="11"/>
      <c r="K65" s="11"/>
      <c r="L65" s="11"/>
      <c r="M65" s="11"/>
    </row>
    <row r="66" spans="2:13" x14ac:dyDescent="0.3">
      <c r="B66" s="3" t="s">
        <v>88</v>
      </c>
      <c r="C66" s="3" t="s">
        <v>88</v>
      </c>
      <c r="D66" s="11"/>
      <c r="E66" s="11"/>
      <c r="F66" s="11"/>
      <c r="G66" s="11"/>
      <c r="H66" s="11"/>
      <c r="I66" s="11"/>
      <c r="J66" s="11"/>
      <c r="K66" s="11"/>
      <c r="L66" s="11"/>
      <c r="M66" s="11"/>
    </row>
    <row r="67" spans="2:13" x14ac:dyDescent="0.3">
      <c r="B67" s="4" t="s">
        <v>89</v>
      </c>
      <c r="C67" s="4" t="s">
        <v>89</v>
      </c>
      <c r="D67" s="17" t="s">
        <v>90</v>
      </c>
      <c r="E67" s="17" t="s">
        <v>90</v>
      </c>
      <c r="F67" s="17" t="s">
        <v>90</v>
      </c>
      <c r="G67" s="17" t="s">
        <v>90</v>
      </c>
      <c r="H67" s="17" t="s">
        <v>90</v>
      </c>
      <c r="I67" s="17" t="s">
        <v>90</v>
      </c>
      <c r="J67" s="17" t="s">
        <v>90</v>
      </c>
      <c r="K67" s="17" t="s">
        <v>90</v>
      </c>
      <c r="L67" s="17" t="s">
        <v>90</v>
      </c>
      <c r="M67" s="17" t="s">
        <v>90</v>
      </c>
    </row>
    <row r="68" spans="2:13" x14ac:dyDescent="0.3">
      <c r="B68" s="4" t="s">
        <v>91</v>
      </c>
      <c r="C68" s="4" t="s">
        <v>91</v>
      </c>
      <c r="D68" s="13">
        <v>4589.3999999999996</v>
      </c>
      <c r="E68" s="13">
        <v>5202</v>
      </c>
      <c r="F68" s="13">
        <v>5418.3</v>
      </c>
      <c r="G68" s="13">
        <v>5800.9</v>
      </c>
      <c r="H68" s="13">
        <v>6019.8</v>
      </c>
      <c r="I68" s="13">
        <v>5210</v>
      </c>
      <c r="J68" s="13">
        <v>8321.2000000000007</v>
      </c>
      <c r="K68" s="13">
        <v>7939.2</v>
      </c>
      <c r="L68" s="13">
        <v>8852.7000000000007</v>
      </c>
      <c r="M68" s="13">
        <v>8846.2000000000007</v>
      </c>
    </row>
    <row r="69" spans="2:13" x14ac:dyDescent="0.3">
      <c r="B69" s="4" t="s">
        <v>92</v>
      </c>
      <c r="C69" s="4" t="s">
        <v>92</v>
      </c>
      <c r="D69" s="18">
        <v>23.9497</v>
      </c>
      <c r="E69" s="18">
        <v>24.404299999999999</v>
      </c>
      <c r="F69" s="18">
        <v>24.203099999999999</v>
      </c>
      <c r="G69" s="18">
        <v>23.466899999999999</v>
      </c>
      <c r="H69" s="18">
        <v>22.7089</v>
      </c>
      <c r="I69" s="18">
        <v>22.153199999999998</v>
      </c>
      <c r="J69" s="18">
        <v>28.634</v>
      </c>
      <c r="K69" s="18">
        <v>24.6174</v>
      </c>
      <c r="L69" s="18">
        <v>24.607500000000002</v>
      </c>
      <c r="M69" s="18">
        <v>24.453099999999999</v>
      </c>
    </row>
    <row r="70" spans="2:13" x14ac:dyDescent="0.3">
      <c r="B70" s="4" t="s">
        <v>93</v>
      </c>
      <c r="C70" s="4" t="s">
        <v>93</v>
      </c>
      <c r="D70" s="13">
        <v>3745.5</v>
      </c>
      <c r="E70" s="13">
        <v>4278.5</v>
      </c>
      <c r="F70" s="13">
        <v>4464.3999999999996</v>
      </c>
      <c r="G70" s="13">
        <v>4740.3999999999996</v>
      </c>
      <c r="H70" s="13">
        <v>4875.3</v>
      </c>
      <c r="I70" s="13">
        <v>4002.4</v>
      </c>
      <c r="J70" s="13">
        <v>7102.9</v>
      </c>
      <c r="K70" s="13">
        <v>6684</v>
      </c>
      <c r="L70" s="13">
        <v>7511.6</v>
      </c>
      <c r="M70" s="13">
        <v>7354</v>
      </c>
    </row>
    <row r="71" spans="2:13" x14ac:dyDescent="0.3">
      <c r="B71" s="4" t="s">
        <v>94</v>
      </c>
      <c r="C71" s="4" t="s">
        <v>94</v>
      </c>
      <c r="D71" s="13">
        <v>3655.6</v>
      </c>
      <c r="E71" s="13">
        <v>4171.8999999999996</v>
      </c>
      <c r="F71" s="13">
        <v>4351.2</v>
      </c>
      <c r="G71" s="13">
        <v>4495</v>
      </c>
      <c r="H71" s="13">
        <v>4570.5</v>
      </c>
      <c r="I71" s="13">
        <v>2133.1999999999998</v>
      </c>
      <c r="J71" s="13">
        <v>5217.8999999999996</v>
      </c>
      <c r="K71" s="13">
        <v>4855</v>
      </c>
      <c r="L71" s="13">
        <v>5801.4</v>
      </c>
      <c r="M71" s="13">
        <v>5530.3</v>
      </c>
    </row>
    <row r="72" spans="2:13" x14ac:dyDescent="0.3">
      <c r="B72" s="4" t="s">
        <v>95</v>
      </c>
      <c r="C72" s="4" t="s">
        <v>95</v>
      </c>
      <c r="D72" s="18">
        <v>31.1235</v>
      </c>
      <c r="E72" s="18">
        <v>31.631799999999998</v>
      </c>
      <c r="F72" s="18">
        <v>30.529599999999999</v>
      </c>
      <c r="G72" s="18">
        <v>29.598500000000001</v>
      </c>
      <c r="H72" s="18">
        <v>28.247800000000002</v>
      </c>
      <c r="I72" s="18">
        <v>21.511600000000001</v>
      </c>
      <c r="J72" s="18">
        <v>28.934699999999999</v>
      </c>
      <c r="K72" s="18">
        <v>25.956700000000001</v>
      </c>
      <c r="L72" s="18">
        <v>27.3691</v>
      </c>
      <c r="M72" s="18">
        <v>26.8384</v>
      </c>
    </row>
    <row r="73" spans="2:13" x14ac:dyDescent="0.3">
      <c r="B73" s="4" t="s">
        <v>96</v>
      </c>
      <c r="C73" s="4" t="s">
        <v>96</v>
      </c>
      <c r="D73" s="18">
        <v>19.076599999999999</v>
      </c>
      <c r="E73" s="18">
        <v>19.5718</v>
      </c>
      <c r="F73" s="18">
        <v>19.436499999999999</v>
      </c>
      <c r="G73" s="18">
        <v>18.184000000000001</v>
      </c>
      <c r="H73" s="18">
        <v>17.241599999999998</v>
      </c>
      <c r="I73" s="18">
        <v>9.0704999999999991</v>
      </c>
      <c r="J73" s="18">
        <v>17.955200000000001</v>
      </c>
      <c r="K73" s="18">
        <v>15.0541</v>
      </c>
      <c r="L73" s="18">
        <v>16.125900000000001</v>
      </c>
      <c r="M73" s="18">
        <v>15.287100000000001</v>
      </c>
    </row>
    <row r="74" spans="2:13" x14ac:dyDescent="0.3">
      <c r="B74" s="4" t="s">
        <v>97</v>
      </c>
      <c r="C74" s="4" t="s">
        <v>97</v>
      </c>
      <c r="D74" s="18">
        <v>13.457000000000001</v>
      </c>
      <c r="E74" s="18">
        <v>13.202299999999999</v>
      </c>
      <c r="F74" s="18">
        <v>13.379200000000001</v>
      </c>
      <c r="G74" s="18">
        <v>15.188700000000001</v>
      </c>
      <c r="H74" s="18">
        <v>13.197800000000001</v>
      </c>
      <c r="I74" s="18">
        <v>5.8669000000000002</v>
      </c>
      <c r="J74" s="18">
        <v>13.040100000000001</v>
      </c>
      <c r="K74" s="18">
        <v>10.756500000000001</v>
      </c>
      <c r="L74" s="18">
        <v>11.3123</v>
      </c>
      <c r="M74" s="18">
        <v>10.6614</v>
      </c>
    </row>
    <row r="75" spans="2:13" x14ac:dyDescent="0.3">
      <c r="B75" s="4" t="s">
        <v>98</v>
      </c>
      <c r="C75" s="4" t="s">
        <v>98</v>
      </c>
      <c r="D75" s="18">
        <v>80515.546199999997</v>
      </c>
      <c r="E75" s="18">
        <v>83920.866099999999</v>
      </c>
      <c r="F75" s="18">
        <v>80818.772599999997</v>
      </c>
      <c r="G75" s="18">
        <v>84946.735400000005</v>
      </c>
      <c r="H75" s="18">
        <v>76614.450899999996</v>
      </c>
      <c r="I75" s="18">
        <v>67386.819499999998</v>
      </c>
      <c r="J75" s="18">
        <v>75876.2402</v>
      </c>
      <c r="K75" s="18">
        <v>80224.626900000003</v>
      </c>
      <c r="L75" s="18">
        <v>94424.146999999997</v>
      </c>
      <c r="M75" s="18">
        <v>100211.0803</v>
      </c>
    </row>
    <row r="76" spans="2:13" x14ac:dyDescent="0.3">
      <c r="B76" s="4" t="s">
        <v>99</v>
      </c>
      <c r="C76" s="4" t="s">
        <v>99</v>
      </c>
      <c r="D76" s="18">
        <v>0.68</v>
      </c>
      <c r="E76" s="18">
        <v>0.85</v>
      </c>
      <c r="F76" s="18">
        <v>1.05</v>
      </c>
      <c r="G76" s="18">
        <v>1.32</v>
      </c>
      <c r="H76" s="18">
        <v>1.49</v>
      </c>
      <c r="I76" s="18">
        <v>1.68</v>
      </c>
      <c r="J76" s="18">
        <v>1.84</v>
      </c>
      <c r="K76" s="18">
        <v>1.96</v>
      </c>
      <c r="L76" s="18">
        <v>2.12</v>
      </c>
      <c r="M76" s="18">
        <v>2.3199999999999998</v>
      </c>
    </row>
    <row r="77" spans="2:13" x14ac:dyDescent="0.3">
      <c r="B77" s="4" t="s">
        <v>100</v>
      </c>
      <c r="C77" s="4" t="s">
        <v>100</v>
      </c>
      <c r="D77" s="72">
        <v>1016.2</v>
      </c>
      <c r="E77" s="13">
        <v>1246.2</v>
      </c>
      <c r="F77" s="13">
        <v>1521.9749999999999</v>
      </c>
      <c r="G77" s="13">
        <v>1825.164</v>
      </c>
      <c r="H77" s="13">
        <v>1819.588</v>
      </c>
      <c r="I77" s="13">
        <v>1970.3040000000001</v>
      </c>
      <c r="J77" s="13">
        <v>2166.7840000000001</v>
      </c>
      <c r="K77" s="13">
        <v>2260.4679999999998</v>
      </c>
      <c r="L77" s="13">
        <v>2431.2159999999999</v>
      </c>
      <c r="M77" s="13">
        <v>2630.4160000000002</v>
      </c>
    </row>
    <row r="78" spans="2:13" x14ac:dyDescent="0.3">
      <c r="B78" s="4" t="s">
        <v>101</v>
      </c>
      <c r="C78" s="4" t="s">
        <v>101</v>
      </c>
      <c r="D78" s="13">
        <v>3.6</v>
      </c>
      <c r="E78" s="13">
        <v>0</v>
      </c>
      <c r="F78" s="13">
        <v>0</v>
      </c>
      <c r="G78" s="13">
        <v>0</v>
      </c>
      <c r="H78" s="13">
        <v>0</v>
      </c>
      <c r="I78" s="13">
        <v>0</v>
      </c>
      <c r="J78" s="13">
        <v>0</v>
      </c>
      <c r="K78" s="13">
        <v>0</v>
      </c>
      <c r="L78" s="13">
        <v>0</v>
      </c>
      <c r="M78" s="13">
        <v>0</v>
      </c>
    </row>
    <row r="79" spans="2:13" x14ac:dyDescent="0.3">
      <c r="B79" s="4" t="s">
        <v>102</v>
      </c>
      <c r="C79" s="4" t="s">
        <v>102</v>
      </c>
      <c r="D79" s="13">
        <v>843.9</v>
      </c>
      <c r="E79" s="13">
        <v>923.5</v>
      </c>
      <c r="F79" s="13">
        <v>953.9</v>
      </c>
      <c r="G79" s="13">
        <v>1060.5</v>
      </c>
      <c r="H79" s="13">
        <v>1144.5</v>
      </c>
      <c r="I79" s="13">
        <v>1207.5999999999999</v>
      </c>
      <c r="J79" s="13">
        <v>1218.3</v>
      </c>
      <c r="K79" s="13">
        <v>1255.2</v>
      </c>
      <c r="L79" s="13">
        <v>1341.1</v>
      </c>
      <c r="M79" s="13">
        <v>1492.2</v>
      </c>
    </row>
    <row r="80" spans="2:13" x14ac:dyDescent="0.3">
      <c r="B80" s="4" t="s">
        <v>103</v>
      </c>
      <c r="C80" s="4" t="s">
        <v>103</v>
      </c>
      <c r="D80" s="13">
        <v>1137.8</v>
      </c>
      <c r="E80" s="13">
        <v>1223.2</v>
      </c>
      <c r="F80" s="13">
        <v>1329.2</v>
      </c>
      <c r="G80" s="13">
        <v>1625.2</v>
      </c>
      <c r="H80" s="13">
        <v>1666</v>
      </c>
      <c r="I80" s="13">
        <v>2441.1</v>
      </c>
      <c r="J80" s="13">
        <v>2559.6999999999998</v>
      </c>
      <c r="K80" s="13">
        <v>2522</v>
      </c>
      <c r="L80" s="13">
        <v>2679.3</v>
      </c>
      <c r="M80" s="13">
        <v>2881</v>
      </c>
    </row>
    <row r="81" spans="2:13" x14ac:dyDescent="0.3">
      <c r="B81" s="7" t="s">
        <v>104</v>
      </c>
      <c r="C81" s="24"/>
      <c r="D81" s="8"/>
      <c r="E81" s="8"/>
      <c r="F81" s="8"/>
      <c r="G81" s="9" t="s">
        <v>76</v>
      </c>
      <c r="H81" s="9" t="s">
        <v>76</v>
      </c>
      <c r="I81" s="9" t="s">
        <v>76</v>
      </c>
      <c r="J81" s="9" t="s">
        <v>76</v>
      </c>
      <c r="K81" s="9" t="s">
        <v>76</v>
      </c>
      <c r="L81" s="9" t="s">
        <v>76</v>
      </c>
      <c r="M81" s="9" t="s">
        <v>76</v>
      </c>
    </row>
    <row r="84" spans="2:13" ht="21" x14ac:dyDescent="0.3">
      <c r="B84" s="294" t="s">
        <v>105</v>
      </c>
      <c r="C84" s="295"/>
      <c r="D84" s="295"/>
      <c r="E84" s="295"/>
      <c r="F84" s="295"/>
      <c r="G84" s="295"/>
      <c r="H84" s="295"/>
      <c r="I84" s="295"/>
      <c r="J84" s="295"/>
      <c r="K84" s="295"/>
      <c r="L84" s="295"/>
      <c r="M84" s="295"/>
    </row>
    <row r="85" spans="2:13" x14ac:dyDescent="0.3">
      <c r="B85" s="219" t="s">
        <v>1</v>
      </c>
      <c r="C85" s="219"/>
      <c r="D85" s="220" t="s">
        <v>2</v>
      </c>
      <c r="E85" s="220" t="s">
        <v>3</v>
      </c>
      <c r="F85" s="220" t="s">
        <v>4</v>
      </c>
      <c r="G85" s="220" t="s">
        <v>5</v>
      </c>
      <c r="H85" s="220" t="s">
        <v>6</v>
      </c>
      <c r="I85" s="220" t="s">
        <v>7</v>
      </c>
      <c r="J85" s="220" t="s">
        <v>8</v>
      </c>
      <c r="K85" s="220" t="s">
        <v>9</v>
      </c>
      <c r="L85" s="220" t="s">
        <v>10</v>
      </c>
      <c r="M85" s="220" t="s">
        <v>11</v>
      </c>
    </row>
    <row r="86" spans="2:13" x14ac:dyDescent="0.3">
      <c r="B86" s="221" t="s">
        <v>12</v>
      </c>
      <c r="C86" s="221"/>
      <c r="D86" s="222" t="s">
        <v>13</v>
      </c>
      <c r="E86" s="222" t="s">
        <v>14</v>
      </c>
      <c r="F86" s="222" t="s">
        <v>15</v>
      </c>
      <c r="G86" s="222" t="s">
        <v>16</v>
      </c>
      <c r="H86" s="222" t="s">
        <v>17</v>
      </c>
      <c r="I86" s="222" t="s">
        <v>18</v>
      </c>
      <c r="J86" s="222" t="s">
        <v>19</v>
      </c>
      <c r="K86" s="222" t="s">
        <v>20</v>
      </c>
      <c r="L86" s="222" t="s">
        <v>21</v>
      </c>
      <c r="M86" s="222" t="s">
        <v>22</v>
      </c>
    </row>
    <row r="87" spans="2:13" x14ac:dyDescent="0.3">
      <c r="B87" s="10" t="s">
        <v>106</v>
      </c>
      <c r="C87" s="10"/>
      <c r="D87" s="11"/>
      <c r="E87" s="11"/>
      <c r="F87" s="11"/>
      <c r="G87" s="11"/>
      <c r="H87" s="11"/>
      <c r="I87" s="11"/>
      <c r="J87" s="11"/>
      <c r="K87" s="11"/>
      <c r="L87" s="11"/>
      <c r="M87" s="11"/>
    </row>
    <row r="88" spans="2:13" x14ac:dyDescent="0.3">
      <c r="B88" s="47" t="s">
        <v>107</v>
      </c>
      <c r="C88" s="47"/>
      <c r="D88" s="72">
        <v>1611.4</v>
      </c>
      <c r="E88" s="13">
        <v>2263.1999999999998</v>
      </c>
      <c r="F88" s="13">
        <v>2690.9</v>
      </c>
      <c r="G88" s="13">
        <v>8937.7999999999993</v>
      </c>
      <c r="H88" s="13">
        <v>2757.1</v>
      </c>
      <c r="I88" s="13">
        <v>4632.1000000000004</v>
      </c>
      <c r="J88" s="13">
        <v>6617.9</v>
      </c>
      <c r="K88" s="13">
        <v>3182.9</v>
      </c>
      <c r="L88" s="13">
        <v>3953</v>
      </c>
      <c r="M88" s="13">
        <v>3543.2</v>
      </c>
    </row>
    <row r="89" spans="2:13" x14ac:dyDescent="0.3">
      <c r="B89" s="47" t="s">
        <v>108</v>
      </c>
      <c r="C89" s="47"/>
      <c r="D89" s="72">
        <v>1530.1</v>
      </c>
      <c r="E89" s="13">
        <v>2128.8000000000002</v>
      </c>
      <c r="F89" s="13">
        <v>2462.3000000000002</v>
      </c>
      <c r="G89" s="13">
        <v>8756.2999999999993</v>
      </c>
      <c r="H89" s="13">
        <v>2686.6</v>
      </c>
      <c r="I89" s="13">
        <v>4350.8999999999996</v>
      </c>
      <c r="J89" s="13">
        <v>6455.7</v>
      </c>
      <c r="K89" s="13">
        <v>2818.4</v>
      </c>
      <c r="L89" s="13">
        <v>3551.5</v>
      </c>
      <c r="M89" s="13">
        <v>3286.2</v>
      </c>
    </row>
    <row r="90" spans="2:13" x14ac:dyDescent="0.3">
      <c r="B90" s="47" t="s">
        <v>109</v>
      </c>
      <c r="C90" s="47"/>
      <c r="D90" s="72">
        <v>81.3</v>
      </c>
      <c r="E90" s="13">
        <v>134.4</v>
      </c>
      <c r="F90" s="13">
        <v>228.6</v>
      </c>
      <c r="G90" s="13">
        <v>181.5</v>
      </c>
      <c r="H90" s="13">
        <v>70.5</v>
      </c>
      <c r="I90" s="13">
        <v>281.2</v>
      </c>
      <c r="J90" s="13">
        <v>162.19999999999999</v>
      </c>
      <c r="K90" s="13">
        <v>364.5</v>
      </c>
      <c r="L90" s="13">
        <v>401.5</v>
      </c>
      <c r="M90" s="13">
        <v>257</v>
      </c>
    </row>
    <row r="91" spans="2:13" x14ac:dyDescent="0.3">
      <c r="B91" s="47" t="s">
        <v>110</v>
      </c>
      <c r="C91" s="47"/>
      <c r="D91" s="72">
        <v>719</v>
      </c>
      <c r="E91" s="13">
        <v>768.8</v>
      </c>
      <c r="F91" s="13">
        <v>870.4</v>
      </c>
      <c r="G91" s="13">
        <v>693.1</v>
      </c>
      <c r="H91" s="13">
        <v>879.2</v>
      </c>
      <c r="I91" s="13">
        <v>883.4</v>
      </c>
      <c r="J91" s="13">
        <v>940</v>
      </c>
      <c r="K91" s="13">
        <v>1175.5</v>
      </c>
      <c r="L91" s="13">
        <v>1184.0999999999999</v>
      </c>
      <c r="M91" s="13">
        <v>1213.8</v>
      </c>
    </row>
    <row r="92" spans="2:13" x14ac:dyDescent="0.3">
      <c r="B92" s="47" t="s">
        <v>111</v>
      </c>
      <c r="C92" s="47"/>
      <c r="D92" s="72">
        <v>719</v>
      </c>
      <c r="E92" s="13">
        <v>768.8</v>
      </c>
      <c r="F92" s="13">
        <v>870.4</v>
      </c>
      <c r="G92" s="13">
        <v>693.1</v>
      </c>
      <c r="H92" s="13">
        <v>879.2</v>
      </c>
      <c r="I92" s="13">
        <v>883.4</v>
      </c>
      <c r="J92" s="13">
        <v>940</v>
      </c>
      <c r="K92" s="13">
        <v>1175.5</v>
      </c>
      <c r="L92" s="13">
        <v>1184.0999999999999</v>
      </c>
      <c r="M92" s="13">
        <v>1213.8</v>
      </c>
    </row>
    <row r="93" spans="2:13" x14ac:dyDescent="0.3">
      <c r="B93" s="47" t="s">
        <v>112</v>
      </c>
      <c r="C93" s="47"/>
      <c r="D93" s="72">
        <v>0</v>
      </c>
      <c r="E93" s="13">
        <v>0</v>
      </c>
      <c r="F93" s="13">
        <v>0</v>
      </c>
      <c r="G93" s="13">
        <v>0</v>
      </c>
      <c r="H93" s="13">
        <v>0</v>
      </c>
      <c r="I93" s="13">
        <v>0</v>
      </c>
      <c r="J93" s="13">
        <v>0</v>
      </c>
      <c r="K93" s="13">
        <v>0</v>
      </c>
      <c r="L93" s="13">
        <v>0</v>
      </c>
      <c r="M93" s="13">
        <v>0</v>
      </c>
    </row>
    <row r="94" spans="2:13" x14ac:dyDescent="0.3">
      <c r="B94" s="47" t="s">
        <v>113</v>
      </c>
      <c r="C94" s="47"/>
      <c r="D94" s="72">
        <v>1306.4000000000001</v>
      </c>
      <c r="E94" s="13">
        <v>1378.5</v>
      </c>
      <c r="F94" s="13">
        <v>1364</v>
      </c>
      <c r="G94" s="13">
        <v>1400.5</v>
      </c>
      <c r="H94" s="13">
        <v>1529.4</v>
      </c>
      <c r="I94" s="13">
        <v>1551.4</v>
      </c>
      <c r="J94" s="13">
        <v>1603.9</v>
      </c>
      <c r="K94" s="13">
        <v>2176.6</v>
      </c>
      <c r="L94" s="13">
        <v>1806.4</v>
      </c>
      <c r="M94" s="13">
        <v>1777.3</v>
      </c>
    </row>
    <row r="95" spans="2:13" x14ac:dyDescent="0.3">
      <c r="B95" s="47" t="s">
        <v>114</v>
      </c>
      <c r="C95" s="47"/>
      <c r="D95" s="72">
        <v>809.1</v>
      </c>
      <c r="E95" s="13">
        <v>862</v>
      </c>
      <c r="F95" s="13">
        <v>842.1</v>
      </c>
      <c r="G95" s="13">
        <v>869.8</v>
      </c>
      <c r="H95" s="13">
        <v>933</v>
      </c>
      <c r="I95" s="13">
        <v>888.2</v>
      </c>
      <c r="J95" s="13">
        <v>903.8</v>
      </c>
      <c r="K95" s="13">
        <v>1328.9</v>
      </c>
      <c r="L95" s="13">
        <v>1028</v>
      </c>
      <c r="M95" s="13">
        <v>917</v>
      </c>
    </row>
    <row r="96" spans="2:13" x14ac:dyDescent="0.3">
      <c r="B96" s="47" t="s">
        <v>115</v>
      </c>
      <c r="C96" s="47"/>
      <c r="D96" s="72">
        <v>0</v>
      </c>
      <c r="E96" s="13">
        <v>0</v>
      </c>
      <c r="F96" s="13">
        <v>0</v>
      </c>
      <c r="G96" s="13">
        <v>0</v>
      </c>
      <c r="H96" s="13">
        <v>0</v>
      </c>
      <c r="I96" s="13">
        <v>0</v>
      </c>
      <c r="J96" s="13">
        <v>0</v>
      </c>
      <c r="K96" s="13">
        <v>0</v>
      </c>
      <c r="L96" s="13">
        <v>0</v>
      </c>
      <c r="M96" s="13">
        <v>0</v>
      </c>
    </row>
    <row r="97" spans="2:13" x14ac:dyDescent="0.3">
      <c r="B97" s="47" t="s">
        <v>116</v>
      </c>
      <c r="C97" s="47"/>
      <c r="D97" s="72">
        <v>318.3</v>
      </c>
      <c r="E97" s="13">
        <v>308.60000000000002</v>
      </c>
      <c r="F97" s="13">
        <v>301.10000000000002</v>
      </c>
      <c r="G97" s="13">
        <v>273.10000000000002</v>
      </c>
      <c r="H97" s="13">
        <v>288</v>
      </c>
      <c r="I97" s="13">
        <v>293.89999999999998</v>
      </c>
      <c r="J97" s="13">
        <v>329.3</v>
      </c>
      <c r="K97" s="13">
        <v>430.9</v>
      </c>
      <c r="L97" s="13">
        <v>364.6</v>
      </c>
      <c r="M97" s="13">
        <v>384.6</v>
      </c>
    </row>
    <row r="98" spans="2:13" x14ac:dyDescent="0.3">
      <c r="B98" s="47" t="s">
        <v>117</v>
      </c>
      <c r="C98" s="47"/>
      <c r="D98" s="72">
        <v>179</v>
      </c>
      <c r="E98" s="13">
        <v>207.9</v>
      </c>
      <c r="F98" s="13">
        <v>220.8</v>
      </c>
      <c r="G98" s="13">
        <v>257.60000000000002</v>
      </c>
      <c r="H98" s="13">
        <v>308.39999999999998</v>
      </c>
      <c r="I98" s="13">
        <v>369.3</v>
      </c>
      <c r="J98" s="13">
        <v>370.8</v>
      </c>
      <c r="K98" s="13">
        <v>416.8</v>
      </c>
      <c r="L98" s="13">
        <v>413.8</v>
      </c>
      <c r="M98" s="13">
        <v>475.7</v>
      </c>
    </row>
    <row r="99" spans="2:13" x14ac:dyDescent="0.3">
      <c r="B99" s="47" t="s">
        <v>118</v>
      </c>
      <c r="C99" s="47"/>
      <c r="D99" s="72">
        <v>334.2</v>
      </c>
      <c r="E99" s="13">
        <v>350</v>
      </c>
      <c r="F99" s="13">
        <v>358.1</v>
      </c>
      <c r="G99" s="13">
        <v>1462.8</v>
      </c>
      <c r="H99" s="13">
        <v>488.2</v>
      </c>
      <c r="I99" s="13">
        <v>739.5</v>
      </c>
      <c r="J99" s="13">
        <v>594.6</v>
      </c>
      <c r="K99" s="13">
        <v>483.7</v>
      </c>
      <c r="L99" s="13">
        <v>359.9</v>
      </c>
      <c r="M99" s="13">
        <v>313.10000000000002</v>
      </c>
    </row>
    <row r="100" spans="2:13" x14ac:dyDescent="0.3">
      <c r="B100" s="47" t="s">
        <v>119</v>
      </c>
      <c r="C100" s="47"/>
      <c r="D100" s="72">
        <v>50.8</v>
      </c>
      <c r="E100" s="13">
        <v>27.7</v>
      </c>
      <c r="F100" s="13">
        <v>24.4</v>
      </c>
      <c r="G100" s="13">
        <v>10.4</v>
      </c>
      <c r="H100" s="13">
        <v>12.6</v>
      </c>
      <c r="I100" s="13">
        <v>15.6</v>
      </c>
      <c r="J100" s="13">
        <v>147.6</v>
      </c>
      <c r="K100" s="13">
        <v>75.099999999999994</v>
      </c>
      <c r="L100" s="13">
        <v>41</v>
      </c>
      <c r="M100" s="13">
        <v>4.8</v>
      </c>
    </row>
    <row r="101" spans="2:13" x14ac:dyDescent="0.3">
      <c r="B101" s="47" t="s">
        <v>120</v>
      </c>
      <c r="C101" s="47"/>
      <c r="D101" s="72">
        <v>0</v>
      </c>
      <c r="E101" s="13">
        <v>0</v>
      </c>
      <c r="F101" s="13">
        <v>0</v>
      </c>
      <c r="G101" s="13">
        <v>0</v>
      </c>
      <c r="H101" s="13">
        <v>0</v>
      </c>
      <c r="I101" s="13">
        <v>0</v>
      </c>
      <c r="J101" s="13">
        <v>0</v>
      </c>
      <c r="K101" s="13">
        <v>0</v>
      </c>
      <c r="L101" s="13">
        <v>0</v>
      </c>
      <c r="M101" s="13">
        <v>0</v>
      </c>
    </row>
    <row r="102" spans="2:13" x14ac:dyDescent="0.3">
      <c r="B102" s="47" t="s">
        <v>121</v>
      </c>
      <c r="C102" s="47"/>
      <c r="D102" s="72">
        <v>0</v>
      </c>
      <c r="E102" s="13">
        <v>0</v>
      </c>
      <c r="F102" s="13">
        <v>0</v>
      </c>
      <c r="G102" s="13">
        <v>0</v>
      </c>
      <c r="H102" s="13">
        <v>0</v>
      </c>
      <c r="I102" s="13">
        <v>356.9</v>
      </c>
      <c r="J102" s="13">
        <v>20.7</v>
      </c>
      <c r="K102" s="13">
        <v>27.7</v>
      </c>
      <c r="L102" s="13">
        <v>0</v>
      </c>
      <c r="M102" s="13">
        <v>0</v>
      </c>
    </row>
    <row r="103" spans="2:13" x14ac:dyDescent="0.3">
      <c r="B103" s="47" t="s">
        <v>122</v>
      </c>
      <c r="C103" s="47"/>
      <c r="D103" s="72">
        <v>283.39999999999998</v>
      </c>
      <c r="E103" s="13">
        <v>322.3</v>
      </c>
      <c r="F103" s="13">
        <v>333.7</v>
      </c>
      <c r="G103" s="13">
        <v>1452.4</v>
      </c>
      <c r="H103" s="13">
        <v>475.6</v>
      </c>
      <c r="I103" s="13">
        <v>367</v>
      </c>
      <c r="J103" s="13">
        <v>426.3</v>
      </c>
      <c r="K103" s="13">
        <v>380.9</v>
      </c>
      <c r="L103" s="13">
        <v>318.89999999999998</v>
      </c>
      <c r="M103" s="13">
        <v>308.3</v>
      </c>
    </row>
    <row r="104" spans="2:13" x14ac:dyDescent="0.3">
      <c r="B104" s="73" t="s">
        <v>123</v>
      </c>
      <c r="C104" s="73"/>
      <c r="D104" s="74">
        <v>3971</v>
      </c>
      <c r="E104" s="14">
        <v>4760.5</v>
      </c>
      <c r="F104" s="14">
        <v>5283.4</v>
      </c>
      <c r="G104" s="14">
        <v>12494.2</v>
      </c>
      <c r="H104" s="14">
        <v>5653.9</v>
      </c>
      <c r="I104" s="14">
        <v>7806.4</v>
      </c>
      <c r="J104" s="14">
        <v>9756.4</v>
      </c>
      <c r="K104" s="14">
        <v>7018.7</v>
      </c>
      <c r="L104" s="14">
        <v>7303.4</v>
      </c>
      <c r="M104" s="14">
        <v>6847.4</v>
      </c>
    </row>
    <row r="105" spans="2:13" x14ac:dyDescent="0.3">
      <c r="B105" s="47" t="s">
        <v>124</v>
      </c>
      <c r="C105" s="75">
        <f>D106-D107</f>
        <v>4088.2999999999993</v>
      </c>
      <c r="D105" s="72">
        <v>4088.3</v>
      </c>
      <c r="E105" s="13">
        <v>4533.8</v>
      </c>
      <c r="F105" s="13">
        <v>4919.5</v>
      </c>
      <c r="G105" s="13">
        <v>5929.1</v>
      </c>
      <c r="H105" s="13">
        <v>6431.7</v>
      </c>
      <c r="I105" s="13">
        <v>14375.5</v>
      </c>
      <c r="J105" s="13">
        <v>14605.5</v>
      </c>
      <c r="K105" s="13">
        <v>14576.1</v>
      </c>
      <c r="L105" s="13">
        <v>15799.7</v>
      </c>
      <c r="M105" s="13">
        <v>17951.7</v>
      </c>
    </row>
    <row r="106" spans="2:13" x14ac:dyDescent="0.3">
      <c r="B106" s="47" t="s">
        <v>125</v>
      </c>
      <c r="C106" s="47"/>
      <c r="D106" s="72">
        <v>9641.7999999999993</v>
      </c>
      <c r="E106" s="13">
        <v>10573.3</v>
      </c>
      <c r="F106" s="13">
        <v>11584</v>
      </c>
      <c r="G106" s="13">
        <v>13197.1</v>
      </c>
      <c r="H106" s="13">
        <v>14273.5</v>
      </c>
      <c r="I106" s="13">
        <v>22289.4</v>
      </c>
      <c r="J106" s="13">
        <v>23064.799999999999</v>
      </c>
      <c r="K106" s="13">
        <v>23625.4</v>
      </c>
      <c r="L106" s="13">
        <v>25722.799999999999</v>
      </c>
      <c r="M106" s="13">
        <v>28727.200000000001</v>
      </c>
    </row>
    <row r="107" spans="2:13" x14ac:dyDescent="0.3">
      <c r="B107" s="47" t="s">
        <v>126</v>
      </c>
      <c r="C107" s="47"/>
      <c r="D107" s="72">
        <v>5553.5</v>
      </c>
      <c r="E107" s="13">
        <v>6039.5</v>
      </c>
      <c r="F107" s="13">
        <v>6664.5</v>
      </c>
      <c r="G107" s="13">
        <v>7268</v>
      </c>
      <c r="H107" s="13">
        <v>7841.8</v>
      </c>
      <c r="I107" s="13">
        <v>7913.9</v>
      </c>
      <c r="J107" s="13">
        <v>8459.2999999999993</v>
      </c>
      <c r="K107" s="13">
        <v>9049.2999999999993</v>
      </c>
      <c r="L107" s="13">
        <v>9923.1</v>
      </c>
      <c r="M107" s="13">
        <v>10775.5</v>
      </c>
    </row>
    <row r="108" spans="2:13" x14ac:dyDescent="0.3">
      <c r="B108" s="47" t="s">
        <v>127</v>
      </c>
      <c r="C108" s="75">
        <f>D109</f>
        <v>312.5</v>
      </c>
      <c r="D108" s="72">
        <v>312.5</v>
      </c>
      <c r="E108" s="13">
        <v>1141.7</v>
      </c>
      <c r="F108" s="13">
        <v>542.29999999999995</v>
      </c>
      <c r="G108" s="13">
        <v>267.7</v>
      </c>
      <c r="H108" s="13">
        <v>220</v>
      </c>
      <c r="I108" s="13">
        <v>206.1</v>
      </c>
      <c r="J108" s="13">
        <v>281.7</v>
      </c>
      <c r="K108" s="13">
        <v>279.10000000000002</v>
      </c>
      <c r="L108" s="13">
        <v>247.4</v>
      </c>
      <c r="M108" s="13">
        <v>276</v>
      </c>
    </row>
    <row r="109" spans="2:13" x14ac:dyDescent="0.3">
      <c r="B109" s="47" t="s">
        <v>128</v>
      </c>
      <c r="C109" s="47"/>
      <c r="D109" s="72">
        <v>312.5</v>
      </c>
      <c r="E109" s="13">
        <v>1141.7</v>
      </c>
      <c r="F109" s="13">
        <v>542.29999999999995</v>
      </c>
      <c r="G109" s="13">
        <v>267.7</v>
      </c>
      <c r="H109" s="13">
        <v>220</v>
      </c>
      <c r="I109" s="13">
        <v>206.1</v>
      </c>
      <c r="J109" s="13">
        <v>281.7</v>
      </c>
      <c r="K109" s="13">
        <v>279.10000000000002</v>
      </c>
      <c r="L109" s="13">
        <v>247.4</v>
      </c>
      <c r="M109" s="13">
        <v>276</v>
      </c>
    </row>
    <row r="110" spans="2:13" x14ac:dyDescent="0.3">
      <c r="B110" s="47" t="s">
        <v>129</v>
      </c>
      <c r="C110" s="47"/>
      <c r="D110" s="72">
        <v>4044.5</v>
      </c>
      <c r="E110" s="13">
        <v>3893.5</v>
      </c>
      <c r="F110" s="13">
        <v>3620.4</v>
      </c>
      <c r="G110" s="13">
        <v>5465.4</v>
      </c>
      <c r="H110" s="13">
        <v>6914</v>
      </c>
      <c r="I110" s="13">
        <v>6986.5</v>
      </c>
      <c r="J110" s="13">
        <v>6749</v>
      </c>
      <c r="K110" s="13">
        <v>6104.5</v>
      </c>
      <c r="L110" s="13">
        <v>6095</v>
      </c>
      <c r="M110" s="13">
        <v>6264.2</v>
      </c>
    </row>
    <row r="111" spans="2:13" x14ac:dyDescent="0.3">
      <c r="B111" s="47" t="s">
        <v>130</v>
      </c>
      <c r="C111" s="47"/>
      <c r="D111" s="72">
        <v>2095.8000000000002</v>
      </c>
      <c r="E111" s="13">
        <v>2235.9</v>
      </c>
      <c r="F111" s="13">
        <v>1980.6</v>
      </c>
      <c r="G111" s="13">
        <v>4583.8</v>
      </c>
      <c r="H111" s="13">
        <v>4272.6000000000004</v>
      </c>
      <c r="I111" s="13">
        <v>4149.3</v>
      </c>
      <c r="J111" s="13">
        <v>4027.2</v>
      </c>
      <c r="K111" s="13">
        <v>3439.4</v>
      </c>
      <c r="L111" s="13">
        <v>3338.8</v>
      </c>
      <c r="M111" s="13">
        <v>3416.6</v>
      </c>
    </row>
    <row r="112" spans="2:13" x14ac:dyDescent="0.3">
      <c r="B112" s="48" t="s">
        <v>131</v>
      </c>
      <c r="C112" s="48"/>
      <c r="D112" s="76">
        <v>1575.4</v>
      </c>
      <c r="E112" s="16">
        <v>1719.6</v>
      </c>
      <c r="F112" s="16">
        <v>1539.2</v>
      </c>
      <c r="G112" s="16">
        <v>3541.6</v>
      </c>
      <c r="H112" s="16">
        <v>3490.8</v>
      </c>
      <c r="I112" s="16">
        <v>3597.2</v>
      </c>
      <c r="J112" s="16">
        <v>3677.3</v>
      </c>
      <c r="K112" s="16">
        <v>3283.5</v>
      </c>
      <c r="L112" s="16">
        <v>3218.3</v>
      </c>
      <c r="M112" s="16">
        <v>3315.7</v>
      </c>
    </row>
    <row r="113" spans="2:13" x14ac:dyDescent="0.3">
      <c r="B113" s="48" t="s">
        <v>132</v>
      </c>
      <c r="C113" s="48"/>
      <c r="D113" s="76">
        <v>520.4</v>
      </c>
      <c r="E113" s="16">
        <v>516.29999999999995</v>
      </c>
      <c r="F113" s="16">
        <v>441.4</v>
      </c>
      <c r="G113" s="16">
        <v>1042.2</v>
      </c>
      <c r="H113" s="16">
        <v>781.8</v>
      </c>
      <c r="I113" s="16">
        <v>552.1</v>
      </c>
      <c r="J113" s="16">
        <v>349.9</v>
      </c>
      <c r="K113" s="16">
        <v>155.9</v>
      </c>
      <c r="L113" s="16">
        <v>120.5</v>
      </c>
      <c r="M113" s="16">
        <v>100.9</v>
      </c>
    </row>
    <row r="114" spans="2:13" x14ac:dyDescent="0.3">
      <c r="B114" s="47" t="s">
        <v>120</v>
      </c>
      <c r="C114" s="47"/>
      <c r="D114" s="72">
        <v>1180.8</v>
      </c>
      <c r="E114" s="13">
        <v>885.4</v>
      </c>
      <c r="F114" s="13">
        <v>795.4</v>
      </c>
      <c r="G114" s="13">
        <v>134.69999999999999</v>
      </c>
      <c r="H114" s="13">
        <v>1765.8</v>
      </c>
      <c r="I114" s="13">
        <v>1789.9</v>
      </c>
      <c r="J114" s="13">
        <v>1874.8</v>
      </c>
      <c r="K114" s="13">
        <v>1799.7</v>
      </c>
      <c r="L114" s="13">
        <v>1769.8</v>
      </c>
      <c r="M114" s="13">
        <v>1766.7</v>
      </c>
    </row>
    <row r="115" spans="2:13" x14ac:dyDescent="0.3">
      <c r="B115" s="47" t="s">
        <v>119</v>
      </c>
      <c r="C115" s="47"/>
      <c r="D115" s="72">
        <v>54.7</v>
      </c>
      <c r="E115" s="13">
        <v>6.4</v>
      </c>
      <c r="F115" s="13">
        <v>13.4</v>
      </c>
      <c r="G115" s="13">
        <v>24.5</v>
      </c>
      <c r="H115" s="13">
        <v>26.3</v>
      </c>
      <c r="I115" s="13">
        <v>87.3</v>
      </c>
      <c r="J115" s="13">
        <v>84.3</v>
      </c>
      <c r="K115" s="13">
        <v>156.19999999999999</v>
      </c>
      <c r="L115" s="13">
        <v>153</v>
      </c>
      <c r="M115" s="13">
        <v>183</v>
      </c>
    </row>
    <row r="116" spans="2:13" x14ac:dyDescent="0.3">
      <c r="B116" s="47" t="s">
        <v>133</v>
      </c>
      <c r="C116" s="47"/>
      <c r="D116" s="72">
        <v>352</v>
      </c>
      <c r="E116" s="13">
        <v>354.5</v>
      </c>
      <c r="F116" s="13">
        <v>481.6</v>
      </c>
      <c r="G116" s="13">
        <v>334.7</v>
      </c>
      <c r="H116" s="13">
        <v>396</v>
      </c>
      <c r="I116" s="13">
        <v>478.7</v>
      </c>
      <c r="J116" s="13">
        <v>268.5</v>
      </c>
      <c r="K116" s="13">
        <v>311.2</v>
      </c>
      <c r="L116" s="13">
        <v>439.9</v>
      </c>
      <c r="M116" s="13">
        <v>463.9</v>
      </c>
    </row>
    <row r="117" spans="2:13" x14ac:dyDescent="0.3">
      <c r="B117" s="47" t="s">
        <v>134</v>
      </c>
      <c r="C117" s="47"/>
      <c r="D117" s="72">
        <v>361.2</v>
      </c>
      <c r="E117" s="13">
        <v>411.3</v>
      </c>
      <c r="F117" s="13">
        <v>349.4</v>
      </c>
      <c r="G117" s="13">
        <v>387.7</v>
      </c>
      <c r="H117" s="13">
        <v>453.3</v>
      </c>
      <c r="I117" s="13">
        <v>481.3</v>
      </c>
      <c r="J117" s="13">
        <v>494.2</v>
      </c>
      <c r="K117" s="13">
        <v>398</v>
      </c>
      <c r="L117" s="13">
        <v>393.5</v>
      </c>
      <c r="M117" s="13">
        <v>434</v>
      </c>
    </row>
    <row r="118" spans="2:13" x14ac:dyDescent="0.3">
      <c r="B118" s="73" t="s">
        <v>135</v>
      </c>
      <c r="C118" s="73"/>
      <c r="D118" s="74">
        <v>8445.2999999999993</v>
      </c>
      <c r="E118" s="14">
        <v>9569</v>
      </c>
      <c r="F118" s="14">
        <v>9082.2000000000007</v>
      </c>
      <c r="G118" s="14">
        <v>11662.2</v>
      </c>
      <c r="H118" s="14">
        <v>13565.7</v>
      </c>
      <c r="I118" s="14">
        <v>21568.1</v>
      </c>
      <c r="J118" s="14">
        <v>21636.2</v>
      </c>
      <c r="K118" s="14">
        <v>20959.7</v>
      </c>
      <c r="L118" s="14">
        <v>22142.1</v>
      </c>
      <c r="M118" s="14">
        <v>24491.9</v>
      </c>
    </row>
    <row r="119" spans="2:13" x14ac:dyDescent="0.3">
      <c r="B119" s="73" t="s">
        <v>106</v>
      </c>
      <c r="C119" s="73"/>
      <c r="D119" s="74">
        <v>12416.3</v>
      </c>
      <c r="E119" s="14">
        <v>14329.5</v>
      </c>
      <c r="F119" s="14">
        <v>14365.6</v>
      </c>
      <c r="G119" s="14">
        <v>24156.400000000001</v>
      </c>
      <c r="H119" s="14">
        <v>19219.599999999999</v>
      </c>
      <c r="I119" s="14">
        <v>29374.5</v>
      </c>
      <c r="J119" s="14">
        <v>31392.6</v>
      </c>
      <c r="K119" s="14">
        <v>27978.400000000001</v>
      </c>
      <c r="L119" s="14">
        <v>29445.5</v>
      </c>
      <c r="M119" s="14">
        <v>31339.3</v>
      </c>
    </row>
    <row r="120" spans="2:13" x14ac:dyDescent="0.3">
      <c r="B120" s="10"/>
      <c r="C120" s="10"/>
      <c r="D120" s="11"/>
      <c r="E120" s="11"/>
      <c r="F120" s="11"/>
      <c r="G120" s="11"/>
      <c r="H120" s="11"/>
      <c r="I120" s="11"/>
      <c r="J120" s="11"/>
      <c r="K120" s="11"/>
      <c r="L120" s="11"/>
      <c r="M120" s="11"/>
    </row>
    <row r="121" spans="2:13" x14ac:dyDescent="0.3">
      <c r="B121" s="10" t="s">
        <v>136</v>
      </c>
      <c r="C121" s="10"/>
      <c r="D121" s="11"/>
      <c r="E121" s="11"/>
      <c r="F121" s="11"/>
      <c r="G121" s="11"/>
      <c r="H121" s="11"/>
      <c r="I121" s="11"/>
      <c r="J121" s="11"/>
      <c r="K121" s="11"/>
      <c r="L121" s="11"/>
      <c r="M121" s="11"/>
    </row>
    <row r="122" spans="2:13" x14ac:dyDescent="0.3">
      <c r="B122" s="12" t="s">
        <v>137</v>
      </c>
      <c r="C122" s="12"/>
      <c r="D122" s="13">
        <v>2420.3000000000002</v>
      </c>
      <c r="E122" s="13">
        <v>2711.7</v>
      </c>
      <c r="F122" s="13">
        <v>2700.6</v>
      </c>
      <c r="G122" s="13">
        <v>3684.9</v>
      </c>
      <c r="H122" s="13">
        <v>4894</v>
      </c>
      <c r="I122" s="13">
        <v>2945.5</v>
      </c>
      <c r="J122" s="13">
        <v>4296.5</v>
      </c>
      <c r="K122" s="13">
        <v>4458.3999999999996</v>
      </c>
      <c r="L122" s="13">
        <v>4514.1000000000004</v>
      </c>
      <c r="M122" s="13">
        <v>4565.2</v>
      </c>
    </row>
    <row r="123" spans="2:13" x14ac:dyDescent="0.3">
      <c r="B123" s="47" t="s">
        <v>138</v>
      </c>
      <c r="C123" s="47"/>
      <c r="D123" s="72">
        <v>684.2</v>
      </c>
      <c r="E123" s="13">
        <v>730.6</v>
      </c>
      <c r="F123" s="13">
        <v>782.5</v>
      </c>
      <c r="G123" s="13">
        <v>1179.3</v>
      </c>
      <c r="H123" s="13">
        <v>1189.7</v>
      </c>
      <c r="I123" s="13">
        <v>997.9</v>
      </c>
      <c r="J123" s="13">
        <v>1211.5999999999999</v>
      </c>
      <c r="K123" s="13">
        <v>1441.4</v>
      </c>
      <c r="L123" s="13">
        <v>1544.3</v>
      </c>
      <c r="M123" s="13">
        <v>1595.5</v>
      </c>
    </row>
    <row r="124" spans="2:13" x14ac:dyDescent="0.3">
      <c r="B124" s="47" t="s">
        <v>139</v>
      </c>
      <c r="C124" s="47"/>
      <c r="D124" s="72">
        <v>259</v>
      </c>
      <c r="E124" s="13">
        <v>368.4</v>
      </c>
      <c r="F124" s="13">
        <v>226.6</v>
      </c>
      <c r="G124" s="13">
        <v>286.60000000000002</v>
      </c>
      <c r="H124" s="13">
        <v>1468.4</v>
      </c>
      <c r="I124" s="13">
        <v>260.89999999999998</v>
      </c>
      <c r="J124" s="13">
        <v>566</v>
      </c>
      <c r="K124" s="13">
        <v>333.8</v>
      </c>
      <c r="L124" s="13">
        <v>212.7</v>
      </c>
      <c r="M124" s="13">
        <v>211.2</v>
      </c>
    </row>
    <row r="125" spans="2:13" x14ac:dyDescent="0.3">
      <c r="B125" s="47" t="s">
        <v>140</v>
      </c>
      <c r="C125" s="47"/>
      <c r="D125" s="72">
        <v>0</v>
      </c>
      <c r="E125" s="13">
        <v>0</v>
      </c>
      <c r="F125" s="13">
        <v>0</v>
      </c>
      <c r="G125" s="13">
        <v>445.4</v>
      </c>
      <c r="H125" s="13">
        <v>485.7</v>
      </c>
      <c r="I125" s="13">
        <v>0</v>
      </c>
      <c r="J125" s="13">
        <v>578.1</v>
      </c>
      <c r="K125" s="13">
        <v>608.29999999999995</v>
      </c>
      <c r="L125" s="13">
        <v>651.20000000000005</v>
      </c>
      <c r="M125" s="13">
        <v>691.2</v>
      </c>
    </row>
    <row r="126" spans="2:13" x14ac:dyDescent="0.3">
      <c r="B126" s="47" t="s">
        <v>141</v>
      </c>
      <c r="C126" s="47"/>
      <c r="D126" s="72">
        <v>1477.1</v>
      </c>
      <c r="E126" s="13">
        <v>1612.7</v>
      </c>
      <c r="F126" s="13">
        <v>1691.5</v>
      </c>
      <c r="G126" s="13">
        <v>1773.6</v>
      </c>
      <c r="H126" s="13">
        <v>1750.2</v>
      </c>
      <c r="I126" s="13">
        <v>1686.7</v>
      </c>
      <c r="J126" s="13">
        <v>1940.8</v>
      </c>
      <c r="K126" s="13">
        <v>2074.9</v>
      </c>
      <c r="L126" s="13">
        <v>2105.9</v>
      </c>
      <c r="M126" s="13">
        <v>2067.3000000000002</v>
      </c>
    </row>
    <row r="127" spans="2:13" x14ac:dyDescent="0.3">
      <c r="B127" s="47" t="s">
        <v>142</v>
      </c>
      <c r="C127" s="47"/>
      <c r="D127" s="72">
        <v>0</v>
      </c>
      <c r="E127" s="13">
        <v>400</v>
      </c>
      <c r="F127" s="13">
        <v>0</v>
      </c>
      <c r="G127" s="13">
        <v>349.9</v>
      </c>
      <c r="H127" s="13">
        <v>0</v>
      </c>
      <c r="I127" s="13">
        <v>2937.5</v>
      </c>
      <c r="J127" s="13">
        <v>2250.1999999999998</v>
      </c>
      <c r="K127" s="13">
        <v>3169.7</v>
      </c>
      <c r="L127" s="13">
        <v>3127.4</v>
      </c>
      <c r="M127" s="13">
        <v>2712</v>
      </c>
    </row>
    <row r="128" spans="2:13" x14ac:dyDescent="0.3">
      <c r="B128" s="47" t="s">
        <v>143</v>
      </c>
      <c r="C128" s="47"/>
      <c r="D128" s="72">
        <v>0</v>
      </c>
      <c r="E128" s="13">
        <v>0</v>
      </c>
      <c r="F128" s="13">
        <v>0</v>
      </c>
      <c r="G128" s="13">
        <v>0</v>
      </c>
      <c r="H128" s="13">
        <v>0</v>
      </c>
      <c r="I128" s="13">
        <v>438.8</v>
      </c>
      <c r="J128" s="13">
        <v>0</v>
      </c>
      <c r="K128" s="13">
        <v>175</v>
      </c>
      <c r="L128" s="13">
        <v>33.5</v>
      </c>
      <c r="M128" s="13">
        <v>0</v>
      </c>
    </row>
    <row r="129" spans="2:13" x14ac:dyDescent="0.3">
      <c r="B129" s="47" t="s">
        <v>144</v>
      </c>
      <c r="C129" s="47"/>
      <c r="D129" s="72">
        <v>0</v>
      </c>
      <c r="E129" s="13">
        <v>0</v>
      </c>
      <c r="F129" s="13">
        <v>0</v>
      </c>
      <c r="G129" s="13">
        <v>0</v>
      </c>
      <c r="H129" s="13">
        <v>0</v>
      </c>
      <c r="I129" s="13">
        <v>1248.8</v>
      </c>
      <c r="J129" s="13">
        <v>1251.3</v>
      </c>
      <c r="K129" s="13">
        <v>1245.7</v>
      </c>
      <c r="L129" s="13">
        <v>1275.3</v>
      </c>
      <c r="M129" s="13">
        <v>1463.1</v>
      </c>
    </row>
    <row r="130" spans="2:13" x14ac:dyDescent="0.3">
      <c r="B130" s="48" t="s">
        <v>145</v>
      </c>
      <c r="C130" s="48"/>
      <c r="D130" s="76">
        <v>0</v>
      </c>
      <c r="E130" s="16">
        <v>0</v>
      </c>
      <c r="F130" s="16">
        <v>0</v>
      </c>
      <c r="G130" s="16">
        <v>0</v>
      </c>
      <c r="H130" s="16">
        <v>0</v>
      </c>
      <c r="I130" s="16">
        <v>0</v>
      </c>
      <c r="J130" s="16">
        <v>0</v>
      </c>
      <c r="K130" s="16">
        <v>0</v>
      </c>
      <c r="L130" s="16">
        <v>0</v>
      </c>
      <c r="M130" s="16">
        <v>0</v>
      </c>
    </row>
    <row r="131" spans="2:13" x14ac:dyDescent="0.3">
      <c r="B131" s="48" t="s">
        <v>146</v>
      </c>
      <c r="C131" s="48"/>
      <c r="D131" s="76">
        <v>0</v>
      </c>
      <c r="E131" s="16">
        <v>0</v>
      </c>
      <c r="F131" s="16">
        <v>0</v>
      </c>
      <c r="G131" s="16">
        <v>0</v>
      </c>
      <c r="H131" s="16">
        <v>0</v>
      </c>
      <c r="I131" s="16">
        <v>1248.8</v>
      </c>
      <c r="J131" s="16">
        <v>1251.3</v>
      </c>
      <c r="K131" s="16">
        <v>1245.7</v>
      </c>
      <c r="L131" s="16">
        <v>1275.3</v>
      </c>
      <c r="M131" s="16">
        <v>1463.1</v>
      </c>
    </row>
    <row r="132" spans="2:13" x14ac:dyDescent="0.3">
      <c r="B132" s="47" t="s">
        <v>147</v>
      </c>
      <c r="C132" s="47"/>
      <c r="D132" s="72">
        <v>0</v>
      </c>
      <c r="E132" s="13">
        <v>400</v>
      </c>
      <c r="F132" s="13">
        <v>0</v>
      </c>
      <c r="G132" s="13">
        <v>349.9</v>
      </c>
      <c r="H132" s="13">
        <v>0</v>
      </c>
      <c r="I132" s="13">
        <v>1249.9000000000001</v>
      </c>
      <c r="J132" s="13">
        <v>998.9</v>
      </c>
      <c r="K132" s="13">
        <v>1749</v>
      </c>
      <c r="L132" s="13">
        <v>1818.6</v>
      </c>
      <c r="M132" s="13">
        <v>1248.9000000000001</v>
      </c>
    </row>
    <row r="133" spans="2:13" x14ac:dyDescent="0.3">
      <c r="B133" s="47" t="s">
        <v>148</v>
      </c>
      <c r="C133" s="47"/>
      <c r="D133" s="72">
        <v>1227.8</v>
      </c>
      <c r="E133" s="13">
        <v>1435.2</v>
      </c>
      <c r="F133" s="13">
        <v>1520.1</v>
      </c>
      <c r="G133" s="13">
        <v>1649.4</v>
      </c>
      <c r="H133" s="13">
        <v>1274.7</v>
      </c>
      <c r="I133" s="13">
        <v>1463.8</v>
      </c>
      <c r="J133" s="13">
        <v>1604.7</v>
      </c>
      <c r="K133" s="13">
        <v>1523.7</v>
      </c>
      <c r="L133" s="13">
        <v>1703.8</v>
      </c>
      <c r="M133" s="13">
        <v>1792.8</v>
      </c>
    </row>
    <row r="134" spans="2:13" x14ac:dyDescent="0.3">
      <c r="B134" s="47" t="s">
        <v>149</v>
      </c>
      <c r="C134" s="47"/>
      <c r="D134" s="72">
        <v>983.8</v>
      </c>
      <c r="E134" s="13">
        <v>1171.2</v>
      </c>
      <c r="F134" s="13">
        <v>1288.5</v>
      </c>
      <c r="G134" s="13">
        <v>1642.9</v>
      </c>
      <c r="H134" s="13">
        <v>1269</v>
      </c>
      <c r="I134" s="13">
        <v>1456.5</v>
      </c>
      <c r="J134" s="13">
        <v>1596.1</v>
      </c>
      <c r="K134" s="13">
        <v>1502.7</v>
      </c>
      <c r="L134" s="13">
        <v>1700.2</v>
      </c>
      <c r="M134" s="13">
        <v>1781.2</v>
      </c>
    </row>
    <row r="135" spans="2:13" x14ac:dyDescent="0.3">
      <c r="B135" s="47" t="s">
        <v>150</v>
      </c>
      <c r="C135" s="47"/>
      <c r="D135" s="72">
        <v>19.2</v>
      </c>
      <c r="E135" s="13">
        <v>18</v>
      </c>
      <c r="F135" s="13">
        <v>16.399999999999999</v>
      </c>
      <c r="G135" s="13">
        <v>6.5</v>
      </c>
      <c r="H135" s="13">
        <v>5.7</v>
      </c>
      <c r="I135" s="13">
        <v>7.3</v>
      </c>
      <c r="J135" s="13">
        <v>8.6</v>
      </c>
      <c r="K135" s="13">
        <v>21</v>
      </c>
      <c r="L135" s="13">
        <v>3.6</v>
      </c>
      <c r="M135" s="13">
        <v>11.6</v>
      </c>
    </row>
    <row r="136" spans="2:13" x14ac:dyDescent="0.3">
      <c r="B136" s="47" t="s">
        <v>151</v>
      </c>
      <c r="C136" s="47"/>
      <c r="D136" s="72">
        <v>224.8</v>
      </c>
      <c r="E136" s="13">
        <v>246</v>
      </c>
      <c r="F136" s="13">
        <v>215.2</v>
      </c>
      <c r="G136" s="13">
        <v>0</v>
      </c>
      <c r="H136" s="13">
        <v>0</v>
      </c>
      <c r="I136" s="13">
        <v>0</v>
      </c>
      <c r="J136" s="13">
        <v>0</v>
      </c>
      <c r="K136" s="13">
        <v>0</v>
      </c>
      <c r="L136" s="13">
        <v>0</v>
      </c>
      <c r="M136" s="13">
        <v>0</v>
      </c>
    </row>
    <row r="137" spans="2:13" x14ac:dyDescent="0.3">
      <c r="B137" s="73" t="s">
        <v>152</v>
      </c>
      <c r="C137" s="73"/>
      <c r="D137" s="74">
        <v>3648.1</v>
      </c>
      <c r="E137" s="14">
        <v>4546.8999999999996</v>
      </c>
      <c r="F137" s="14">
        <v>4220.7</v>
      </c>
      <c r="G137" s="14">
        <v>5684.2</v>
      </c>
      <c r="H137" s="14">
        <v>6168.7</v>
      </c>
      <c r="I137" s="14">
        <v>7346.8</v>
      </c>
      <c r="J137" s="14">
        <v>8151.4</v>
      </c>
      <c r="K137" s="14">
        <v>9151.7999999999993</v>
      </c>
      <c r="L137" s="14">
        <v>9345.2999999999993</v>
      </c>
      <c r="M137" s="14">
        <v>9070</v>
      </c>
    </row>
    <row r="138" spans="2:13" x14ac:dyDescent="0.3">
      <c r="B138" s="47" t="s">
        <v>153</v>
      </c>
      <c r="C138" s="47"/>
      <c r="D138" s="72">
        <v>2347.5</v>
      </c>
      <c r="E138" s="13">
        <v>3202.2</v>
      </c>
      <c r="F138" s="13">
        <v>3932.6</v>
      </c>
      <c r="G138" s="13">
        <v>9090.2000000000007</v>
      </c>
      <c r="H138" s="13">
        <v>11167</v>
      </c>
      <c r="I138" s="13">
        <v>22321.3</v>
      </c>
      <c r="J138" s="13">
        <v>21354.9</v>
      </c>
      <c r="K138" s="13">
        <v>20635.099999999999</v>
      </c>
      <c r="L138" s="13">
        <v>21472.400000000001</v>
      </c>
      <c r="M138" s="13">
        <v>23091.1</v>
      </c>
    </row>
    <row r="139" spans="2:13" x14ac:dyDescent="0.3">
      <c r="B139" s="47" t="s">
        <v>154</v>
      </c>
      <c r="C139" s="47"/>
      <c r="D139" s="72">
        <v>2347.5</v>
      </c>
      <c r="E139" s="13">
        <v>3202.2</v>
      </c>
      <c r="F139" s="13">
        <v>3932.6</v>
      </c>
      <c r="G139" s="13">
        <v>9090.2000000000007</v>
      </c>
      <c r="H139" s="13">
        <v>11167</v>
      </c>
      <c r="I139" s="13">
        <v>14659.6</v>
      </c>
      <c r="J139" s="13">
        <v>13616.9</v>
      </c>
      <c r="K139" s="13">
        <v>13119.9</v>
      </c>
      <c r="L139" s="13">
        <v>13547.6</v>
      </c>
      <c r="M139" s="13">
        <v>14319.5</v>
      </c>
    </row>
    <row r="140" spans="2:13" x14ac:dyDescent="0.3">
      <c r="B140" s="47" t="s">
        <v>155</v>
      </c>
      <c r="C140" s="47"/>
      <c r="D140" s="72">
        <v>0</v>
      </c>
      <c r="E140" s="13">
        <v>0</v>
      </c>
      <c r="F140" s="13">
        <v>0</v>
      </c>
      <c r="G140" s="13">
        <v>0</v>
      </c>
      <c r="H140" s="13">
        <v>0</v>
      </c>
      <c r="I140" s="13">
        <v>7661.7</v>
      </c>
      <c r="J140" s="13">
        <v>7738</v>
      </c>
      <c r="K140" s="13">
        <v>7515.2</v>
      </c>
      <c r="L140" s="13">
        <v>7924.8</v>
      </c>
      <c r="M140" s="13">
        <v>8771.6</v>
      </c>
    </row>
    <row r="141" spans="2:13" x14ac:dyDescent="0.3">
      <c r="B141" s="48" t="s">
        <v>156</v>
      </c>
      <c r="C141" s="48"/>
      <c r="D141" s="76">
        <v>0</v>
      </c>
      <c r="E141" s="16">
        <v>0</v>
      </c>
      <c r="F141" s="16">
        <v>0</v>
      </c>
      <c r="G141" s="16">
        <v>0</v>
      </c>
      <c r="H141" s="16">
        <v>0</v>
      </c>
      <c r="I141" s="16">
        <v>0</v>
      </c>
      <c r="J141" s="16">
        <v>0</v>
      </c>
      <c r="K141" s="16">
        <v>0</v>
      </c>
      <c r="L141" s="16">
        <v>0</v>
      </c>
      <c r="M141" s="16">
        <v>0</v>
      </c>
    </row>
    <row r="142" spans="2:13" x14ac:dyDescent="0.3">
      <c r="B142" s="48" t="s">
        <v>157</v>
      </c>
      <c r="C142" s="48"/>
      <c r="D142" s="76">
        <v>0</v>
      </c>
      <c r="E142" s="16">
        <v>0</v>
      </c>
      <c r="F142" s="16">
        <v>0</v>
      </c>
      <c r="G142" s="16">
        <v>0</v>
      </c>
      <c r="H142" s="16">
        <v>0</v>
      </c>
      <c r="I142" s="16">
        <v>7661.7</v>
      </c>
      <c r="J142" s="16">
        <v>7738</v>
      </c>
      <c r="K142" s="16">
        <v>7515.2</v>
      </c>
      <c r="L142" s="16">
        <v>7924.8</v>
      </c>
      <c r="M142" s="16">
        <v>8771.6</v>
      </c>
    </row>
    <row r="143" spans="2:13" x14ac:dyDescent="0.3">
      <c r="B143" s="47" t="s">
        <v>158</v>
      </c>
      <c r="C143" s="47"/>
      <c r="D143" s="72">
        <v>600.9</v>
      </c>
      <c r="E143" s="13">
        <v>689.7</v>
      </c>
      <c r="F143" s="13">
        <v>755.3</v>
      </c>
      <c r="G143" s="13">
        <v>8206.2000000000007</v>
      </c>
      <c r="H143" s="13">
        <v>8114.9</v>
      </c>
      <c r="I143" s="13">
        <v>7505.8</v>
      </c>
      <c r="J143" s="13">
        <v>7200.8</v>
      </c>
      <c r="K143" s="13">
        <v>6890.2</v>
      </c>
      <c r="L143" s="13">
        <v>6615.6</v>
      </c>
      <c r="M143" s="13">
        <v>6619.8</v>
      </c>
    </row>
    <row r="144" spans="2:13" x14ac:dyDescent="0.3">
      <c r="B144" s="47" t="s">
        <v>159</v>
      </c>
      <c r="C144" s="47"/>
      <c r="D144" s="72">
        <v>0</v>
      </c>
      <c r="E144" s="13">
        <v>0</v>
      </c>
      <c r="F144" s="13">
        <v>0</v>
      </c>
      <c r="G144" s="13">
        <v>0</v>
      </c>
      <c r="H144" s="13">
        <v>0</v>
      </c>
      <c r="I144" s="13">
        <v>0</v>
      </c>
      <c r="J144" s="13">
        <v>0</v>
      </c>
      <c r="K144" s="13">
        <v>0</v>
      </c>
      <c r="L144" s="13">
        <v>0</v>
      </c>
      <c r="M144" s="13">
        <v>0</v>
      </c>
    </row>
    <row r="145" spans="2:13" x14ac:dyDescent="0.3">
      <c r="B145" s="47" t="s">
        <v>160</v>
      </c>
      <c r="C145" s="47"/>
      <c r="D145" s="72">
        <v>0</v>
      </c>
      <c r="E145" s="13">
        <v>0</v>
      </c>
      <c r="F145" s="13">
        <v>0</v>
      </c>
      <c r="G145" s="13">
        <v>0</v>
      </c>
      <c r="H145" s="13">
        <v>0</v>
      </c>
      <c r="I145" s="13">
        <v>0</v>
      </c>
      <c r="J145" s="13">
        <v>0</v>
      </c>
      <c r="K145" s="13">
        <v>0</v>
      </c>
      <c r="L145" s="13">
        <v>0</v>
      </c>
      <c r="M145" s="13">
        <v>0</v>
      </c>
    </row>
    <row r="146" spans="2:13" x14ac:dyDescent="0.3">
      <c r="B146" s="48" t="s">
        <v>161</v>
      </c>
      <c r="C146" s="48"/>
      <c r="D146" s="76">
        <v>0</v>
      </c>
      <c r="E146" s="16">
        <v>0</v>
      </c>
      <c r="F146" s="16">
        <v>0</v>
      </c>
      <c r="G146" s="16">
        <v>0</v>
      </c>
      <c r="H146" s="16">
        <v>0</v>
      </c>
      <c r="I146" s="16">
        <v>0</v>
      </c>
      <c r="J146" s="16">
        <v>0</v>
      </c>
      <c r="K146" s="16">
        <v>0</v>
      </c>
      <c r="L146" s="16">
        <v>0</v>
      </c>
      <c r="M146" s="16">
        <v>0</v>
      </c>
    </row>
    <row r="147" spans="2:13" x14ac:dyDescent="0.3">
      <c r="B147" s="48" t="s">
        <v>162</v>
      </c>
      <c r="C147" s="48"/>
      <c r="D147" s="76">
        <v>0</v>
      </c>
      <c r="E147" s="16">
        <v>0</v>
      </c>
      <c r="F147" s="16">
        <v>0</v>
      </c>
      <c r="G147" s="16">
        <v>0</v>
      </c>
      <c r="H147" s="16">
        <v>0</v>
      </c>
      <c r="I147" s="16">
        <v>0</v>
      </c>
      <c r="J147" s="16">
        <v>0</v>
      </c>
      <c r="K147" s="16">
        <v>0</v>
      </c>
      <c r="L147" s="16">
        <v>0</v>
      </c>
      <c r="M147" s="16">
        <v>0</v>
      </c>
    </row>
    <row r="148" spans="2:13" x14ac:dyDescent="0.3">
      <c r="B148" s="47" t="s">
        <v>149</v>
      </c>
      <c r="C148" s="47"/>
      <c r="D148" s="72">
        <v>0</v>
      </c>
      <c r="E148" s="13">
        <v>0</v>
      </c>
      <c r="F148" s="13">
        <v>4.4000000000000004</v>
      </c>
      <c r="G148" s="13">
        <v>6775.7</v>
      </c>
      <c r="H148" s="13">
        <v>6744.4</v>
      </c>
      <c r="I148" s="13">
        <v>6598.5</v>
      </c>
      <c r="J148" s="13">
        <v>6463</v>
      </c>
      <c r="K148" s="13">
        <v>6279.7</v>
      </c>
      <c r="L148" s="13">
        <v>6101.8</v>
      </c>
      <c r="M148" s="13">
        <v>5963.6</v>
      </c>
    </row>
    <row r="149" spans="2:13" x14ac:dyDescent="0.3">
      <c r="B149" s="47" t="s">
        <v>163</v>
      </c>
      <c r="C149" s="47"/>
      <c r="D149" s="72">
        <v>43.4</v>
      </c>
      <c r="E149" s="13">
        <v>0</v>
      </c>
      <c r="F149" s="13">
        <v>0</v>
      </c>
      <c r="G149" s="13">
        <v>0</v>
      </c>
      <c r="H149" s="13">
        <v>0</v>
      </c>
      <c r="I149" s="13">
        <v>0</v>
      </c>
      <c r="J149" s="13">
        <v>0</v>
      </c>
      <c r="K149" s="13">
        <v>0</v>
      </c>
      <c r="L149" s="13">
        <v>0</v>
      </c>
      <c r="M149" s="13">
        <v>0</v>
      </c>
    </row>
    <row r="150" spans="2:13" x14ac:dyDescent="0.3">
      <c r="B150" s="47" t="s">
        <v>150</v>
      </c>
      <c r="C150" s="47"/>
      <c r="D150" s="72">
        <v>14.5</v>
      </c>
      <c r="E150" s="13">
        <v>71.599999999999994</v>
      </c>
      <c r="F150" s="13">
        <v>22.1</v>
      </c>
      <c r="G150" s="13">
        <v>43.5</v>
      </c>
      <c r="H150" s="13">
        <v>12.5</v>
      </c>
      <c r="I150" s="13">
        <v>79.3</v>
      </c>
      <c r="J150" s="13">
        <v>8.1999999999999993</v>
      </c>
      <c r="K150" s="13">
        <v>34</v>
      </c>
      <c r="L150" s="13">
        <v>43.2</v>
      </c>
      <c r="M150" s="13">
        <v>19.3</v>
      </c>
    </row>
    <row r="151" spans="2:13" x14ac:dyDescent="0.3">
      <c r="B151" s="47" t="s">
        <v>164</v>
      </c>
      <c r="C151" s="47"/>
      <c r="D151" s="72">
        <v>543</v>
      </c>
      <c r="E151" s="13">
        <v>618.1</v>
      </c>
      <c r="F151" s="13">
        <v>728.8</v>
      </c>
      <c r="G151" s="13">
        <v>1387</v>
      </c>
      <c r="H151" s="13">
        <v>1358</v>
      </c>
      <c r="I151" s="13">
        <v>828</v>
      </c>
      <c r="J151" s="13">
        <v>729.6</v>
      </c>
      <c r="K151" s="13">
        <v>576.5</v>
      </c>
      <c r="L151" s="13">
        <v>470.6</v>
      </c>
      <c r="M151" s="13">
        <v>636.9</v>
      </c>
    </row>
    <row r="152" spans="2:13" x14ac:dyDescent="0.3">
      <c r="B152" s="73" t="s">
        <v>165</v>
      </c>
      <c r="C152" s="73"/>
      <c r="D152" s="74">
        <v>2948.4</v>
      </c>
      <c r="E152" s="14">
        <v>3891.9</v>
      </c>
      <c r="F152" s="14">
        <v>4687.8999999999996</v>
      </c>
      <c r="G152" s="14">
        <v>17296.400000000001</v>
      </c>
      <c r="H152" s="14">
        <v>19281.900000000001</v>
      </c>
      <c r="I152" s="14">
        <v>29827.1</v>
      </c>
      <c r="J152" s="14">
        <v>28555.7</v>
      </c>
      <c r="K152" s="14">
        <v>27525.3</v>
      </c>
      <c r="L152" s="14">
        <v>28088</v>
      </c>
      <c r="M152" s="14">
        <v>29710.9</v>
      </c>
    </row>
    <row r="153" spans="2:13" x14ac:dyDescent="0.3">
      <c r="B153" s="73" t="s">
        <v>166</v>
      </c>
      <c r="C153" s="73"/>
      <c r="D153" s="74">
        <v>6596.5</v>
      </c>
      <c r="E153" s="14">
        <v>8438.7999999999993</v>
      </c>
      <c r="F153" s="14">
        <v>8908.6</v>
      </c>
      <c r="G153" s="14">
        <v>22980.6</v>
      </c>
      <c r="H153" s="14">
        <v>25450.6</v>
      </c>
      <c r="I153" s="14">
        <v>37173.9</v>
      </c>
      <c r="J153" s="14">
        <v>36707.1</v>
      </c>
      <c r="K153" s="14">
        <v>36677.1</v>
      </c>
      <c r="L153" s="14">
        <v>37433.300000000003</v>
      </c>
      <c r="M153" s="14">
        <v>38780.9</v>
      </c>
    </row>
    <row r="154" spans="2:13" x14ac:dyDescent="0.3">
      <c r="B154" s="47" t="s">
        <v>167</v>
      </c>
      <c r="C154" s="47"/>
      <c r="D154" s="72">
        <v>0</v>
      </c>
      <c r="E154" s="13">
        <v>0</v>
      </c>
      <c r="F154" s="13">
        <v>0</v>
      </c>
      <c r="G154" s="13">
        <v>0</v>
      </c>
      <c r="H154" s="13">
        <v>0</v>
      </c>
      <c r="I154" s="13">
        <v>0</v>
      </c>
      <c r="J154" s="13">
        <v>0</v>
      </c>
      <c r="K154" s="13">
        <v>0</v>
      </c>
      <c r="L154" s="13">
        <v>0</v>
      </c>
      <c r="M154" s="13">
        <v>0</v>
      </c>
    </row>
    <row r="155" spans="2:13" x14ac:dyDescent="0.3">
      <c r="B155" s="47" t="s">
        <v>168</v>
      </c>
      <c r="C155" s="47"/>
      <c r="D155" s="72">
        <v>42.6</v>
      </c>
      <c r="E155" s="13">
        <v>42.6</v>
      </c>
      <c r="F155" s="13">
        <v>42.5</v>
      </c>
      <c r="G155" s="13">
        <v>42.4</v>
      </c>
      <c r="H155" s="13">
        <v>42.3</v>
      </c>
      <c r="I155" s="13">
        <v>375.1</v>
      </c>
      <c r="J155" s="13">
        <v>847.3</v>
      </c>
      <c r="K155" s="13">
        <v>206.4</v>
      </c>
      <c r="L155" s="13">
        <v>39.200000000000003</v>
      </c>
      <c r="M155" s="13">
        <v>323.7</v>
      </c>
    </row>
    <row r="156" spans="2:13" x14ac:dyDescent="0.3">
      <c r="B156" s="47" t="s">
        <v>169</v>
      </c>
      <c r="C156" s="47"/>
      <c r="D156" s="72">
        <v>1.5</v>
      </c>
      <c r="E156" s="13">
        <v>1.5</v>
      </c>
      <c r="F156" s="13">
        <v>1.4</v>
      </c>
      <c r="G156" s="13">
        <v>1.3</v>
      </c>
      <c r="H156" s="13">
        <v>1.2</v>
      </c>
      <c r="I156" s="13">
        <v>1.2</v>
      </c>
      <c r="J156" s="13">
        <v>1.2</v>
      </c>
      <c r="K156" s="13">
        <v>1.1000000000000001</v>
      </c>
      <c r="L156" s="13">
        <v>1.1000000000000001</v>
      </c>
      <c r="M156" s="13">
        <v>1.1000000000000001</v>
      </c>
    </row>
    <row r="157" spans="2:13" x14ac:dyDescent="0.3">
      <c r="B157" s="47" t="s">
        <v>170</v>
      </c>
      <c r="C157" s="47"/>
      <c r="D157" s="72">
        <v>41.1</v>
      </c>
      <c r="E157" s="13">
        <v>41.1</v>
      </c>
      <c r="F157" s="13">
        <v>41.1</v>
      </c>
      <c r="G157" s="13">
        <v>41.1</v>
      </c>
      <c r="H157" s="13">
        <v>41.1</v>
      </c>
      <c r="I157" s="13">
        <v>373.9</v>
      </c>
      <c r="J157" s="13">
        <v>846.1</v>
      </c>
      <c r="K157" s="13">
        <v>205.3</v>
      </c>
      <c r="L157" s="13">
        <v>38.1</v>
      </c>
      <c r="M157" s="13">
        <v>322.60000000000002</v>
      </c>
    </row>
    <row r="158" spans="2:13" x14ac:dyDescent="0.3">
      <c r="B158" s="47" t="s">
        <v>171</v>
      </c>
      <c r="C158" s="47"/>
      <c r="D158" s="72">
        <v>0</v>
      </c>
      <c r="E158" s="13">
        <v>0</v>
      </c>
      <c r="F158" s="13">
        <v>0</v>
      </c>
      <c r="G158" s="13">
        <v>0</v>
      </c>
      <c r="H158" s="13">
        <v>0</v>
      </c>
      <c r="I158" s="13">
        <v>0</v>
      </c>
      <c r="J158" s="13">
        <v>0</v>
      </c>
      <c r="K158" s="13">
        <v>0</v>
      </c>
      <c r="L158" s="13">
        <v>0</v>
      </c>
      <c r="M158" s="13">
        <v>0</v>
      </c>
    </row>
    <row r="159" spans="2:13" x14ac:dyDescent="0.3">
      <c r="B159" s="47" t="s">
        <v>172</v>
      </c>
      <c r="C159" s="47"/>
      <c r="D159" s="72">
        <v>5974.8</v>
      </c>
      <c r="E159" s="13">
        <v>5949.8</v>
      </c>
      <c r="F159" s="13">
        <v>5563.2</v>
      </c>
      <c r="G159" s="13">
        <v>1457.4</v>
      </c>
      <c r="H159" s="13">
        <v>-5771.2</v>
      </c>
      <c r="I159" s="13">
        <v>-7815.6</v>
      </c>
      <c r="J159" s="13">
        <v>-6315.7</v>
      </c>
      <c r="K159" s="13">
        <v>-8449.7999999999993</v>
      </c>
      <c r="L159" s="13">
        <v>-7255.8</v>
      </c>
      <c r="M159" s="13">
        <v>-7343.8</v>
      </c>
    </row>
    <row r="160" spans="2:13" x14ac:dyDescent="0.3">
      <c r="B160" s="47" t="s">
        <v>173</v>
      </c>
      <c r="C160" s="47"/>
      <c r="D160" s="72">
        <v>-199.4</v>
      </c>
      <c r="E160" s="13">
        <v>-108.4</v>
      </c>
      <c r="F160" s="13">
        <v>-155.6</v>
      </c>
      <c r="G160" s="13">
        <v>-330.3</v>
      </c>
      <c r="H160" s="13">
        <v>-503.3</v>
      </c>
      <c r="I160" s="13">
        <v>-364.6</v>
      </c>
      <c r="J160" s="13">
        <v>147.19999999999999</v>
      </c>
      <c r="K160" s="13">
        <v>-463.2</v>
      </c>
      <c r="L160" s="13">
        <v>-778.2</v>
      </c>
      <c r="M160" s="13">
        <v>-428.8</v>
      </c>
    </row>
    <row r="161" spans="2:13" x14ac:dyDescent="0.3">
      <c r="B161" s="73" t="s">
        <v>174</v>
      </c>
      <c r="C161" s="73"/>
      <c r="D161" s="74">
        <v>5818</v>
      </c>
      <c r="E161" s="14">
        <v>5884</v>
      </c>
      <c r="F161" s="14">
        <v>5450.1</v>
      </c>
      <c r="G161" s="14">
        <v>1169.5</v>
      </c>
      <c r="H161" s="14">
        <v>-6232.2</v>
      </c>
      <c r="I161" s="14">
        <v>-7805.1</v>
      </c>
      <c r="J161" s="14">
        <v>-5321.2</v>
      </c>
      <c r="K161" s="14">
        <v>-8706.6</v>
      </c>
      <c r="L161" s="14">
        <v>-7994.8</v>
      </c>
      <c r="M161" s="14">
        <v>-7448.9</v>
      </c>
    </row>
    <row r="162" spans="2:13" x14ac:dyDescent="0.3">
      <c r="B162" s="47" t="s">
        <v>175</v>
      </c>
      <c r="C162" s="47"/>
      <c r="D162" s="72">
        <v>1.8</v>
      </c>
      <c r="E162" s="13">
        <v>6.7</v>
      </c>
      <c r="F162" s="13">
        <v>6.9</v>
      </c>
      <c r="G162" s="13">
        <v>6.3</v>
      </c>
      <c r="H162" s="13">
        <v>1.2</v>
      </c>
      <c r="I162" s="13">
        <v>5.7</v>
      </c>
      <c r="J162" s="13">
        <v>6.7</v>
      </c>
      <c r="K162" s="13">
        <v>7.9</v>
      </c>
      <c r="L162" s="13">
        <v>7</v>
      </c>
      <c r="M162" s="13">
        <v>7.3</v>
      </c>
    </row>
    <row r="163" spans="2:13" x14ac:dyDescent="0.3">
      <c r="B163" s="73" t="s">
        <v>176</v>
      </c>
      <c r="C163" s="73"/>
      <c r="D163" s="74">
        <v>5819.8</v>
      </c>
      <c r="E163" s="14">
        <v>5890.7</v>
      </c>
      <c r="F163" s="14">
        <v>5457</v>
      </c>
      <c r="G163" s="14">
        <v>1175.8</v>
      </c>
      <c r="H163" s="14">
        <v>-6231</v>
      </c>
      <c r="I163" s="14">
        <v>-7799.4</v>
      </c>
      <c r="J163" s="14">
        <v>-5314.5</v>
      </c>
      <c r="K163" s="14">
        <v>-8698.7000000000007</v>
      </c>
      <c r="L163" s="14">
        <v>-7987.8</v>
      </c>
      <c r="M163" s="14">
        <v>-7441.6</v>
      </c>
    </row>
    <row r="164" spans="2:13" x14ac:dyDescent="0.3">
      <c r="B164" s="73" t="s">
        <v>177</v>
      </c>
      <c r="C164" s="73"/>
      <c r="D164" s="74">
        <v>12416.3</v>
      </c>
      <c r="E164" s="14">
        <v>14329.5</v>
      </c>
      <c r="F164" s="14">
        <v>14365.6</v>
      </c>
      <c r="G164" s="14">
        <v>24156.400000000001</v>
      </c>
      <c r="H164" s="14">
        <v>19219.599999999999</v>
      </c>
      <c r="I164" s="14">
        <v>29374.5</v>
      </c>
      <c r="J164" s="14">
        <v>31392.6</v>
      </c>
      <c r="K164" s="14">
        <v>27978.400000000001</v>
      </c>
      <c r="L164" s="14">
        <v>29445.5</v>
      </c>
      <c r="M164" s="14">
        <v>31339.3</v>
      </c>
    </row>
    <row r="165" spans="2:13" x14ac:dyDescent="0.3">
      <c r="B165" s="10"/>
      <c r="C165" s="10"/>
      <c r="D165" s="11"/>
      <c r="E165" s="11"/>
      <c r="F165" s="11"/>
      <c r="G165" s="11"/>
      <c r="H165" s="11"/>
      <c r="I165" s="11"/>
      <c r="J165" s="11"/>
      <c r="K165" s="11"/>
      <c r="L165" s="11"/>
      <c r="M165" s="11"/>
    </row>
    <row r="166" spans="2:13" x14ac:dyDescent="0.3">
      <c r="B166" s="10" t="s">
        <v>88</v>
      </c>
      <c r="C166" s="10"/>
      <c r="D166" s="11"/>
      <c r="E166" s="11"/>
      <c r="F166" s="11"/>
      <c r="G166" s="11"/>
      <c r="H166" s="11"/>
      <c r="I166" s="11"/>
      <c r="J166" s="11"/>
      <c r="K166" s="11"/>
      <c r="L166" s="11"/>
      <c r="M166" s="11"/>
    </row>
    <row r="167" spans="2:13" x14ac:dyDescent="0.3">
      <c r="B167" s="12" t="s">
        <v>89</v>
      </c>
      <c r="C167" s="12"/>
      <c r="D167" s="17" t="s">
        <v>90</v>
      </c>
      <c r="E167" s="17" t="s">
        <v>90</v>
      </c>
      <c r="F167" s="17" t="s">
        <v>90</v>
      </c>
      <c r="G167" s="17" t="s">
        <v>90</v>
      </c>
      <c r="H167" s="17" t="s">
        <v>90</v>
      </c>
      <c r="I167" s="17" t="s">
        <v>90</v>
      </c>
      <c r="J167" s="17" t="s">
        <v>90</v>
      </c>
      <c r="K167" s="17" t="s">
        <v>90</v>
      </c>
      <c r="L167" s="17" t="s">
        <v>90</v>
      </c>
      <c r="M167" s="17" t="s">
        <v>90</v>
      </c>
    </row>
    <row r="168" spans="2:13" x14ac:dyDescent="0.3">
      <c r="B168" s="12" t="s">
        <v>178</v>
      </c>
      <c r="C168" s="12"/>
      <c r="D168" s="13">
        <v>1485.1</v>
      </c>
      <c r="E168" s="13">
        <v>1460.5</v>
      </c>
      <c r="F168" s="13">
        <v>1431.6</v>
      </c>
      <c r="G168" s="13">
        <v>1309.0999999999999</v>
      </c>
      <c r="H168" s="13">
        <v>1184.5999999999999</v>
      </c>
      <c r="I168" s="13">
        <v>1173.3</v>
      </c>
      <c r="J168" s="13">
        <v>1180</v>
      </c>
      <c r="K168" s="13">
        <v>1147.9000000000001</v>
      </c>
      <c r="L168" s="13">
        <v>1142.5999999999999</v>
      </c>
      <c r="M168" s="13">
        <v>1133.5</v>
      </c>
    </row>
    <row r="169" spans="2:13" x14ac:dyDescent="0.3">
      <c r="B169" s="12" t="s">
        <v>179</v>
      </c>
      <c r="C169" s="12"/>
      <c r="D169" s="13">
        <v>0</v>
      </c>
      <c r="E169" s="13">
        <v>0</v>
      </c>
      <c r="F169" s="13">
        <v>0</v>
      </c>
      <c r="G169" s="13">
        <v>0</v>
      </c>
      <c r="H169" s="13">
        <v>0</v>
      </c>
      <c r="I169" s="13">
        <v>0</v>
      </c>
      <c r="J169" s="13">
        <v>0</v>
      </c>
      <c r="K169" s="13">
        <v>0</v>
      </c>
      <c r="L169" s="13">
        <v>0</v>
      </c>
      <c r="M169" s="13">
        <v>0</v>
      </c>
    </row>
    <row r="170" spans="2:13" x14ac:dyDescent="0.3">
      <c r="B170" s="12" t="s">
        <v>180</v>
      </c>
      <c r="C170" s="12"/>
      <c r="D170" s="13">
        <v>0</v>
      </c>
      <c r="E170" s="13">
        <v>0</v>
      </c>
      <c r="F170" s="13">
        <v>0</v>
      </c>
      <c r="G170" s="13">
        <v>0</v>
      </c>
      <c r="H170" s="13">
        <v>0</v>
      </c>
      <c r="I170" s="13">
        <v>0</v>
      </c>
      <c r="J170" s="13">
        <v>0</v>
      </c>
      <c r="K170" s="13">
        <v>0</v>
      </c>
      <c r="L170" s="13">
        <v>0</v>
      </c>
      <c r="M170" s="13">
        <v>0</v>
      </c>
    </row>
    <row r="171" spans="2:13" x14ac:dyDescent="0.3">
      <c r="B171" s="12" t="s">
        <v>181</v>
      </c>
      <c r="C171" s="12"/>
      <c r="D171" s="13">
        <v>5657.6</v>
      </c>
      <c r="E171" s="13">
        <v>7270.4</v>
      </c>
      <c r="F171" s="13">
        <v>8598</v>
      </c>
      <c r="G171" s="13">
        <v>9353.7999999999993</v>
      </c>
      <c r="H171" s="13">
        <v>10230.9</v>
      </c>
      <c r="I171" s="13">
        <v>10089.6</v>
      </c>
      <c r="J171" s="13">
        <v>10129.9</v>
      </c>
      <c r="K171" s="13">
        <v>9863.7000000000007</v>
      </c>
      <c r="L171" s="13">
        <v>10594.1</v>
      </c>
      <c r="M171" s="13">
        <v>11942.3</v>
      </c>
    </row>
    <row r="172" spans="2:13" x14ac:dyDescent="0.3">
      <c r="B172" s="12" t="s">
        <v>182</v>
      </c>
      <c r="C172" s="12"/>
      <c r="D172" s="13">
        <v>0</v>
      </c>
      <c r="E172" s="13">
        <v>0</v>
      </c>
      <c r="F172" s="13">
        <v>0</v>
      </c>
      <c r="G172" s="13">
        <v>0</v>
      </c>
      <c r="H172" s="13">
        <v>0</v>
      </c>
      <c r="I172" s="13">
        <v>0</v>
      </c>
      <c r="J172" s="13">
        <v>0</v>
      </c>
      <c r="K172" s="13">
        <v>0</v>
      </c>
      <c r="L172" s="13">
        <v>0</v>
      </c>
      <c r="M172" s="13">
        <v>0</v>
      </c>
    </row>
    <row r="173" spans="2:13" x14ac:dyDescent="0.3">
      <c r="B173" s="12" t="s">
        <v>183</v>
      </c>
      <c r="C173" s="12"/>
      <c r="D173" s="13">
        <v>6.4</v>
      </c>
      <c r="E173" s="13">
        <v>6.1</v>
      </c>
      <c r="F173" s="13">
        <v>7.1</v>
      </c>
      <c r="G173" s="13">
        <v>3.9</v>
      </c>
      <c r="H173" s="13">
        <v>0.5</v>
      </c>
      <c r="I173" s="13">
        <v>0.1</v>
      </c>
      <c r="J173" s="13">
        <v>0</v>
      </c>
      <c r="K173" s="13">
        <v>0</v>
      </c>
      <c r="L173" s="13">
        <v>0</v>
      </c>
      <c r="M173" s="13">
        <v>0</v>
      </c>
    </row>
    <row r="174" spans="2:13" x14ac:dyDescent="0.3">
      <c r="B174" s="12" t="s">
        <v>184</v>
      </c>
      <c r="C174" s="12"/>
      <c r="D174" s="13">
        <v>33.6</v>
      </c>
      <c r="E174" s="13">
        <v>31.3</v>
      </c>
      <c r="F174" s="13">
        <v>31.4</v>
      </c>
      <c r="G174" s="13">
        <v>27.3</v>
      </c>
      <c r="H174" s="13">
        <v>15.2</v>
      </c>
      <c r="I174" s="13">
        <v>9.1999999999999993</v>
      </c>
      <c r="J174" s="13">
        <v>5.2</v>
      </c>
      <c r="K174" s="13">
        <v>4.0999999999999996</v>
      </c>
      <c r="L174" s="13">
        <v>2</v>
      </c>
      <c r="M174" s="13">
        <v>0.9</v>
      </c>
    </row>
    <row r="175" spans="2:13" x14ac:dyDescent="0.3">
      <c r="B175" s="12" t="s">
        <v>185</v>
      </c>
      <c r="C175" s="12"/>
      <c r="D175" s="13">
        <v>736.1</v>
      </c>
      <c r="E175" s="13">
        <v>1339</v>
      </c>
      <c r="F175" s="13">
        <v>1241.7</v>
      </c>
      <c r="G175" s="13">
        <v>502.3</v>
      </c>
      <c r="H175" s="13">
        <v>8409.9</v>
      </c>
      <c r="I175" s="13">
        <v>20626.7</v>
      </c>
      <c r="J175" s="13">
        <v>16987.2</v>
      </c>
      <c r="K175" s="13">
        <v>20621.900000000001</v>
      </c>
      <c r="L175" s="13">
        <v>20646.8</v>
      </c>
      <c r="M175" s="13">
        <v>22259.9</v>
      </c>
    </row>
    <row r="176" spans="2:13" x14ac:dyDescent="0.3">
      <c r="B176" s="12" t="s">
        <v>186</v>
      </c>
      <c r="C176" s="12"/>
      <c r="D176" s="18">
        <v>12.648199999999999</v>
      </c>
      <c r="E176" s="18">
        <v>22.730699999999999</v>
      </c>
      <c r="F176" s="18">
        <v>22.754300000000001</v>
      </c>
      <c r="G176" s="18">
        <v>42.719900000000003</v>
      </c>
      <c r="H176" s="18">
        <v>0</v>
      </c>
      <c r="I176" s="18">
        <v>0</v>
      </c>
      <c r="J176" s="18">
        <v>0</v>
      </c>
      <c r="K176" s="18">
        <v>0</v>
      </c>
      <c r="L176" s="18">
        <v>0</v>
      </c>
      <c r="M176" s="18">
        <v>0</v>
      </c>
    </row>
    <row r="177" spans="2:13" x14ac:dyDescent="0.3">
      <c r="B177" s="12" t="s">
        <v>187</v>
      </c>
      <c r="C177" s="12"/>
      <c r="D177" s="18">
        <v>36.066099999999999</v>
      </c>
      <c r="E177" s="18">
        <v>30.165500000000002</v>
      </c>
      <c r="F177" s="18">
        <v>28.0137</v>
      </c>
      <c r="G177" s="18">
        <v>-17.444299999999998</v>
      </c>
      <c r="H177" s="18">
        <v>-70.280299999999997</v>
      </c>
      <c r="I177" s="18">
        <v>-47.390700000000002</v>
      </c>
      <c r="J177" s="18">
        <v>-34.1614</v>
      </c>
      <c r="K177" s="18">
        <v>-49.496699999999997</v>
      </c>
      <c r="L177" s="18">
        <v>-43.412599999999998</v>
      </c>
      <c r="M177" s="18">
        <v>-38.912799999999997</v>
      </c>
    </row>
    <row r="178" spans="2:13" x14ac:dyDescent="0.3">
      <c r="B178" s="12" t="s">
        <v>188</v>
      </c>
      <c r="C178" s="12"/>
      <c r="D178" s="18">
        <v>1.0885</v>
      </c>
      <c r="E178" s="18">
        <v>1.0469999999999999</v>
      </c>
      <c r="F178" s="18">
        <v>1.2518</v>
      </c>
      <c r="G178" s="18">
        <v>2.1981000000000002</v>
      </c>
      <c r="H178" s="18">
        <v>0.91649999999999998</v>
      </c>
      <c r="I178" s="18">
        <v>1.0626</v>
      </c>
      <c r="J178" s="18">
        <v>1.1969000000000001</v>
      </c>
      <c r="K178" s="18">
        <v>0.76690000000000003</v>
      </c>
      <c r="L178" s="18">
        <v>0.78149999999999997</v>
      </c>
      <c r="M178" s="18">
        <v>0.755</v>
      </c>
    </row>
    <row r="179" spans="2:13" x14ac:dyDescent="0.3">
      <c r="B179" s="12" t="s">
        <v>189</v>
      </c>
      <c r="C179" s="12"/>
      <c r="D179" s="18">
        <v>29.354700000000001</v>
      </c>
      <c r="E179" s="18">
        <v>29.2029</v>
      </c>
      <c r="F179" s="18">
        <v>27.696899999999999</v>
      </c>
      <c r="G179" s="18">
        <v>19.949000000000002</v>
      </c>
      <c r="H179" s="18">
        <v>16.314599999999999</v>
      </c>
      <c r="I179" s="18">
        <v>22.4727</v>
      </c>
      <c r="J179" s="18">
        <v>20.177499999999998</v>
      </c>
      <c r="K179" s="18">
        <v>21.005600000000001</v>
      </c>
      <c r="L179" s="18">
        <v>18.584800000000001</v>
      </c>
      <c r="M179" s="18">
        <v>15.0924</v>
      </c>
    </row>
    <row r="180" spans="2:13" x14ac:dyDescent="0.3">
      <c r="B180" s="12" t="s">
        <v>190</v>
      </c>
      <c r="C180" s="12"/>
      <c r="D180" s="13">
        <v>1000</v>
      </c>
      <c r="E180" s="13">
        <v>1600</v>
      </c>
      <c r="F180" s="13">
        <v>2100</v>
      </c>
      <c r="G180" s="13">
        <v>1300</v>
      </c>
      <c r="H180" s="13">
        <v>2000</v>
      </c>
      <c r="I180" s="13">
        <v>2000</v>
      </c>
      <c r="J180" s="13">
        <v>2900</v>
      </c>
      <c r="K180" s="13">
        <v>2700</v>
      </c>
      <c r="L180" s="13">
        <v>2500</v>
      </c>
      <c r="M180" s="13">
        <v>2100</v>
      </c>
    </row>
    <row r="181" spans="2:13" x14ac:dyDescent="0.3">
      <c r="B181" s="12" t="s">
        <v>191</v>
      </c>
      <c r="C181" s="12"/>
      <c r="D181" s="18">
        <v>238000</v>
      </c>
      <c r="E181" s="18">
        <v>254000</v>
      </c>
      <c r="F181" s="18">
        <v>277000</v>
      </c>
      <c r="G181" s="18">
        <v>291000</v>
      </c>
      <c r="H181" s="18">
        <v>346000</v>
      </c>
      <c r="I181" s="18">
        <v>349000</v>
      </c>
      <c r="J181" s="18">
        <v>383000</v>
      </c>
      <c r="K181" s="18">
        <v>402000</v>
      </c>
      <c r="L181" s="18">
        <v>381000</v>
      </c>
      <c r="M181" s="18">
        <v>361000</v>
      </c>
    </row>
    <row r="182" spans="2:13" x14ac:dyDescent="0.3">
      <c r="B182" s="19" t="s">
        <v>104</v>
      </c>
      <c r="C182" s="19"/>
      <c r="D182" s="19" t="s">
        <v>192</v>
      </c>
      <c r="E182" s="19"/>
      <c r="F182" s="19"/>
      <c r="G182" s="19"/>
      <c r="H182" s="19"/>
      <c r="I182" s="19"/>
      <c r="J182" s="19"/>
      <c r="K182" s="19"/>
      <c r="L182" s="19"/>
      <c r="M182" s="19"/>
    </row>
    <row r="185" spans="2:13" ht="20.100000000000001" customHeight="1" x14ac:dyDescent="0.3">
      <c r="B185" s="297" t="s">
        <v>105</v>
      </c>
      <c r="C185" s="298"/>
      <c r="D185" s="298"/>
      <c r="E185" s="298"/>
      <c r="F185" s="298"/>
      <c r="G185" s="298"/>
      <c r="H185" s="298"/>
      <c r="I185" s="298"/>
      <c r="J185" s="298"/>
      <c r="K185" s="298"/>
      <c r="L185" s="298"/>
      <c r="M185" s="298"/>
    </row>
    <row r="186" spans="2:13" x14ac:dyDescent="0.3">
      <c r="B186" s="219" t="s">
        <v>1</v>
      </c>
      <c r="C186" s="219"/>
      <c r="D186" s="220" t="s">
        <v>2</v>
      </c>
      <c r="E186" s="220" t="s">
        <v>3</v>
      </c>
      <c r="F186" s="220" t="s">
        <v>4</v>
      </c>
      <c r="G186" s="220" t="s">
        <v>5</v>
      </c>
      <c r="H186" s="220" t="s">
        <v>6</v>
      </c>
      <c r="I186" s="220" t="s">
        <v>7</v>
      </c>
      <c r="J186" s="220" t="s">
        <v>8</v>
      </c>
      <c r="K186" s="220" t="s">
        <v>9</v>
      </c>
      <c r="L186" s="220" t="s">
        <v>10</v>
      </c>
      <c r="M186" s="220" t="s">
        <v>11</v>
      </c>
    </row>
    <row r="187" spans="2:13" x14ac:dyDescent="0.3">
      <c r="B187" s="221" t="s">
        <v>12</v>
      </c>
      <c r="C187" s="221"/>
      <c r="D187" s="222" t="s">
        <v>13</v>
      </c>
      <c r="E187" s="222" t="s">
        <v>14</v>
      </c>
      <c r="F187" s="222" t="s">
        <v>15</v>
      </c>
      <c r="G187" s="222" t="s">
        <v>16</v>
      </c>
      <c r="H187" s="222" t="s">
        <v>17</v>
      </c>
      <c r="I187" s="222" t="s">
        <v>18</v>
      </c>
      <c r="J187" s="222" t="s">
        <v>19</v>
      </c>
      <c r="K187" s="222" t="s">
        <v>20</v>
      </c>
      <c r="L187" s="222" t="s">
        <v>21</v>
      </c>
      <c r="M187" s="222" t="s">
        <v>22</v>
      </c>
    </row>
    <row r="188" spans="2:13" x14ac:dyDescent="0.3">
      <c r="B188" s="20" t="s">
        <v>193</v>
      </c>
      <c r="C188" s="20"/>
      <c r="D188" s="11"/>
      <c r="E188" s="11"/>
      <c r="F188" s="11"/>
      <c r="G188" s="11"/>
      <c r="H188" s="11"/>
      <c r="I188" s="11"/>
      <c r="J188" s="11"/>
      <c r="K188" s="11"/>
      <c r="L188" s="11"/>
      <c r="M188" s="11"/>
    </row>
    <row r="189" spans="2:13" x14ac:dyDescent="0.3">
      <c r="B189" s="21" t="s">
        <v>194</v>
      </c>
      <c r="C189" s="21"/>
      <c r="D189" s="13">
        <v>2757.4</v>
      </c>
      <c r="E189" s="13">
        <v>2817.7</v>
      </c>
      <c r="F189" s="13">
        <v>2884.7</v>
      </c>
      <c r="G189" s="13">
        <v>4518.3</v>
      </c>
      <c r="H189" s="13">
        <v>3599.2</v>
      </c>
      <c r="I189" s="13">
        <v>928.3</v>
      </c>
      <c r="J189" s="13">
        <v>4199.3</v>
      </c>
      <c r="K189" s="13">
        <v>3281.6</v>
      </c>
      <c r="L189" s="13">
        <v>4124.5</v>
      </c>
      <c r="M189" s="13">
        <v>3760.9</v>
      </c>
    </row>
    <row r="190" spans="2:13" x14ac:dyDescent="0.3">
      <c r="B190" s="21" t="s">
        <v>195</v>
      </c>
      <c r="C190" s="21"/>
      <c r="D190" s="13">
        <v>933.8</v>
      </c>
      <c r="E190" s="13">
        <v>1030.0999999999999</v>
      </c>
      <c r="F190" s="13">
        <v>1067.0999999999999</v>
      </c>
      <c r="G190" s="13">
        <v>1305.9000000000001</v>
      </c>
      <c r="H190" s="13">
        <v>1449.3</v>
      </c>
      <c r="I190" s="13">
        <v>1503.2</v>
      </c>
      <c r="J190" s="13">
        <v>1524.1</v>
      </c>
      <c r="K190" s="13">
        <v>1529.4</v>
      </c>
      <c r="L190" s="13">
        <v>1450.3</v>
      </c>
      <c r="M190" s="13">
        <v>1592.4</v>
      </c>
    </row>
    <row r="191" spans="2:13" x14ac:dyDescent="0.3">
      <c r="B191" s="21" t="s">
        <v>196</v>
      </c>
      <c r="C191" s="21"/>
      <c r="D191" s="13">
        <v>40.6</v>
      </c>
      <c r="E191" s="13">
        <v>745.9</v>
      </c>
      <c r="F191" s="13">
        <v>317.5</v>
      </c>
      <c r="G191" s="13">
        <v>-783.7</v>
      </c>
      <c r="H191" s="13">
        <v>-1791.3</v>
      </c>
      <c r="I191" s="13">
        <v>891.8</v>
      </c>
      <c r="J191" s="13">
        <v>-362.5</v>
      </c>
      <c r="K191" s="13">
        <v>93.7</v>
      </c>
      <c r="L191" s="13">
        <v>29.8</v>
      </c>
      <c r="M191" s="13">
        <v>787.2</v>
      </c>
    </row>
    <row r="192" spans="2:13" x14ac:dyDescent="0.3">
      <c r="B192" s="21" t="s">
        <v>197</v>
      </c>
      <c r="C192" s="21"/>
      <c r="D192" s="13">
        <v>77.400000000000006</v>
      </c>
      <c r="E192" s="13">
        <v>218.1</v>
      </c>
      <c r="F192" s="13">
        <v>176</v>
      </c>
      <c r="G192" s="13">
        <v>250.3</v>
      </c>
      <c r="H192" s="13">
        <v>308</v>
      </c>
      <c r="I192" s="13">
        <v>248.6</v>
      </c>
      <c r="J192" s="13">
        <v>319.10000000000002</v>
      </c>
      <c r="K192" s="13">
        <v>271.5</v>
      </c>
      <c r="L192" s="13">
        <v>302.7</v>
      </c>
      <c r="M192" s="13">
        <v>308.3</v>
      </c>
    </row>
    <row r="193" spans="2:13" x14ac:dyDescent="0.3">
      <c r="B193" s="21" t="s">
        <v>198</v>
      </c>
      <c r="C193" s="21"/>
      <c r="D193" s="13">
        <v>21.2</v>
      </c>
      <c r="E193" s="13">
        <v>265.7</v>
      </c>
      <c r="F193" s="13">
        <v>95.1</v>
      </c>
      <c r="G193" s="13">
        <v>714.9</v>
      </c>
      <c r="H193" s="13">
        <v>-1495.4</v>
      </c>
      <c r="I193" s="13">
        <v>-25.8</v>
      </c>
      <c r="J193" s="13">
        <v>-146.19999999999999</v>
      </c>
      <c r="K193" s="13">
        <v>-37.799999999999997</v>
      </c>
      <c r="L193" s="13">
        <v>-59.4</v>
      </c>
      <c r="M193" s="13">
        <v>-13.8</v>
      </c>
    </row>
    <row r="194" spans="2:13" x14ac:dyDescent="0.3">
      <c r="B194" s="21" t="s">
        <v>199</v>
      </c>
      <c r="C194" s="21"/>
      <c r="D194" s="13">
        <v>-58</v>
      </c>
      <c r="E194" s="13">
        <v>262.10000000000002</v>
      </c>
      <c r="F194" s="13">
        <v>46.4</v>
      </c>
      <c r="G194" s="13">
        <v>-1748.9</v>
      </c>
      <c r="H194" s="13">
        <v>-603.9</v>
      </c>
      <c r="I194" s="13">
        <v>669</v>
      </c>
      <c r="J194" s="13">
        <v>-535.4</v>
      </c>
      <c r="K194" s="13">
        <v>-140</v>
      </c>
      <c r="L194" s="13">
        <v>-213.5</v>
      </c>
      <c r="M194" s="13">
        <v>492.7</v>
      </c>
    </row>
    <row r="195" spans="2:13" x14ac:dyDescent="0.3">
      <c r="B195" s="21" t="s">
        <v>200</v>
      </c>
      <c r="C195" s="21"/>
      <c r="D195" s="13">
        <v>17.3</v>
      </c>
      <c r="E195" s="13">
        <v>104.2</v>
      </c>
      <c r="F195" s="13">
        <v>-17.5</v>
      </c>
      <c r="G195" s="13">
        <v>6897.3</v>
      </c>
      <c r="H195" s="13">
        <v>1789.8</v>
      </c>
      <c r="I195" s="13">
        <v>-1725.5</v>
      </c>
      <c r="J195" s="13">
        <v>628.20000000000005</v>
      </c>
      <c r="K195" s="13">
        <v>-507.4</v>
      </c>
      <c r="L195" s="13">
        <v>404.1</v>
      </c>
      <c r="M195" s="13">
        <v>-44.9</v>
      </c>
    </row>
    <row r="196" spans="2:13" x14ac:dyDescent="0.3">
      <c r="B196" s="21" t="s">
        <v>201</v>
      </c>
      <c r="C196" s="21"/>
      <c r="D196" s="13">
        <v>-82.8</v>
      </c>
      <c r="E196" s="13">
        <v>-55.6</v>
      </c>
      <c r="F196" s="13">
        <v>-96.8</v>
      </c>
      <c r="G196" s="13">
        <v>131</v>
      </c>
      <c r="H196" s="13">
        <v>-197.7</v>
      </c>
      <c r="I196" s="13">
        <v>-2.7</v>
      </c>
      <c r="J196" s="13">
        <v>-43</v>
      </c>
      <c r="K196" s="13">
        <v>-326.10000000000002</v>
      </c>
      <c r="L196" s="13">
        <v>-4.0999999999999996</v>
      </c>
      <c r="M196" s="13">
        <v>18.399999999999999</v>
      </c>
    </row>
    <row r="197" spans="2:13" x14ac:dyDescent="0.3">
      <c r="B197" s="21" t="s">
        <v>202</v>
      </c>
      <c r="C197" s="21"/>
      <c r="D197" s="13">
        <v>-207.9</v>
      </c>
      <c r="E197" s="13">
        <v>-67.5</v>
      </c>
      <c r="F197" s="13">
        <v>14</v>
      </c>
      <c r="G197" s="13">
        <v>-41.2</v>
      </c>
      <c r="H197" s="13">
        <v>-173</v>
      </c>
      <c r="I197" s="13">
        <v>-10.9</v>
      </c>
      <c r="J197" s="13">
        <v>-49.8</v>
      </c>
      <c r="K197" s="13">
        <v>-641</v>
      </c>
      <c r="L197" s="13">
        <v>366.4</v>
      </c>
      <c r="M197" s="13">
        <v>42.8</v>
      </c>
    </row>
    <row r="198" spans="2:13" x14ac:dyDescent="0.3">
      <c r="B198" s="47" t="s">
        <v>203</v>
      </c>
      <c r="C198" s="21"/>
      <c r="D198" s="13">
        <v>137.69999999999999</v>
      </c>
      <c r="E198" s="13">
        <v>46.9</v>
      </c>
      <c r="F198" s="13">
        <v>46.4</v>
      </c>
      <c r="G198" s="13">
        <v>391.6</v>
      </c>
      <c r="H198" s="13">
        <v>31.9</v>
      </c>
      <c r="I198" s="13">
        <v>-210.8</v>
      </c>
      <c r="J198" s="13">
        <v>189.9</v>
      </c>
      <c r="K198" s="13">
        <v>345.5</v>
      </c>
      <c r="L198" s="13">
        <v>100.1</v>
      </c>
      <c r="M198" s="13">
        <v>28</v>
      </c>
    </row>
    <row r="199" spans="2:13" x14ac:dyDescent="0.3">
      <c r="B199" s="21" t="s">
        <v>204</v>
      </c>
      <c r="C199" s="21"/>
      <c r="D199" s="13">
        <v>170.3</v>
      </c>
      <c r="E199" s="13">
        <v>180.4</v>
      </c>
      <c r="F199" s="13">
        <v>18.899999999999999</v>
      </c>
      <c r="G199" s="13">
        <v>6415.9</v>
      </c>
      <c r="H199" s="13">
        <v>2128.6</v>
      </c>
      <c r="I199" s="13">
        <v>-1501.1</v>
      </c>
      <c r="J199" s="13">
        <v>531.1</v>
      </c>
      <c r="K199" s="13">
        <v>114.2</v>
      </c>
      <c r="L199" s="13">
        <v>-58.3</v>
      </c>
      <c r="M199" s="13">
        <v>-134.1</v>
      </c>
    </row>
    <row r="200" spans="2:13" x14ac:dyDescent="0.3">
      <c r="B200" s="21" t="s">
        <v>205</v>
      </c>
      <c r="C200" s="21"/>
      <c r="D200" s="13">
        <v>0</v>
      </c>
      <c r="E200" s="13">
        <v>0</v>
      </c>
      <c r="F200" s="13">
        <v>0</v>
      </c>
      <c r="G200" s="13">
        <v>0</v>
      </c>
      <c r="H200" s="13">
        <v>0</v>
      </c>
      <c r="I200" s="13">
        <v>0</v>
      </c>
      <c r="J200" s="13">
        <v>0</v>
      </c>
      <c r="K200" s="13">
        <v>0</v>
      </c>
      <c r="L200" s="13">
        <v>0</v>
      </c>
      <c r="M200" s="13">
        <v>0</v>
      </c>
    </row>
    <row r="201" spans="2:13" x14ac:dyDescent="0.3">
      <c r="B201" s="6" t="s">
        <v>193</v>
      </c>
      <c r="C201" s="6"/>
      <c r="D201" s="14">
        <v>3749.1</v>
      </c>
      <c r="E201" s="14">
        <v>4697.8999999999996</v>
      </c>
      <c r="F201" s="14">
        <v>4251.8</v>
      </c>
      <c r="G201" s="14">
        <v>11937.8</v>
      </c>
      <c r="H201" s="14">
        <v>5047</v>
      </c>
      <c r="I201" s="14">
        <v>1597.8</v>
      </c>
      <c r="J201" s="14">
        <v>5989.1</v>
      </c>
      <c r="K201" s="14">
        <v>4397.3</v>
      </c>
      <c r="L201" s="14">
        <v>6008.7</v>
      </c>
      <c r="M201" s="14">
        <v>6095.6</v>
      </c>
    </row>
    <row r="202" spans="2:13" x14ac:dyDescent="0.3">
      <c r="B202" s="6" t="s">
        <v>76</v>
      </c>
      <c r="C202" s="6"/>
      <c r="D202" s="11"/>
      <c r="E202" s="11"/>
      <c r="F202" s="11"/>
      <c r="G202" s="11"/>
      <c r="H202" s="11"/>
      <c r="I202" s="11"/>
      <c r="J202" s="11"/>
      <c r="K202" s="11"/>
      <c r="L202" s="11"/>
      <c r="M202" s="11"/>
    </row>
    <row r="203" spans="2:13" x14ac:dyDescent="0.3">
      <c r="B203" s="6" t="s">
        <v>206</v>
      </c>
      <c r="C203" s="6"/>
      <c r="D203" s="11"/>
      <c r="E203" s="11"/>
      <c r="F203" s="11"/>
      <c r="G203" s="11"/>
      <c r="H203" s="11"/>
      <c r="I203" s="11"/>
      <c r="J203" s="11"/>
      <c r="K203" s="11"/>
      <c r="L203" s="11"/>
      <c r="M203" s="11"/>
    </row>
    <row r="204" spans="2:13" x14ac:dyDescent="0.3">
      <c r="B204" s="21" t="s">
        <v>207</v>
      </c>
      <c r="C204" s="21"/>
      <c r="D204" s="13">
        <v>-1303.7</v>
      </c>
      <c r="E204" s="13">
        <v>-1440.3</v>
      </c>
      <c r="F204" s="13">
        <v>-1519.4</v>
      </c>
      <c r="G204" s="13">
        <v>-1976.4</v>
      </c>
      <c r="H204" s="13">
        <v>-1806.6</v>
      </c>
      <c r="I204" s="13">
        <v>-1483.6</v>
      </c>
      <c r="J204" s="13">
        <v>-1470</v>
      </c>
      <c r="K204" s="13">
        <v>-1841.3</v>
      </c>
      <c r="L204" s="13">
        <v>-2223.6</v>
      </c>
      <c r="M204" s="13">
        <v>-2777.5</v>
      </c>
    </row>
    <row r="205" spans="2:13" x14ac:dyDescent="0.3">
      <c r="B205" s="21" t="s">
        <v>208</v>
      </c>
      <c r="C205" s="21"/>
      <c r="D205" s="13">
        <v>0</v>
      </c>
      <c r="E205" s="13">
        <v>0</v>
      </c>
      <c r="F205" s="13">
        <v>0</v>
      </c>
      <c r="G205" s="13">
        <v>0</v>
      </c>
      <c r="H205" s="13">
        <v>0</v>
      </c>
      <c r="I205" s="13">
        <v>0</v>
      </c>
      <c r="J205" s="13">
        <v>0</v>
      </c>
      <c r="K205" s="13">
        <v>0</v>
      </c>
      <c r="L205" s="13">
        <v>110</v>
      </c>
      <c r="M205" s="13">
        <v>0</v>
      </c>
    </row>
    <row r="206" spans="2:13" x14ac:dyDescent="0.3">
      <c r="B206" s="22" t="s">
        <v>209</v>
      </c>
      <c r="C206" s="22"/>
      <c r="D206" s="16">
        <v>0</v>
      </c>
      <c r="E206" s="16">
        <v>0</v>
      </c>
      <c r="F206" s="16">
        <v>0</v>
      </c>
      <c r="G206" s="16">
        <v>0</v>
      </c>
      <c r="H206" s="16">
        <v>0</v>
      </c>
      <c r="I206" s="16">
        <v>0</v>
      </c>
      <c r="J206" s="16">
        <v>0</v>
      </c>
      <c r="K206" s="16">
        <v>0</v>
      </c>
      <c r="L206" s="16">
        <v>110</v>
      </c>
      <c r="M206" s="16">
        <v>0</v>
      </c>
    </row>
    <row r="207" spans="2:13" x14ac:dyDescent="0.3">
      <c r="B207" s="22" t="s">
        <v>210</v>
      </c>
      <c r="C207" s="22"/>
      <c r="D207" s="16">
        <v>0</v>
      </c>
      <c r="E207" s="16">
        <v>0</v>
      </c>
      <c r="F207" s="16">
        <v>0</v>
      </c>
      <c r="G207" s="16">
        <v>0</v>
      </c>
      <c r="H207" s="16">
        <v>0</v>
      </c>
      <c r="I207" s="16">
        <v>0</v>
      </c>
      <c r="J207" s="16">
        <v>0</v>
      </c>
      <c r="K207" s="16">
        <v>0</v>
      </c>
      <c r="L207" s="16">
        <v>0</v>
      </c>
      <c r="M207" s="16">
        <v>0</v>
      </c>
    </row>
    <row r="208" spans="2:13" x14ac:dyDescent="0.3">
      <c r="B208" s="21" t="s">
        <v>211</v>
      </c>
      <c r="C208" s="21"/>
      <c r="D208" s="13">
        <v>-1303.7</v>
      </c>
      <c r="E208" s="13">
        <v>-1440.3</v>
      </c>
      <c r="F208" s="13">
        <v>-1519.4</v>
      </c>
      <c r="G208" s="13">
        <v>-1976.4</v>
      </c>
      <c r="H208" s="13">
        <v>-1806.6</v>
      </c>
      <c r="I208" s="13">
        <v>-1483.6</v>
      </c>
      <c r="J208" s="13">
        <v>-1470</v>
      </c>
      <c r="K208" s="13">
        <v>-1841.3</v>
      </c>
      <c r="L208" s="13">
        <v>-2333.6</v>
      </c>
      <c r="M208" s="13">
        <v>-2777.5</v>
      </c>
    </row>
    <row r="209" spans="2:13" x14ac:dyDescent="0.3">
      <c r="B209" s="22" t="s">
        <v>212</v>
      </c>
      <c r="C209" s="22"/>
      <c r="D209" s="16">
        <v>-1303.7</v>
      </c>
      <c r="E209" s="16">
        <v>-1440.3</v>
      </c>
      <c r="F209" s="16">
        <v>-1519.4</v>
      </c>
      <c r="G209" s="16">
        <v>-1976.4</v>
      </c>
      <c r="H209" s="16">
        <v>-1806.6</v>
      </c>
      <c r="I209" s="16">
        <v>-1483.6</v>
      </c>
      <c r="J209" s="16">
        <v>-1470</v>
      </c>
      <c r="K209" s="16">
        <v>-1841.3</v>
      </c>
      <c r="L209" s="16">
        <v>-2333.6</v>
      </c>
      <c r="M209" s="16">
        <v>-2777.5</v>
      </c>
    </row>
    <row r="210" spans="2:13" x14ac:dyDescent="0.3">
      <c r="B210" s="22" t="s">
        <v>213</v>
      </c>
      <c r="C210" s="22"/>
      <c r="D210" s="16">
        <v>0</v>
      </c>
      <c r="E210" s="16">
        <v>0</v>
      </c>
      <c r="F210" s="16">
        <v>0</v>
      </c>
      <c r="G210" s="16">
        <v>0</v>
      </c>
      <c r="H210" s="16">
        <v>0</v>
      </c>
      <c r="I210" s="16">
        <v>0</v>
      </c>
      <c r="J210" s="16">
        <v>0</v>
      </c>
      <c r="K210" s="16">
        <v>0</v>
      </c>
      <c r="L210" s="16">
        <v>0</v>
      </c>
      <c r="M210" s="16">
        <v>0</v>
      </c>
    </row>
    <row r="211" spans="2:13" x14ac:dyDescent="0.3">
      <c r="B211" s="21" t="s">
        <v>214</v>
      </c>
      <c r="C211" s="21"/>
      <c r="D211" s="13">
        <v>0</v>
      </c>
      <c r="E211" s="13">
        <v>0</v>
      </c>
      <c r="F211" s="13">
        <v>0</v>
      </c>
      <c r="G211" s="13">
        <v>0</v>
      </c>
      <c r="H211" s="13">
        <v>0</v>
      </c>
      <c r="I211" s="13">
        <v>0</v>
      </c>
      <c r="J211" s="13">
        <v>0</v>
      </c>
      <c r="K211" s="13">
        <v>0</v>
      </c>
      <c r="L211" s="13">
        <v>0</v>
      </c>
      <c r="M211" s="13">
        <v>0</v>
      </c>
    </row>
    <row r="212" spans="2:13" x14ac:dyDescent="0.3">
      <c r="B212" s="21" t="s">
        <v>215</v>
      </c>
      <c r="C212" s="21"/>
      <c r="D212" s="13">
        <v>0</v>
      </c>
      <c r="E212" s="13">
        <v>0</v>
      </c>
      <c r="F212" s="13">
        <v>0</v>
      </c>
      <c r="G212" s="13">
        <v>0</v>
      </c>
      <c r="H212" s="13">
        <v>0</v>
      </c>
      <c r="I212" s="13">
        <v>0</v>
      </c>
      <c r="J212" s="13">
        <v>0</v>
      </c>
      <c r="K212" s="13">
        <v>0</v>
      </c>
      <c r="L212" s="13">
        <v>0</v>
      </c>
      <c r="M212" s="13">
        <v>0</v>
      </c>
    </row>
    <row r="213" spans="2:13" x14ac:dyDescent="0.3">
      <c r="B213" s="21" t="s">
        <v>216</v>
      </c>
      <c r="C213" s="21"/>
      <c r="D213" s="13">
        <v>0</v>
      </c>
      <c r="E213" s="13">
        <v>0</v>
      </c>
      <c r="F213" s="13">
        <v>0</v>
      </c>
      <c r="G213" s="13">
        <v>0</v>
      </c>
      <c r="H213" s="13">
        <v>0</v>
      </c>
      <c r="I213" s="13">
        <v>0</v>
      </c>
      <c r="J213" s="13">
        <v>0</v>
      </c>
      <c r="K213" s="13">
        <v>0</v>
      </c>
      <c r="L213" s="13">
        <v>0</v>
      </c>
      <c r="M213" s="13">
        <v>0</v>
      </c>
    </row>
    <row r="214" spans="2:13" x14ac:dyDescent="0.3">
      <c r="B214" s="21" t="s">
        <v>217</v>
      </c>
      <c r="C214" s="21"/>
      <c r="D214" s="13">
        <v>-284.3</v>
      </c>
      <c r="E214" s="13">
        <v>69.599999999999994</v>
      </c>
      <c r="F214" s="13">
        <v>85.4</v>
      </c>
      <c r="G214" s="13">
        <v>-703.1</v>
      </c>
      <c r="H214" s="13">
        <v>684.3</v>
      </c>
      <c r="I214" s="13">
        <v>0</v>
      </c>
      <c r="J214" s="13">
        <v>1175</v>
      </c>
      <c r="K214" s="13">
        <v>59.3</v>
      </c>
      <c r="L214" s="13">
        <v>0</v>
      </c>
      <c r="M214" s="13">
        <v>0</v>
      </c>
    </row>
    <row r="215" spans="2:13" x14ac:dyDescent="0.3">
      <c r="B215" s="21" t="s">
        <v>218</v>
      </c>
      <c r="C215" s="21"/>
      <c r="D215" s="13">
        <v>0</v>
      </c>
      <c r="E215" s="13">
        <v>0</v>
      </c>
      <c r="F215" s="13">
        <v>0</v>
      </c>
      <c r="G215" s="13">
        <v>0</v>
      </c>
      <c r="H215" s="13">
        <v>0</v>
      </c>
      <c r="I215" s="13">
        <v>0</v>
      </c>
      <c r="J215" s="13">
        <v>1175</v>
      </c>
      <c r="K215" s="13">
        <v>59.3</v>
      </c>
      <c r="L215" s="13">
        <v>0</v>
      </c>
      <c r="M215" s="13">
        <v>0</v>
      </c>
    </row>
    <row r="216" spans="2:13" x14ac:dyDescent="0.3">
      <c r="B216" s="21" t="s">
        <v>219</v>
      </c>
      <c r="C216" s="21"/>
      <c r="D216" s="13">
        <v>-284.3</v>
      </c>
      <c r="E216" s="13">
        <v>0</v>
      </c>
      <c r="F216" s="13">
        <v>0</v>
      </c>
      <c r="G216" s="13">
        <v>0</v>
      </c>
      <c r="H216" s="13">
        <v>0</v>
      </c>
      <c r="I216" s="13">
        <v>0</v>
      </c>
      <c r="J216" s="13">
        <v>0</v>
      </c>
      <c r="K216" s="13">
        <v>0</v>
      </c>
      <c r="L216" s="13">
        <v>0</v>
      </c>
      <c r="M216" s="13">
        <v>0</v>
      </c>
    </row>
    <row r="217" spans="2:13" x14ac:dyDescent="0.3">
      <c r="B217" s="21" t="s">
        <v>220</v>
      </c>
      <c r="C217" s="21"/>
      <c r="D217" s="13">
        <v>0</v>
      </c>
      <c r="E217" s="13">
        <v>69.599999999999994</v>
      </c>
      <c r="F217" s="13">
        <v>85.4</v>
      </c>
      <c r="G217" s="13">
        <v>-703.1</v>
      </c>
      <c r="H217" s="13">
        <v>684.3</v>
      </c>
      <c r="I217" s="13">
        <v>0</v>
      </c>
      <c r="J217" s="13">
        <v>0</v>
      </c>
      <c r="K217" s="13">
        <v>0</v>
      </c>
      <c r="L217" s="13">
        <v>0</v>
      </c>
      <c r="M217" s="13">
        <v>0</v>
      </c>
    </row>
    <row r="218" spans="2:13" x14ac:dyDescent="0.3">
      <c r="B218" s="21" t="s">
        <v>221</v>
      </c>
      <c r="C218" s="21"/>
      <c r="D218" s="13">
        <v>67.7</v>
      </c>
      <c r="E218" s="13">
        <v>-852.2</v>
      </c>
      <c r="F218" s="13">
        <v>584</v>
      </c>
      <c r="G218" s="13">
        <v>318</v>
      </c>
      <c r="H218" s="13">
        <v>111.5</v>
      </c>
      <c r="I218" s="13">
        <v>-227.9</v>
      </c>
      <c r="J218" s="13">
        <v>-24.5</v>
      </c>
      <c r="K218" s="13">
        <v>-364.3</v>
      </c>
      <c r="L218" s="13">
        <v>-47.2</v>
      </c>
      <c r="M218" s="13">
        <v>78.3</v>
      </c>
    </row>
    <row r="219" spans="2:13" x14ac:dyDescent="0.3">
      <c r="B219" s="21" t="s">
        <v>205</v>
      </c>
      <c r="C219" s="21"/>
      <c r="D219" s="13">
        <v>0</v>
      </c>
      <c r="E219" s="13">
        <v>0</v>
      </c>
      <c r="F219" s="13">
        <v>0</v>
      </c>
      <c r="G219" s="13">
        <v>0</v>
      </c>
      <c r="H219" s="13">
        <v>0</v>
      </c>
      <c r="I219" s="13">
        <v>0</v>
      </c>
      <c r="J219" s="13">
        <v>0</v>
      </c>
      <c r="K219" s="13">
        <v>0</v>
      </c>
      <c r="L219" s="13">
        <v>0</v>
      </c>
      <c r="M219" s="13">
        <v>0</v>
      </c>
    </row>
    <row r="220" spans="2:13" x14ac:dyDescent="0.3">
      <c r="B220" s="6" t="s">
        <v>206</v>
      </c>
      <c r="C220" s="6"/>
      <c r="D220" s="14">
        <v>-1520.3</v>
      </c>
      <c r="E220" s="14">
        <v>-2222.9</v>
      </c>
      <c r="F220" s="14">
        <v>-850</v>
      </c>
      <c r="G220" s="14">
        <v>-2361.5</v>
      </c>
      <c r="H220" s="14">
        <v>-1010.8</v>
      </c>
      <c r="I220" s="14">
        <v>-1711.5</v>
      </c>
      <c r="J220" s="14">
        <v>-319.5</v>
      </c>
      <c r="K220" s="14">
        <v>-2146.3000000000002</v>
      </c>
      <c r="L220" s="14">
        <v>-2270.8000000000002</v>
      </c>
      <c r="M220" s="14">
        <v>-2699.2</v>
      </c>
    </row>
    <row r="221" spans="2:13" x14ac:dyDescent="0.3">
      <c r="B221" s="6" t="s">
        <v>76</v>
      </c>
      <c r="C221" s="6"/>
      <c r="D221" s="11"/>
      <c r="E221" s="11"/>
      <c r="F221" s="11"/>
      <c r="G221" s="11"/>
      <c r="H221" s="11"/>
      <c r="I221" s="11"/>
      <c r="J221" s="11"/>
      <c r="K221" s="11"/>
      <c r="L221" s="11"/>
      <c r="M221" s="11"/>
    </row>
    <row r="222" spans="2:13" x14ac:dyDescent="0.3">
      <c r="B222" s="6" t="s">
        <v>222</v>
      </c>
      <c r="C222" s="6"/>
      <c r="D222" s="11"/>
      <c r="E222" s="11"/>
      <c r="F222" s="11"/>
      <c r="G222" s="11"/>
      <c r="H222" s="11"/>
      <c r="I222" s="11"/>
      <c r="J222" s="11"/>
      <c r="K222" s="11"/>
      <c r="L222" s="11"/>
      <c r="M222" s="11"/>
    </row>
    <row r="223" spans="2:13" x14ac:dyDescent="0.3">
      <c r="B223" s="21" t="s">
        <v>223</v>
      </c>
      <c r="C223" s="21"/>
      <c r="D223" s="13">
        <v>-928.6</v>
      </c>
      <c r="E223" s="13">
        <v>-1178</v>
      </c>
      <c r="F223" s="13">
        <v>-1450.4</v>
      </c>
      <c r="G223" s="13">
        <v>-1743.4</v>
      </c>
      <c r="H223" s="13">
        <v>-1761.3</v>
      </c>
      <c r="I223" s="13">
        <v>-1923.5</v>
      </c>
      <c r="J223" s="13">
        <v>-2119</v>
      </c>
      <c r="K223" s="13">
        <v>-2263.3000000000002</v>
      </c>
      <c r="L223" s="13">
        <v>-2431.8000000000002</v>
      </c>
      <c r="M223" s="13">
        <v>-2585</v>
      </c>
    </row>
    <row r="224" spans="2:13" x14ac:dyDescent="0.3">
      <c r="B224" s="21" t="s">
        <v>224</v>
      </c>
      <c r="C224" s="21"/>
      <c r="D224" s="13">
        <v>238.4</v>
      </c>
      <c r="E224" s="13">
        <v>1254.5</v>
      </c>
      <c r="F224" s="13">
        <v>350.2</v>
      </c>
      <c r="G224" s="13">
        <v>5584.1</v>
      </c>
      <c r="H224" s="13">
        <v>1646</v>
      </c>
      <c r="I224" s="13">
        <v>5166.5</v>
      </c>
      <c r="J224" s="13">
        <v>-1681.2</v>
      </c>
      <c r="K224" s="13">
        <v>673.1</v>
      </c>
      <c r="L224" s="13">
        <v>358.6</v>
      </c>
      <c r="M224" s="13">
        <v>136.5</v>
      </c>
    </row>
    <row r="225" spans="2:13" x14ac:dyDescent="0.3">
      <c r="B225" s="21" t="s">
        <v>225</v>
      </c>
      <c r="C225" s="21"/>
      <c r="D225" s="13">
        <v>0</v>
      </c>
      <c r="E225" s="13">
        <v>0</v>
      </c>
      <c r="F225" s="13">
        <v>0</v>
      </c>
      <c r="G225" s="13">
        <v>0</v>
      </c>
      <c r="H225" s="13">
        <v>0</v>
      </c>
      <c r="I225" s="13">
        <v>438.9</v>
      </c>
      <c r="J225" s="13">
        <v>-431.2</v>
      </c>
      <c r="K225" s="13">
        <v>175</v>
      </c>
      <c r="L225" s="13">
        <v>-139.19999999999999</v>
      </c>
      <c r="M225" s="13">
        <v>-33.700000000000003</v>
      </c>
    </row>
    <row r="226" spans="2:13" x14ac:dyDescent="0.3">
      <c r="B226" s="21" t="s">
        <v>226</v>
      </c>
      <c r="C226" s="21"/>
      <c r="D226" s="13">
        <v>848.5</v>
      </c>
      <c r="E226" s="13">
        <v>1254.5</v>
      </c>
      <c r="F226" s="13">
        <v>750.2</v>
      </c>
      <c r="G226" s="13">
        <v>5584.1</v>
      </c>
      <c r="H226" s="13">
        <v>1996</v>
      </c>
      <c r="I226" s="13">
        <v>4727.6000000000004</v>
      </c>
      <c r="J226" s="13">
        <v>0</v>
      </c>
      <c r="K226" s="13">
        <v>1498.1</v>
      </c>
      <c r="L226" s="13">
        <v>1497.8</v>
      </c>
      <c r="M226" s="13">
        <v>1995.3</v>
      </c>
    </row>
    <row r="227" spans="2:13" x14ac:dyDescent="0.3">
      <c r="B227" s="21" t="s">
        <v>227</v>
      </c>
      <c r="C227" s="21"/>
      <c r="D227" s="13">
        <v>-610.1</v>
      </c>
      <c r="E227" s="13">
        <v>0</v>
      </c>
      <c r="F227" s="13">
        <v>-400</v>
      </c>
      <c r="G227" s="13">
        <v>0</v>
      </c>
      <c r="H227" s="13">
        <v>-350</v>
      </c>
      <c r="I227" s="13">
        <v>0</v>
      </c>
      <c r="J227" s="13">
        <v>-1250</v>
      </c>
      <c r="K227" s="13">
        <v>-1000</v>
      </c>
      <c r="L227" s="13">
        <v>-1000</v>
      </c>
      <c r="M227" s="13">
        <v>-1825.1</v>
      </c>
    </row>
    <row r="228" spans="2:13" x14ac:dyDescent="0.3">
      <c r="B228" s="21" t="s">
        <v>228</v>
      </c>
      <c r="C228" s="21"/>
      <c r="D228" s="13">
        <v>-1187.4000000000001</v>
      </c>
      <c r="E228" s="13">
        <v>-1940.9</v>
      </c>
      <c r="F228" s="13">
        <v>-1974.5</v>
      </c>
      <c r="G228" s="13">
        <v>-7042.3</v>
      </c>
      <c r="H228" s="13">
        <v>-9924.1</v>
      </c>
      <c r="I228" s="13">
        <v>-1492</v>
      </c>
      <c r="J228" s="13">
        <v>149.19999999999999</v>
      </c>
      <c r="K228" s="13">
        <v>-4038.6</v>
      </c>
      <c r="L228" s="13">
        <v>-906.3</v>
      </c>
      <c r="M228" s="13">
        <v>-1259.0999999999999</v>
      </c>
    </row>
    <row r="229" spans="2:13" x14ac:dyDescent="0.3">
      <c r="B229" s="21" t="s">
        <v>229</v>
      </c>
      <c r="C229" s="21"/>
      <c r="D229" s="13">
        <v>248.7</v>
      </c>
      <c r="E229" s="13">
        <v>160.69999999999999</v>
      </c>
      <c r="F229" s="13">
        <v>150.80000000000001</v>
      </c>
      <c r="G229" s="13">
        <v>153.9</v>
      </c>
      <c r="H229" s="13">
        <v>409.8</v>
      </c>
      <c r="I229" s="13">
        <v>298.8</v>
      </c>
      <c r="J229" s="13">
        <v>246.2</v>
      </c>
      <c r="K229" s="13">
        <v>101.6</v>
      </c>
      <c r="L229" s="13">
        <v>167.4</v>
      </c>
      <c r="M229" s="13">
        <v>108</v>
      </c>
    </row>
    <row r="230" spans="2:13" x14ac:dyDescent="0.3">
      <c r="B230" s="21" t="s">
        <v>230</v>
      </c>
      <c r="C230" s="21"/>
      <c r="D230" s="13">
        <v>-1436.1</v>
      </c>
      <c r="E230" s="13">
        <v>-2101.6</v>
      </c>
      <c r="F230" s="13">
        <v>-2125.3000000000002</v>
      </c>
      <c r="G230" s="13">
        <v>-7196.2</v>
      </c>
      <c r="H230" s="13">
        <v>-10333.9</v>
      </c>
      <c r="I230" s="13">
        <v>-1790.8</v>
      </c>
      <c r="J230" s="13">
        <v>-97</v>
      </c>
      <c r="K230" s="13">
        <v>-4140.2</v>
      </c>
      <c r="L230" s="13">
        <v>-1073.7</v>
      </c>
      <c r="M230" s="13">
        <v>-1367.1</v>
      </c>
    </row>
    <row r="231" spans="2:13" x14ac:dyDescent="0.3">
      <c r="B231" s="21" t="s">
        <v>231</v>
      </c>
      <c r="C231" s="21"/>
      <c r="D231" s="13">
        <v>-378.9</v>
      </c>
      <c r="E231" s="13">
        <v>-8.4</v>
      </c>
      <c r="F231" s="13">
        <v>-4.4000000000000004</v>
      </c>
      <c r="G231" s="13">
        <v>-41.2</v>
      </c>
      <c r="H231" s="13">
        <v>-17.5</v>
      </c>
      <c r="I231" s="13">
        <v>-37.700000000000003</v>
      </c>
      <c r="J231" s="13">
        <v>0</v>
      </c>
      <c r="K231" s="13">
        <v>-9.1999999999999993</v>
      </c>
      <c r="L231" s="13">
        <v>-11.1</v>
      </c>
      <c r="M231" s="13">
        <v>-10.6</v>
      </c>
    </row>
    <row r="232" spans="2:13" x14ac:dyDescent="0.3">
      <c r="B232" s="21" t="s">
        <v>205</v>
      </c>
      <c r="C232" s="21"/>
      <c r="D232" s="13">
        <v>0</v>
      </c>
      <c r="E232" s="13">
        <v>0</v>
      </c>
      <c r="F232" s="13">
        <v>0</v>
      </c>
      <c r="G232" s="13">
        <v>0</v>
      </c>
      <c r="H232" s="13">
        <v>0</v>
      </c>
      <c r="I232" s="13">
        <v>0</v>
      </c>
      <c r="J232" s="13">
        <v>0</v>
      </c>
      <c r="K232" s="13">
        <v>0</v>
      </c>
      <c r="L232" s="13">
        <v>0</v>
      </c>
      <c r="M232" s="13">
        <v>0</v>
      </c>
    </row>
    <row r="233" spans="2:13" x14ac:dyDescent="0.3">
      <c r="B233" s="6" t="s">
        <v>222</v>
      </c>
      <c r="C233" s="6"/>
      <c r="D233" s="14">
        <v>-2256.5</v>
      </c>
      <c r="E233" s="14">
        <v>-1872.8</v>
      </c>
      <c r="F233" s="14">
        <v>-3079.1</v>
      </c>
      <c r="G233" s="14">
        <v>-3242.8</v>
      </c>
      <c r="H233" s="14">
        <v>-10056.9</v>
      </c>
      <c r="I233" s="14">
        <v>1713.3</v>
      </c>
      <c r="J233" s="14">
        <v>-3651</v>
      </c>
      <c r="K233" s="14">
        <v>-5638</v>
      </c>
      <c r="L233" s="14">
        <v>-2990.6</v>
      </c>
      <c r="M233" s="14">
        <v>-3718.2</v>
      </c>
    </row>
    <row r="234" spans="2:13" x14ac:dyDescent="0.3">
      <c r="B234" s="6" t="s">
        <v>76</v>
      </c>
      <c r="C234" s="6"/>
      <c r="D234" s="11"/>
      <c r="E234" s="11"/>
      <c r="F234" s="11"/>
      <c r="G234" s="11"/>
      <c r="H234" s="11"/>
      <c r="I234" s="11"/>
      <c r="J234" s="11"/>
      <c r="K234" s="11"/>
      <c r="L234" s="11"/>
      <c r="M234" s="11"/>
    </row>
    <row r="235" spans="2:13" x14ac:dyDescent="0.3">
      <c r="B235" s="21" t="s">
        <v>232</v>
      </c>
      <c r="C235" s="21"/>
      <c r="D235" s="13">
        <v>-150.6</v>
      </c>
      <c r="E235" s="13">
        <v>-3.5</v>
      </c>
      <c r="F235" s="13">
        <v>10.8</v>
      </c>
      <c r="G235" s="13">
        <v>-39.5</v>
      </c>
      <c r="H235" s="13">
        <v>-49</v>
      </c>
      <c r="I235" s="13">
        <v>64.7</v>
      </c>
      <c r="J235" s="13">
        <v>86.2</v>
      </c>
      <c r="K235" s="13">
        <v>-250.3</v>
      </c>
      <c r="L235" s="13">
        <v>-14.2</v>
      </c>
      <c r="M235" s="13">
        <v>56.5</v>
      </c>
    </row>
    <row r="236" spans="2:13" x14ac:dyDescent="0.3">
      <c r="B236" s="6" t="s">
        <v>76</v>
      </c>
      <c r="C236" s="6"/>
      <c r="D236" s="11"/>
      <c r="E236" s="11"/>
      <c r="F236" s="11"/>
      <c r="G236" s="11"/>
      <c r="H236" s="11"/>
      <c r="I236" s="11"/>
      <c r="J236" s="11"/>
      <c r="K236" s="11"/>
      <c r="L236" s="11"/>
      <c r="M236" s="11"/>
    </row>
    <row r="237" spans="2:13" x14ac:dyDescent="0.3">
      <c r="B237" s="6" t="s">
        <v>233</v>
      </c>
      <c r="C237" s="6"/>
      <c r="D237" s="14">
        <v>-178.3</v>
      </c>
      <c r="E237" s="14">
        <v>598.70000000000005</v>
      </c>
      <c r="F237" s="14">
        <v>333.5</v>
      </c>
      <c r="G237" s="14">
        <v>6294</v>
      </c>
      <c r="H237" s="14">
        <v>-6069.7</v>
      </c>
      <c r="I237" s="14">
        <v>1664.3</v>
      </c>
      <c r="J237" s="14">
        <v>2104.8000000000002</v>
      </c>
      <c r="K237" s="14">
        <v>-3637.3</v>
      </c>
      <c r="L237" s="14">
        <v>733.1</v>
      </c>
      <c r="M237" s="14">
        <v>-265.3</v>
      </c>
    </row>
    <row r="238" spans="2:13" x14ac:dyDescent="0.3">
      <c r="B238" s="6" t="s">
        <v>76</v>
      </c>
      <c r="C238" s="6"/>
      <c r="D238" s="11"/>
      <c r="E238" s="11"/>
      <c r="F238" s="11"/>
      <c r="G238" s="11"/>
      <c r="H238" s="11"/>
      <c r="I238" s="11"/>
      <c r="J238" s="11"/>
      <c r="K238" s="11"/>
      <c r="L238" s="11"/>
      <c r="M238" s="11"/>
    </row>
    <row r="239" spans="2:13" x14ac:dyDescent="0.3">
      <c r="B239" s="6" t="s">
        <v>234</v>
      </c>
      <c r="C239" s="6"/>
      <c r="D239" s="14">
        <v>1072.2</v>
      </c>
      <c r="E239" s="14">
        <v>878.7</v>
      </c>
      <c r="F239" s="14">
        <v>1389.1</v>
      </c>
      <c r="G239" s="14">
        <v>1176.9000000000001</v>
      </c>
      <c r="H239" s="14">
        <v>470.1</v>
      </c>
      <c r="I239" s="14">
        <v>1699.1</v>
      </c>
      <c r="J239" s="14">
        <v>756.3</v>
      </c>
      <c r="K239" s="14">
        <v>1157.5999999999999</v>
      </c>
      <c r="L239" s="14">
        <v>1294.2</v>
      </c>
      <c r="M239" s="14">
        <v>1373.3</v>
      </c>
    </row>
    <row r="240" spans="2:13" x14ac:dyDescent="0.3">
      <c r="B240" s="6" t="s">
        <v>235</v>
      </c>
      <c r="C240" s="6"/>
      <c r="D240" s="14">
        <v>69.5</v>
      </c>
      <c r="E240" s="14">
        <v>74.7</v>
      </c>
      <c r="F240" s="14">
        <v>96.6</v>
      </c>
      <c r="G240" s="14">
        <v>137.1</v>
      </c>
      <c r="H240" s="14">
        <v>299.5</v>
      </c>
      <c r="I240" s="14">
        <v>396.9</v>
      </c>
      <c r="J240" s="14">
        <v>501.1</v>
      </c>
      <c r="K240" s="14">
        <v>474.7</v>
      </c>
      <c r="L240" s="14">
        <v>524.29999999999995</v>
      </c>
      <c r="M240" s="14">
        <v>570.70000000000005</v>
      </c>
    </row>
    <row r="241" spans="2:13" x14ac:dyDescent="0.3">
      <c r="B241" s="6" t="s">
        <v>76</v>
      </c>
      <c r="C241" s="6"/>
      <c r="D241" s="11"/>
      <c r="E241" s="11"/>
      <c r="F241" s="11"/>
      <c r="G241" s="11"/>
      <c r="H241" s="11"/>
      <c r="I241" s="11"/>
      <c r="J241" s="11"/>
      <c r="K241" s="11"/>
      <c r="L241" s="11"/>
      <c r="M241" s="11"/>
    </row>
    <row r="242" spans="2:13" x14ac:dyDescent="0.3">
      <c r="B242" s="6" t="s">
        <v>88</v>
      </c>
      <c r="C242" s="6"/>
      <c r="D242" s="11"/>
      <c r="E242" s="11"/>
      <c r="F242" s="11"/>
      <c r="G242" s="11"/>
      <c r="H242" s="11"/>
      <c r="I242" s="11"/>
      <c r="J242" s="11"/>
      <c r="K242" s="11"/>
      <c r="L242" s="11"/>
      <c r="M242" s="11"/>
    </row>
    <row r="243" spans="2:13" x14ac:dyDescent="0.3">
      <c r="B243" s="21" t="s">
        <v>91</v>
      </c>
      <c r="C243" s="21"/>
      <c r="D243" s="13">
        <v>4534.8</v>
      </c>
      <c r="E243" s="13">
        <v>5202</v>
      </c>
      <c r="F243" s="13">
        <v>5201.8</v>
      </c>
      <c r="G243" s="13">
        <v>5189.2</v>
      </c>
      <c r="H243" s="13">
        <v>5527.2</v>
      </c>
      <c r="I243" s="13">
        <v>4638.5</v>
      </c>
      <c r="J243" s="13">
        <v>7975.4</v>
      </c>
      <c r="K243" s="13">
        <v>7702</v>
      </c>
      <c r="L243" s="13">
        <v>8922.1</v>
      </c>
      <c r="M243" s="13">
        <v>8724.7000000000007</v>
      </c>
    </row>
    <row r="244" spans="2:13" x14ac:dyDescent="0.3">
      <c r="B244" s="21" t="s">
        <v>236</v>
      </c>
      <c r="C244" s="21"/>
      <c r="D244" s="18">
        <v>23.6647</v>
      </c>
      <c r="E244" s="18">
        <v>24.404299999999999</v>
      </c>
      <c r="F244" s="18">
        <v>23.236000000000001</v>
      </c>
      <c r="G244" s="18">
        <v>20.9923</v>
      </c>
      <c r="H244" s="18">
        <v>20.8506</v>
      </c>
      <c r="I244" s="18">
        <v>19.723199999999999</v>
      </c>
      <c r="J244" s="18">
        <v>27.443999999999999</v>
      </c>
      <c r="K244" s="18">
        <v>23.881900000000002</v>
      </c>
      <c r="L244" s="18">
        <v>24.8004</v>
      </c>
      <c r="M244" s="18">
        <v>24.1172</v>
      </c>
    </row>
    <row r="245" spans="2:13" x14ac:dyDescent="0.3">
      <c r="B245" s="21" t="s">
        <v>237</v>
      </c>
      <c r="C245" s="21"/>
      <c r="D245" s="13">
        <v>284.3</v>
      </c>
      <c r="E245" s="13">
        <v>0</v>
      </c>
      <c r="F245" s="13">
        <v>0</v>
      </c>
      <c r="G245" s="13">
        <v>0</v>
      </c>
      <c r="H245" s="13">
        <v>0</v>
      </c>
      <c r="I245" s="13">
        <v>0</v>
      </c>
      <c r="J245" s="13">
        <v>0</v>
      </c>
      <c r="K245" s="13">
        <v>0</v>
      </c>
      <c r="L245" s="13">
        <v>0</v>
      </c>
      <c r="M245" s="13">
        <v>0</v>
      </c>
    </row>
    <row r="246" spans="2:13" x14ac:dyDescent="0.3">
      <c r="B246" s="12" t="s">
        <v>238</v>
      </c>
      <c r="C246" s="21"/>
      <c r="D246" s="13">
        <v>56.9</v>
      </c>
      <c r="E246" s="13">
        <v>0</v>
      </c>
      <c r="F246" s="13">
        <v>0</v>
      </c>
      <c r="G246" s="13">
        <v>0</v>
      </c>
      <c r="H246" s="13">
        <v>0</v>
      </c>
      <c r="I246" s="13">
        <v>0</v>
      </c>
      <c r="J246" s="13">
        <v>0</v>
      </c>
      <c r="K246" s="13">
        <v>0</v>
      </c>
      <c r="L246" s="13">
        <v>0</v>
      </c>
      <c r="M246" s="13">
        <v>0</v>
      </c>
    </row>
    <row r="247" spans="2:13" x14ac:dyDescent="0.3">
      <c r="B247" s="21" t="s">
        <v>239</v>
      </c>
      <c r="C247" s="21"/>
      <c r="D247" s="13">
        <v>2445.4</v>
      </c>
      <c r="E247" s="13">
        <v>3257.6</v>
      </c>
      <c r="F247" s="13">
        <v>2732.4</v>
      </c>
      <c r="G247" s="13">
        <v>9961.4</v>
      </c>
      <c r="H247" s="13">
        <v>3240.4</v>
      </c>
      <c r="I247" s="13">
        <v>114.2</v>
      </c>
      <c r="J247" s="13">
        <v>4519.1000000000004</v>
      </c>
      <c r="K247" s="13">
        <v>2556</v>
      </c>
      <c r="L247" s="13">
        <v>3675.1</v>
      </c>
      <c r="M247" s="13">
        <v>3318.1</v>
      </c>
    </row>
    <row r="248" spans="2:13" x14ac:dyDescent="0.3">
      <c r="B248" s="21" t="s">
        <v>240</v>
      </c>
      <c r="C248" s="21"/>
      <c r="D248" s="13">
        <v>2495.2413000000001</v>
      </c>
      <c r="E248" s="13">
        <v>3312.1840000000002</v>
      </c>
      <c r="F248" s="13">
        <v>2794.2073999999998</v>
      </c>
      <c r="G248" s="13">
        <v>10094.516900000001</v>
      </c>
      <c r="H248" s="13">
        <v>3506.8038000000001</v>
      </c>
      <c r="I248" s="13">
        <v>461.2405</v>
      </c>
      <c r="J248" s="13">
        <v>4887.4661999999998</v>
      </c>
      <c r="K248" s="13">
        <v>2930.6671000000001</v>
      </c>
      <c r="L248" s="13">
        <v>4095.1369</v>
      </c>
      <c r="M248" s="13">
        <v>3743.5693999999999</v>
      </c>
    </row>
    <row r="249" spans="2:13" x14ac:dyDescent="0.3">
      <c r="B249" s="21" t="s">
        <v>241</v>
      </c>
      <c r="C249" s="21"/>
      <c r="D249" s="13">
        <v>2683.8</v>
      </c>
      <c r="E249" s="13">
        <v>4512.1000000000004</v>
      </c>
      <c r="F249" s="13">
        <v>3082.6</v>
      </c>
      <c r="G249" s="13">
        <v>15545.5</v>
      </c>
      <c r="H249" s="13">
        <v>4886.3999999999996</v>
      </c>
      <c r="I249" s="13">
        <v>5280.7</v>
      </c>
      <c r="J249" s="13">
        <v>2837.9</v>
      </c>
      <c r="K249" s="13">
        <v>3229.1</v>
      </c>
      <c r="L249" s="13">
        <v>4143.7</v>
      </c>
      <c r="M249" s="13">
        <v>3454.6</v>
      </c>
    </row>
    <row r="250" spans="2:13" x14ac:dyDescent="0.3">
      <c r="B250" s="21" t="s">
        <v>242</v>
      </c>
      <c r="C250" s="21"/>
      <c r="D250" s="18">
        <v>1.6347</v>
      </c>
      <c r="E250" s="18">
        <v>2.2136</v>
      </c>
      <c r="F250" s="18">
        <v>1.8851</v>
      </c>
      <c r="G250" s="18">
        <v>7.2042999999999999</v>
      </c>
      <c r="H250" s="18">
        <v>2.6535000000000002</v>
      </c>
      <c r="I250" s="18">
        <v>9.74E-2</v>
      </c>
      <c r="J250" s="18">
        <v>3.8376000000000001</v>
      </c>
      <c r="K250" s="18">
        <v>2.2162000000000002</v>
      </c>
      <c r="L250" s="18">
        <v>3.2046999999999999</v>
      </c>
      <c r="M250" s="18">
        <v>2.9264999999999999</v>
      </c>
    </row>
    <row r="251" spans="2:13" x14ac:dyDescent="0.3">
      <c r="B251" s="21" t="s">
        <v>243</v>
      </c>
      <c r="C251" s="21"/>
      <c r="D251" s="18">
        <v>35.473599999999998</v>
      </c>
      <c r="E251" s="18">
        <v>24.4574</v>
      </c>
      <c r="F251" s="18">
        <v>28.4924</v>
      </c>
      <c r="G251" s="18">
        <v>7.8897000000000004</v>
      </c>
      <c r="H251" s="18">
        <v>33.303699999999999</v>
      </c>
      <c r="I251" s="18">
        <v>865.73590000000002</v>
      </c>
      <c r="J251" s="18">
        <v>29.425000000000001</v>
      </c>
      <c r="K251" s="18">
        <v>38.019199999999998</v>
      </c>
      <c r="L251" s="18">
        <v>28.480399999999999</v>
      </c>
      <c r="M251" s="18">
        <v>33.268099999999997</v>
      </c>
    </row>
    <row r="252" spans="2:13" x14ac:dyDescent="0.3">
      <c r="B252" s="23" t="s">
        <v>244</v>
      </c>
      <c r="C252" s="23"/>
      <c r="D252" s="18">
        <v>1.3596999999999999</v>
      </c>
      <c r="E252" s="18">
        <v>1.6673</v>
      </c>
      <c r="F252" s="18">
        <v>1.4739</v>
      </c>
      <c r="G252" s="18">
        <v>2.6421000000000001</v>
      </c>
      <c r="H252" s="18">
        <v>1.4023000000000001</v>
      </c>
      <c r="I252" s="18">
        <v>1.7212000000000001</v>
      </c>
      <c r="J252" s="18">
        <v>1.4261999999999999</v>
      </c>
      <c r="K252" s="18">
        <v>1.34</v>
      </c>
      <c r="L252" s="18">
        <v>1.4568000000000001</v>
      </c>
      <c r="M252" s="18">
        <v>1.6208</v>
      </c>
    </row>
    <row r="253" spans="2:13" x14ac:dyDescent="0.3">
      <c r="B253" s="24" t="s">
        <v>104</v>
      </c>
      <c r="C253" s="24"/>
      <c r="D253" s="8" t="s">
        <v>192</v>
      </c>
      <c r="E253" s="8"/>
      <c r="F253" s="8"/>
      <c r="G253" s="8"/>
      <c r="H253" s="8"/>
      <c r="I253" s="9" t="s">
        <v>76</v>
      </c>
      <c r="J253" s="9" t="s">
        <v>76</v>
      </c>
      <c r="K253" s="9" t="s">
        <v>76</v>
      </c>
      <c r="L253" s="9" t="s">
        <v>76</v>
      </c>
      <c r="M253" s="9" t="s">
        <v>76</v>
      </c>
    </row>
    <row r="256" spans="2:13" ht="20.100000000000001" customHeight="1" x14ac:dyDescent="0.3">
      <c r="B256" s="297" t="s">
        <v>245</v>
      </c>
      <c r="C256" s="298"/>
      <c r="D256" s="298"/>
      <c r="E256" s="298"/>
      <c r="F256" s="298"/>
      <c r="G256" s="298"/>
      <c r="H256" s="298"/>
      <c r="I256" s="298"/>
      <c r="J256" s="298"/>
      <c r="K256" s="298"/>
      <c r="L256" s="298"/>
      <c r="M256" s="298"/>
    </row>
    <row r="257" spans="2:13" x14ac:dyDescent="0.3">
      <c r="B257" s="219" t="s">
        <v>246</v>
      </c>
      <c r="C257" s="219"/>
      <c r="D257" s="220" t="s">
        <v>247</v>
      </c>
      <c r="E257" s="220" t="s">
        <v>248</v>
      </c>
      <c r="F257" s="220" t="s">
        <v>249</v>
      </c>
      <c r="G257" s="220" t="s">
        <v>250</v>
      </c>
      <c r="H257" s="220" t="s">
        <v>251</v>
      </c>
      <c r="I257" s="220" t="s">
        <v>252</v>
      </c>
      <c r="J257" s="220" t="s">
        <v>253</v>
      </c>
      <c r="K257" s="220" t="s">
        <v>254</v>
      </c>
      <c r="L257" s="220" t="s">
        <v>255</v>
      </c>
      <c r="M257" s="220" t="s">
        <v>256</v>
      </c>
    </row>
    <row r="258" spans="2:13" x14ac:dyDescent="0.3">
      <c r="B258" s="221" t="s">
        <v>12</v>
      </c>
      <c r="C258" s="221"/>
      <c r="D258" s="222">
        <v>42274</v>
      </c>
      <c r="E258" s="222">
        <v>42645</v>
      </c>
      <c r="F258" s="222">
        <v>43009</v>
      </c>
      <c r="G258" s="222">
        <v>43373</v>
      </c>
      <c r="H258" s="222">
        <v>43737</v>
      </c>
      <c r="I258" s="222">
        <v>44101</v>
      </c>
      <c r="J258" s="222">
        <v>44472</v>
      </c>
      <c r="K258" s="222">
        <v>44836</v>
      </c>
      <c r="L258" s="222">
        <v>45200</v>
      </c>
      <c r="M258" s="222">
        <v>45564</v>
      </c>
    </row>
    <row r="259" spans="2:13" x14ac:dyDescent="0.3">
      <c r="B259" s="12" t="s">
        <v>257</v>
      </c>
      <c r="C259" s="38"/>
      <c r="D259" s="18">
        <v>19162.7</v>
      </c>
      <c r="E259" s="18">
        <v>21315.9</v>
      </c>
      <c r="F259" s="18">
        <v>22386.799999999999</v>
      </c>
      <c r="G259" s="18">
        <v>24719.5</v>
      </c>
      <c r="H259" s="18">
        <v>26508.6</v>
      </c>
      <c r="I259" s="18">
        <v>23518</v>
      </c>
      <c r="J259" s="18">
        <v>29060.6</v>
      </c>
      <c r="K259" s="18">
        <v>32250.3</v>
      </c>
      <c r="L259" s="18">
        <v>35975.599999999999</v>
      </c>
      <c r="M259" s="18">
        <v>36176.199999999997</v>
      </c>
    </row>
    <row r="260" spans="2:13" x14ac:dyDescent="0.3">
      <c r="B260" s="12" t="s">
        <v>258</v>
      </c>
      <c r="C260" s="38"/>
      <c r="D260" s="18">
        <v>15197.3</v>
      </c>
      <c r="E260" s="18">
        <v>16844.099999999999</v>
      </c>
      <c r="F260" s="18">
        <v>17650.7</v>
      </c>
      <c r="G260" s="18">
        <v>19690.3</v>
      </c>
      <c r="H260" s="18">
        <v>21544.400000000001</v>
      </c>
      <c r="I260" s="18">
        <v>19164.599999999999</v>
      </c>
      <c r="J260" s="18">
        <v>24607</v>
      </c>
      <c r="K260" s="18">
        <v>26576.1</v>
      </c>
      <c r="L260" s="18">
        <v>29462.3</v>
      </c>
      <c r="M260" s="18">
        <v>29765.9</v>
      </c>
    </row>
    <row r="261" spans="2:13" x14ac:dyDescent="0.3">
      <c r="B261" s="12" t="s">
        <v>259</v>
      </c>
      <c r="C261" s="38"/>
      <c r="D261" s="43">
        <v>79.306673902946869</v>
      </c>
      <c r="E261" s="18">
        <v>79.021293963660924</v>
      </c>
      <c r="F261" s="18">
        <v>78.844229635320815</v>
      </c>
      <c r="G261" s="18">
        <v>79.65492829547523</v>
      </c>
      <c r="H261" s="18">
        <v>81.273247172615683</v>
      </c>
      <c r="I261" s="18">
        <v>81.489072200017006</v>
      </c>
      <c r="J261" s="18">
        <v>84.674783039579367</v>
      </c>
      <c r="K261" s="18">
        <v>82.40574506283663</v>
      </c>
      <c r="L261" s="18">
        <v>81.895228988536672</v>
      </c>
      <c r="M261" s="18">
        <v>82.280339007413716</v>
      </c>
    </row>
    <row r="262" spans="2:13" x14ac:dyDescent="0.3">
      <c r="B262" s="12" t="s">
        <v>260</v>
      </c>
      <c r="C262" s="38"/>
      <c r="D262" s="18">
        <v>11094.029</v>
      </c>
      <c r="E262" s="18">
        <v>12464.634</v>
      </c>
      <c r="F262" s="18">
        <v>12885.011</v>
      </c>
      <c r="G262" s="18">
        <v>14570.822</v>
      </c>
      <c r="H262" s="18">
        <v>15942.856</v>
      </c>
      <c r="I262" s="18">
        <v>14373.45</v>
      </c>
      <c r="J262" s="18">
        <v>18209.18</v>
      </c>
      <c r="K262" s="18">
        <v>19666.313999999998</v>
      </c>
      <c r="L262" s="18">
        <v>21802.101999999999</v>
      </c>
      <c r="M262" s="18">
        <v>22026.766</v>
      </c>
    </row>
    <row r="263" spans="2:13" x14ac:dyDescent="0.3">
      <c r="B263" s="12" t="s">
        <v>261</v>
      </c>
      <c r="C263" s="38"/>
      <c r="D263" s="18">
        <v>57.893871949151219</v>
      </c>
      <c r="E263" s="18">
        <v>58.475757533109089</v>
      </c>
      <c r="F263" s="18">
        <v>57.556287633784194</v>
      </c>
      <c r="G263" s="18">
        <v>58.944646938651672</v>
      </c>
      <c r="H263" s="18">
        <v>60.142202907735602</v>
      </c>
      <c r="I263" s="18">
        <v>61.116804150012754</v>
      </c>
      <c r="J263" s="18">
        <v>62.65933944928873</v>
      </c>
      <c r="K263" s="18">
        <v>60.980251346499102</v>
      </c>
      <c r="L263" s="18">
        <v>60.602469451517138</v>
      </c>
      <c r="M263" s="18">
        <v>60.887450865486151</v>
      </c>
    </row>
    <row r="264" spans="2:13" x14ac:dyDescent="0.3">
      <c r="B264" s="12" t="s">
        <v>262</v>
      </c>
      <c r="C264" s="38"/>
      <c r="D264" s="18">
        <v>2887.4870000000001</v>
      </c>
      <c r="E264" s="18">
        <v>3200.3789999999999</v>
      </c>
      <c r="F264" s="18">
        <v>3530.14</v>
      </c>
      <c r="G264" s="18">
        <v>3938.06</v>
      </c>
      <c r="H264" s="18">
        <v>4308.88</v>
      </c>
      <c r="I264" s="18">
        <v>3832.92</v>
      </c>
      <c r="J264" s="18">
        <v>5167.47</v>
      </c>
      <c r="K264" s="18">
        <v>5846.7420000000002</v>
      </c>
      <c r="L264" s="18">
        <v>6481.7060000000001</v>
      </c>
      <c r="M264" s="18">
        <v>6548.4979999999996</v>
      </c>
    </row>
    <row r="265" spans="2:13" x14ac:dyDescent="0.3">
      <c r="B265" s="12" t="s">
        <v>261</v>
      </c>
      <c r="C265" s="38"/>
      <c r="D265" s="18">
        <v>15.068268041559906</v>
      </c>
      <c r="E265" s="18">
        <v>15.014045853095576</v>
      </c>
      <c r="F265" s="18">
        <v>15.768845927064163</v>
      </c>
      <c r="G265" s="18">
        <v>15.930985659095047</v>
      </c>
      <c r="H265" s="18">
        <v>16.254649434523134</v>
      </c>
      <c r="I265" s="18">
        <v>16.297814440003403</v>
      </c>
      <c r="J265" s="18">
        <v>17.781704438311667</v>
      </c>
      <c r="K265" s="18">
        <v>18.129263913824058</v>
      </c>
      <c r="L265" s="18">
        <v>18.016950377478068</v>
      </c>
      <c r="M265" s="18">
        <v>18.101674581631016</v>
      </c>
    </row>
    <row r="266" spans="2:13" x14ac:dyDescent="0.3">
      <c r="B266" s="12" t="s">
        <v>263</v>
      </c>
      <c r="C266" s="38"/>
      <c r="D266" s="18">
        <v>759.86500000000001</v>
      </c>
      <c r="E266" s="18">
        <v>673.76400000000001</v>
      </c>
      <c r="F266" s="18">
        <v>706.02800000000002</v>
      </c>
      <c r="G266" s="18">
        <v>787.61199999999997</v>
      </c>
      <c r="H266" s="18">
        <v>1292.664</v>
      </c>
      <c r="I266" s="18">
        <v>958.23</v>
      </c>
      <c r="J266" s="18">
        <v>1230.3499999999999</v>
      </c>
      <c r="K266" s="18">
        <v>1063.0440000000001</v>
      </c>
      <c r="L266" s="18">
        <v>1178.492</v>
      </c>
      <c r="M266" s="18">
        <v>1190.636</v>
      </c>
    </row>
    <row r="267" spans="2:13" x14ac:dyDescent="0.3">
      <c r="B267" s="12" t="s">
        <v>261</v>
      </c>
      <c r="C267" s="38"/>
      <c r="D267" s="18">
        <v>3.9653336951473435</v>
      </c>
      <c r="E267" s="18">
        <v>3.1608517585464373</v>
      </c>
      <c r="F267" s="18">
        <v>3.1537691854128327</v>
      </c>
      <c r="G267" s="18">
        <v>3.1861971318190094</v>
      </c>
      <c r="H267" s="18">
        <v>4.8763948303569409</v>
      </c>
      <c r="I267" s="18">
        <v>4.0744536100008508</v>
      </c>
      <c r="J267" s="18">
        <v>4.233739151978968</v>
      </c>
      <c r="K267" s="18">
        <v>3.2962298025134653</v>
      </c>
      <c r="L267" s="18">
        <v>3.2758091595414669</v>
      </c>
      <c r="M267" s="18">
        <v>3.2912135602965487</v>
      </c>
    </row>
    <row r="268" spans="2:13" x14ac:dyDescent="0.3">
      <c r="B268" s="12" t="s">
        <v>264</v>
      </c>
      <c r="C268" s="38"/>
      <c r="D268" s="18">
        <v>1861.9</v>
      </c>
      <c r="E268" s="18">
        <v>2154.1999999999998</v>
      </c>
      <c r="F268" s="18">
        <v>2355</v>
      </c>
      <c r="G268" s="18">
        <v>2652.2</v>
      </c>
      <c r="H268" s="18">
        <v>2875</v>
      </c>
      <c r="I268" s="18">
        <v>2327.1</v>
      </c>
      <c r="J268" s="18">
        <v>2683.6</v>
      </c>
      <c r="K268" s="18">
        <v>3655.5</v>
      </c>
      <c r="L268" s="18">
        <v>4512.7</v>
      </c>
      <c r="M268" s="18">
        <v>4505.1000000000004</v>
      </c>
    </row>
    <row r="269" spans="2:13" x14ac:dyDescent="0.3">
      <c r="B269" s="12" t="s">
        <v>259</v>
      </c>
      <c r="C269" s="38"/>
      <c r="D269" s="43">
        <v>9.7162717153637015</v>
      </c>
      <c r="E269" s="18">
        <v>10.106071054940209</v>
      </c>
      <c r="F269" s="18">
        <v>10.51959190237104</v>
      </c>
      <c r="G269" s="18">
        <v>10.729181415481705</v>
      </c>
      <c r="H269" s="18">
        <v>10.845536920093856</v>
      </c>
      <c r="I269" s="18">
        <v>9.8949740624202747</v>
      </c>
      <c r="J269" s="18">
        <v>9.2344961907187049</v>
      </c>
      <c r="K269" s="18">
        <v>11.334778281132268</v>
      </c>
      <c r="L269" s="18">
        <v>12.543779672889404</v>
      </c>
      <c r="M269" s="18">
        <v>12.453215097218614</v>
      </c>
    </row>
    <row r="270" spans="2:13" x14ac:dyDescent="0.3">
      <c r="B270" s="12" t="s">
        <v>265</v>
      </c>
      <c r="C270" s="38"/>
      <c r="D270" s="18">
        <v>2103.5</v>
      </c>
      <c r="E270" s="18">
        <v>2317.6</v>
      </c>
      <c r="F270" s="18">
        <v>2381.1</v>
      </c>
      <c r="G270" s="18">
        <v>2377</v>
      </c>
      <c r="H270" s="18">
        <v>2089.1999999999998</v>
      </c>
      <c r="I270" s="18">
        <v>2026.3</v>
      </c>
      <c r="J270" s="18">
        <v>1770</v>
      </c>
      <c r="K270" s="18">
        <v>2018.7</v>
      </c>
      <c r="L270" s="18">
        <v>2000.6</v>
      </c>
      <c r="M270" s="18">
        <v>1905.2</v>
      </c>
    </row>
    <row r="271" spans="2:13" x14ac:dyDescent="0.3">
      <c r="B271" s="12" t="s">
        <v>259</v>
      </c>
      <c r="C271" s="38"/>
      <c r="D271" s="43">
        <v>10.977054381689427</v>
      </c>
      <c r="E271" s="18">
        <v>10.872634981398862</v>
      </c>
      <c r="F271" s="18">
        <v>10.636178462308147</v>
      </c>
      <c r="G271" s="18">
        <v>9.6158902890430635</v>
      </c>
      <c r="H271" s="18">
        <v>7.8812159072904633</v>
      </c>
      <c r="I271" s="18">
        <v>8.6159537375627178</v>
      </c>
      <c r="J271" s="18">
        <v>6.0907207697019334</v>
      </c>
      <c r="K271" s="18">
        <v>6.259476656031107</v>
      </c>
      <c r="L271" s="18">
        <v>5.5609913385739222</v>
      </c>
      <c r="M271" s="18">
        <v>5.2664458953676725</v>
      </c>
    </row>
    <row r="272" spans="2:13" x14ac:dyDescent="0.3">
      <c r="B272" s="12" t="s">
        <v>266</v>
      </c>
      <c r="C272" s="38"/>
      <c r="D272" s="18"/>
      <c r="E272" s="18"/>
      <c r="F272" s="18"/>
      <c r="G272" s="18"/>
      <c r="H272" s="18"/>
      <c r="I272" s="18"/>
      <c r="J272" s="18"/>
      <c r="K272" s="18"/>
      <c r="L272" s="18"/>
      <c r="M272" s="18"/>
    </row>
    <row r="273" spans="2:13" x14ac:dyDescent="0.3">
      <c r="B273" s="12" t="s">
        <v>267</v>
      </c>
      <c r="C273" s="38"/>
      <c r="D273" s="18">
        <v>455.91899999999998</v>
      </c>
      <c r="E273" s="18">
        <v>505.32299999999998</v>
      </c>
      <c r="F273" s="18">
        <v>529.52099999999996</v>
      </c>
      <c r="G273" s="18">
        <v>393.80599999999998</v>
      </c>
      <c r="H273" s="18">
        <v>215.44399999999999</v>
      </c>
      <c r="I273" s="18">
        <v>191.64599999999999</v>
      </c>
      <c r="J273" s="18" t="s">
        <v>268</v>
      </c>
      <c r="K273" s="18" t="s">
        <v>268</v>
      </c>
      <c r="L273" s="18" t="s">
        <v>268</v>
      </c>
      <c r="M273" s="18" t="s">
        <v>268</v>
      </c>
    </row>
    <row r="274" spans="2:13" x14ac:dyDescent="0.3">
      <c r="B274" s="12" t="s">
        <v>269</v>
      </c>
      <c r="C274" s="38"/>
      <c r="D274" s="18" t="s">
        <v>268</v>
      </c>
      <c r="E274" s="18" t="s">
        <v>268</v>
      </c>
      <c r="F274" s="18" t="s">
        <v>268</v>
      </c>
      <c r="G274" s="18" t="s">
        <v>268</v>
      </c>
      <c r="H274" s="18" t="s">
        <v>268</v>
      </c>
      <c r="I274" s="18" t="s">
        <v>268</v>
      </c>
      <c r="J274" s="18" t="s">
        <v>268</v>
      </c>
      <c r="K274" s="18" t="s">
        <v>268</v>
      </c>
      <c r="L274" s="18" t="s">
        <v>268</v>
      </c>
      <c r="M274" s="18" t="s">
        <v>268</v>
      </c>
    </row>
    <row r="275" spans="2:13" x14ac:dyDescent="0.3">
      <c r="B275" s="12" t="s">
        <v>270</v>
      </c>
      <c r="C275" s="38"/>
      <c r="D275" s="18" t="s">
        <v>268</v>
      </c>
      <c r="E275" s="18" t="s">
        <v>268</v>
      </c>
      <c r="F275" s="18" t="s">
        <v>268</v>
      </c>
      <c r="G275" s="18" t="s">
        <v>268</v>
      </c>
      <c r="H275" s="18" t="s">
        <v>268</v>
      </c>
      <c r="I275" s="18" t="s">
        <v>268</v>
      </c>
      <c r="J275" s="18" t="s">
        <v>268</v>
      </c>
      <c r="K275" s="18" t="s">
        <v>268</v>
      </c>
      <c r="L275" s="18" t="s">
        <v>268</v>
      </c>
      <c r="M275" s="18" t="s">
        <v>268</v>
      </c>
    </row>
    <row r="276" spans="2:13" x14ac:dyDescent="0.3">
      <c r="B276" s="12" t="s">
        <v>271</v>
      </c>
      <c r="C276" s="38"/>
      <c r="D276" s="18" t="s">
        <v>268</v>
      </c>
      <c r="E276" s="18" t="s">
        <v>268</v>
      </c>
      <c r="F276" s="18" t="s">
        <v>268</v>
      </c>
      <c r="G276" s="18" t="s">
        <v>268</v>
      </c>
      <c r="H276" s="18" t="s">
        <v>268</v>
      </c>
      <c r="I276" s="18" t="s">
        <v>268</v>
      </c>
      <c r="J276" s="18" t="s">
        <v>268</v>
      </c>
      <c r="K276" s="18" t="s">
        <v>268</v>
      </c>
      <c r="L276" s="18" t="s">
        <v>268</v>
      </c>
      <c r="M276" s="18" t="s">
        <v>268</v>
      </c>
    </row>
    <row r="277" spans="2:13" x14ac:dyDescent="0.3">
      <c r="B277" s="12" t="s">
        <v>272</v>
      </c>
      <c r="C277" s="38"/>
      <c r="D277" s="18" t="s">
        <v>268</v>
      </c>
      <c r="E277" s="18" t="s">
        <v>268</v>
      </c>
      <c r="F277" s="18" t="s">
        <v>268</v>
      </c>
      <c r="G277" s="18" t="s">
        <v>268</v>
      </c>
      <c r="H277" s="18" t="s">
        <v>268</v>
      </c>
      <c r="I277" s="18" t="s">
        <v>268</v>
      </c>
      <c r="J277" s="18" t="s">
        <v>268</v>
      </c>
      <c r="K277" s="18" t="s">
        <v>268</v>
      </c>
      <c r="L277" s="18" t="s">
        <v>268</v>
      </c>
      <c r="M277" s="18" t="s">
        <v>268</v>
      </c>
    </row>
    <row r="278" spans="2:13" x14ac:dyDescent="0.3">
      <c r="B278" s="12" t="s">
        <v>273</v>
      </c>
      <c r="C278" s="38"/>
      <c r="D278" s="18"/>
      <c r="E278" s="18"/>
      <c r="F278" s="18"/>
      <c r="G278" s="18"/>
      <c r="H278" s="18"/>
      <c r="I278" s="18"/>
      <c r="J278" s="18"/>
      <c r="K278" s="18"/>
      <c r="L278" s="18"/>
      <c r="M278" s="18"/>
    </row>
    <row r="279" spans="2:13" x14ac:dyDescent="0.3">
      <c r="B279" s="12" t="s">
        <v>274</v>
      </c>
      <c r="C279" s="38"/>
      <c r="D279" s="18" t="s">
        <v>268</v>
      </c>
      <c r="E279" s="18" t="s">
        <v>268</v>
      </c>
      <c r="F279" s="18" t="s">
        <v>268</v>
      </c>
      <c r="G279" s="18" t="s">
        <v>268</v>
      </c>
      <c r="H279" s="18" t="s">
        <v>268</v>
      </c>
      <c r="I279" s="18" t="s">
        <v>268</v>
      </c>
      <c r="J279" s="18" t="s">
        <v>268</v>
      </c>
      <c r="K279" s="18" t="s">
        <v>268</v>
      </c>
      <c r="L279" s="18" t="s">
        <v>268</v>
      </c>
      <c r="M279" s="18" t="s">
        <v>268</v>
      </c>
    </row>
    <row r="280" spans="2:13" x14ac:dyDescent="0.3">
      <c r="B280" s="12" t="s">
        <v>258</v>
      </c>
      <c r="C280" s="38"/>
      <c r="D280" s="18">
        <v>79.3</v>
      </c>
      <c r="E280" s="18">
        <v>79</v>
      </c>
      <c r="F280" s="18">
        <v>78.8</v>
      </c>
      <c r="G280" s="18">
        <v>79.7</v>
      </c>
      <c r="H280" s="18">
        <v>81.3</v>
      </c>
      <c r="I280" s="18">
        <v>81.5</v>
      </c>
      <c r="J280" s="18">
        <v>84.7</v>
      </c>
      <c r="K280" s="18">
        <v>82.4</v>
      </c>
      <c r="L280" s="18">
        <v>81.900000000000006</v>
      </c>
      <c r="M280" s="18">
        <v>82.3</v>
      </c>
    </row>
    <row r="281" spans="2:13" x14ac:dyDescent="0.3">
      <c r="B281" s="12" t="s">
        <v>259</v>
      </c>
      <c r="C281" s="38"/>
      <c r="D281" s="18" t="s">
        <v>268</v>
      </c>
      <c r="E281" s="18" t="s">
        <v>268</v>
      </c>
      <c r="F281" s="18" t="s">
        <v>268</v>
      </c>
      <c r="G281" s="18" t="s">
        <v>268</v>
      </c>
      <c r="H281" s="18" t="s">
        <v>268</v>
      </c>
      <c r="I281" s="18" t="s">
        <v>268</v>
      </c>
      <c r="J281" s="18" t="s">
        <v>268</v>
      </c>
      <c r="K281" s="18" t="s">
        <v>268</v>
      </c>
      <c r="L281" s="18" t="s">
        <v>268</v>
      </c>
      <c r="M281" s="18" t="s">
        <v>268</v>
      </c>
    </row>
    <row r="282" spans="2:13" x14ac:dyDescent="0.3">
      <c r="B282" s="12" t="s">
        <v>264</v>
      </c>
      <c r="C282" s="38"/>
      <c r="D282" s="18">
        <v>9.6999999999999993</v>
      </c>
      <c r="E282" s="18">
        <v>10.1</v>
      </c>
      <c r="F282" s="18">
        <v>10.5</v>
      </c>
      <c r="G282" s="18">
        <v>10.7</v>
      </c>
      <c r="H282" s="18">
        <v>10.8</v>
      </c>
      <c r="I282" s="18">
        <v>9.9</v>
      </c>
      <c r="J282" s="18">
        <v>9.1999999999999993</v>
      </c>
      <c r="K282" s="18">
        <v>11.3</v>
      </c>
      <c r="L282" s="18">
        <v>12.5</v>
      </c>
      <c r="M282" s="18">
        <v>12.5</v>
      </c>
    </row>
    <row r="283" spans="2:13" x14ac:dyDescent="0.3">
      <c r="B283" s="12" t="s">
        <v>259</v>
      </c>
      <c r="C283" s="38"/>
      <c r="D283" s="18" t="s">
        <v>268</v>
      </c>
      <c r="E283" s="18" t="s">
        <v>268</v>
      </c>
      <c r="F283" s="18" t="s">
        <v>268</v>
      </c>
      <c r="G283" s="18" t="s">
        <v>268</v>
      </c>
      <c r="H283" s="18" t="s">
        <v>268</v>
      </c>
      <c r="I283" s="18" t="s">
        <v>268</v>
      </c>
      <c r="J283" s="18" t="s">
        <v>268</v>
      </c>
      <c r="K283" s="18" t="s">
        <v>268</v>
      </c>
      <c r="L283" s="18" t="s">
        <v>268</v>
      </c>
      <c r="M283" s="18" t="s">
        <v>268</v>
      </c>
    </row>
    <row r="284" spans="2:13" x14ac:dyDescent="0.3">
      <c r="B284" s="12" t="s">
        <v>265</v>
      </c>
      <c r="C284" s="38"/>
      <c r="D284" s="18">
        <v>11</v>
      </c>
      <c r="E284" s="18">
        <v>10.9</v>
      </c>
      <c r="F284" s="18">
        <v>10.7</v>
      </c>
      <c r="G284" s="18">
        <v>9.6</v>
      </c>
      <c r="H284" s="18">
        <v>7.9</v>
      </c>
      <c r="I284" s="18">
        <v>8.6</v>
      </c>
      <c r="J284" s="18">
        <v>6.1</v>
      </c>
      <c r="K284" s="18">
        <v>6.3</v>
      </c>
      <c r="L284" s="18">
        <v>5.6</v>
      </c>
      <c r="M284" s="18">
        <v>5.2</v>
      </c>
    </row>
    <row r="285" spans="2:13" x14ac:dyDescent="0.3">
      <c r="B285" s="12" t="s">
        <v>259</v>
      </c>
      <c r="C285" s="38"/>
      <c r="D285" s="18" t="s">
        <v>268</v>
      </c>
      <c r="E285" s="18" t="s">
        <v>268</v>
      </c>
      <c r="F285" s="18" t="s">
        <v>268</v>
      </c>
      <c r="G285" s="18" t="s">
        <v>268</v>
      </c>
      <c r="H285" s="18" t="s">
        <v>268</v>
      </c>
      <c r="I285" s="18" t="s">
        <v>268</v>
      </c>
      <c r="J285" s="18" t="s">
        <v>268</v>
      </c>
      <c r="K285" s="18" t="s">
        <v>268</v>
      </c>
      <c r="L285" s="18" t="s">
        <v>268</v>
      </c>
      <c r="M285" s="18" t="s">
        <v>268</v>
      </c>
    </row>
    <row r="286" spans="2:13" x14ac:dyDescent="0.3">
      <c r="B286" s="12" t="s">
        <v>266</v>
      </c>
      <c r="C286" s="38"/>
      <c r="D286" s="18"/>
      <c r="E286" s="18"/>
      <c r="F286" s="18"/>
      <c r="G286" s="18"/>
      <c r="H286" s="18"/>
      <c r="I286" s="18"/>
      <c r="J286" s="18"/>
      <c r="K286" s="18"/>
      <c r="L286" s="18"/>
      <c r="M286" s="18"/>
    </row>
    <row r="287" spans="2:13" x14ac:dyDescent="0.3">
      <c r="B287" s="12" t="s">
        <v>269</v>
      </c>
      <c r="C287" s="38"/>
      <c r="D287" s="18" t="s">
        <v>268</v>
      </c>
      <c r="E287" s="18" t="s">
        <v>268</v>
      </c>
      <c r="F287" s="18" t="s">
        <v>268</v>
      </c>
      <c r="G287" s="18" t="s">
        <v>268</v>
      </c>
      <c r="H287" s="18" t="s">
        <v>268</v>
      </c>
      <c r="I287" s="18" t="s">
        <v>268</v>
      </c>
      <c r="J287" s="18" t="s">
        <v>268</v>
      </c>
      <c r="K287" s="18" t="s">
        <v>268</v>
      </c>
      <c r="L287" s="18" t="s">
        <v>268</v>
      </c>
      <c r="M287" s="18" t="s">
        <v>268</v>
      </c>
    </row>
    <row r="288" spans="2:13" x14ac:dyDescent="0.3">
      <c r="B288" s="12" t="s">
        <v>271</v>
      </c>
      <c r="C288" s="38"/>
      <c r="D288" s="18" t="s">
        <v>268</v>
      </c>
      <c r="E288" s="18" t="s">
        <v>268</v>
      </c>
      <c r="F288" s="18" t="s">
        <v>268</v>
      </c>
      <c r="G288" s="18" t="s">
        <v>268</v>
      </c>
      <c r="H288" s="18" t="s">
        <v>268</v>
      </c>
      <c r="I288" s="18" t="s">
        <v>268</v>
      </c>
      <c r="J288" s="18" t="s">
        <v>268</v>
      </c>
      <c r="K288" s="18" t="s">
        <v>268</v>
      </c>
      <c r="L288" s="18" t="s">
        <v>268</v>
      </c>
      <c r="M288" s="18" t="s">
        <v>268</v>
      </c>
    </row>
    <row r="289" spans="2:13" x14ac:dyDescent="0.3">
      <c r="B289" s="12" t="s">
        <v>272</v>
      </c>
      <c r="C289" s="38"/>
      <c r="D289" s="18" t="s">
        <v>268</v>
      </c>
      <c r="E289" s="18" t="s">
        <v>268</v>
      </c>
      <c r="F289" s="18" t="s">
        <v>268</v>
      </c>
      <c r="G289" s="18" t="s">
        <v>268</v>
      </c>
      <c r="H289" s="18" t="s">
        <v>268</v>
      </c>
      <c r="I289" s="18" t="s">
        <v>268</v>
      </c>
      <c r="J289" s="18" t="s">
        <v>268</v>
      </c>
      <c r="K289" s="18" t="s">
        <v>268</v>
      </c>
      <c r="L289" s="18" t="s">
        <v>268</v>
      </c>
      <c r="M289" s="18" t="s">
        <v>268</v>
      </c>
    </row>
    <row r="290" spans="2:13" x14ac:dyDescent="0.3">
      <c r="B290" s="24" t="s">
        <v>104</v>
      </c>
      <c r="C290" s="24"/>
      <c r="D290" s="9" t="s">
        <v>76</v>
      </c>
      <c r="E290" s="9" t="s">
        <v>76</v>
      </c>
      <c r="F290" s="9" t="s">
        <v>76</v>
      </c>
      <c r="G290" s="9" t="s">
        <v>76</v>
      </c>
      <c r="H290" s="9" t="s">
        <v>76</v>
      </c>
      <c r="I290" s="9" t="s">
        <v>76</v>
      </c>
      <c r="J290" s="9" t="s">
        <v>76</v>
      </c>
      <c r="K290" s="9" t="s">
        <v>76</v>
      </c>
      <c r="L290" s="9" t="s">
        <v>76</v>
      </c>
      <c r="M290" s="9" t="s">
        <v>76</v>
      </c>
    </row>
    <row r="294" spans="2:13" ht="21" x14ac:dyDescent="0.3">
      <c r="B294" s="296" t="s">
        <v>275</v>
      </c>
      <c r="C294" s="296"/>
      <c r="D294" s="296"/>
      <c r="E294" s="296"/>
      <c r="F294" s="296"/>
      <c r="G294" s="296"/>
      <c r="H294" s="296"/>
      <c r="I294" s="296"/>
      <c r="J294" s="296"/>
      <c r="K294" s="296"/>
      <c r="L294" s="296"/>
      <c r="M294" s="296"/>
    </row>
    <row r="295" spans="2:13" x14ac:dyDescent="0.3">
      <c r="B295" s="219" t="s">
        <v>1</v>
      </c>
      <c r="C295" s="219"/>
      <c r="D295" s="220" t="s">
        <v>2</v>
      </c>
      <c r="E295" s="220" t="s">
        <v>3</v>
      </c>
      <c r="F295" s="220" t="s">
        <v>4</v>
      </c>
      <c r="G295" s="220" t="s">
        <v>5</v>
      </c>
      <c r="H295" s="220" t="s">
        <v>6</v>
      </c>
      <c r="I295" s="220" t="s">
        <v>7</v>
      </c>
      <c r="J295" s="220" t="s">
        <v>8</v>
      </c>
      <c r="K295" s="220" t="s">
        <v>9</v>
      </c>
      <c r="L295" s="220" t="s">
        <v>10</v>
      </c>
      <c r="M295" s="220" t="s">
        <v>11</v>
      </c>
    </row>
    <row r="296" spans="2:13" x14ac:dyDescent="0.3">
      <c r="B296" s="221" t="s">
        <v>12</v>
      </c>
      <c r="C296" s="221"/>
      <c r="D296" s="222" t="s">
        <v>13</v>
      </c>
      <c r="E296" s="222" t="s">
        <v>14</v>
      </c>
      <c r="F296" s="222" t="s">
        <v>15</v>
      </c>
      <c r="G296" s="222" t="s">
        <v>16</v>
      </c>
      <c r="H296" s="222" t="s">
        <v>17</v>
      </c>
      <c r="I296" s="222" t="s">
        <v>18</v>
      </c>
      <c r="J296" s="222" t="s">
        <v>19</v>
      </c>
      <c r="K296" s="222" t="s">
        <v>20</v>
      </c>
      <c r="L296" s="222" t="s">
        <v>21</v>
      </c>
      <c r="M296" s="222" t="s">
        <v>22</v>
      </c>
    </row>
    <row r="297" spans="2:13" x14ac:dyDescent="0.3">
      <c r="B297" s="10" t="s">
        <v>276</v>
      </c>
      <c r="C297" s="11"/>
      <c r="D297" s="11"/>
      <c r="E297" s="11"/>
      <c r="F297" s="11"/>
      <c r="G297" s="11"/>
      <c r="H297" s="11"/>
      <c r="I297" s="11"/>
      <c r="J297" s="11"/>
      <c r="K297" s="11"/>
      <c r="L297" s="11"/>
      <c r="M297" s="11"/>
    </row>
    <row r="298" spans="2:13" x14ac:dyDescent="0.3">
      <c r="B298" s="12" t="s">
        <v>277</v>
      </c>
      <c r="C298" s="12" t="s">
        <v>278</v>
      </c>
      <c r="D298" s="18">
        <v>49.727699999999999</v>
      </c>
      <c r="E298" s="18">
        <v>48.157600000000002</v>
      </c>
      <c r="F298" s="18">
        <v>50.902999999999999</v>
      </c>
      <c r="G298" s="18">
        <v>136.5128</v>
      </c>
      <c r="H298" s="18">
        <v>0</v>
      </c>
      <c r="I298" s="18">
        <v>0</v>
      </c>
      <c r="J298" s="18">
        <v>0</v>
      </c>
      <c r="K298" s="18">
        <v>0</v>
      </c>
      <c r="L298" s="18">
        <v>0</v>
      </c>
      <c r="M298" s="18">
        <v>0</v>
      </c>
    </row>
    <row r="299" spans="2:13" x14ac:dyDescent="0.3">
      <c r="B299" s="12" t="s">
        <v>279</v>
      </c>
      <c r="C299" s="12" t="s">
        <v>280</v>
      </c>
      <c r="D299" s="18">
        <v>23.802299999999999</v>
      </c>
      <c r="E299" s="18">
        <v>21.0702</v>
      </c>
      <c r="F299" s="18">
        <v>20.105899999999998</v>
      </c>
      <c r="G299" s="18">
        <v>23.458300000000001</v>
      </c>
      <c r="H299" s="18">
        <v>16.595400000000001</v>
      </c>
      <c r="I299" s="18">
        <v>3.8206000000000002</v>
      </c>
      <c r="J299" s="18">
        <v>13.821</v>
      </c>
      <c r="K299" s="18">
        <v>11.054600000000001</v>
      </c>
      <c r="L299" s="18">
        <v>14.3651</v>
      </c>
      <c r="M299" s="18">
        <v>12.374499999999999</v>
      </c>
    </row>
    <row r="300" spans="2:13" x14ac:dyDescent="0.3">
      <c r="B300" s="12" t="s">
        <v>281</v>
      </c>
      <c r="C300" s="12" t="s">
        <v>282</v>
      </c>
      <c r="D300" s="18">
        <v>36.271999999999998</v>
      </c>
      <c r="E300" s="18">
        <v>32.541899999999998</v>
      </c>
      <c r="F300" s="18">
        <v>31.210999999999999</v>
      </c>
      <c r="G300" s="18">
        <v>46.498399999999997</v>
      </c>
      <c r="H300" s="18">
        <v>49.653100000000002</v>
      </c>
      <c r="I300" s="18">
        <v>11.357200000000001</v>
      </c>
      <c r="J300" s="18">
        <v>25.559000000000001</v>
      </c>
      <c r="K300" s="18">
        <v>21.9068</v>
      </c>
      <c r="L300" s="18">
        <v>28.6571</v>
      </c>
      <c r="M300" s="18">
        <v>23.9482</v>
      </c>
    </row>
    <row r="301" spans="2:13" x14ac:dyDescent="0.3">
      <c r="B301" s="12" t="s">
        <v>283</v>
      </c>
      <c r="C301" s="12" t="s">
        <v>284</v>
      </c>
      <c r="D301" s="18">
        <v>36.3581</v>
      </c>
      <c r="E301" s="18">
        <v>31.050999999999998</v>
      </c>
      <c r="F301" s="18">
        <v>26.1173</v>
      </c>
      <c r="G301" s="18">
        <v>28.6495</v>
      </c>
      <c r="H301" s="18">
        <v>34.979900000000001</v>
      </c>
      <c r="I301" s="18">
        <v>9.0626999999999995</v>
      </c>
      <c r="J301" s="18">
        <v>19.1067</v>
      </c>
      <c r="K301" s="18">
        <v>18.978400000000001</v>
      </c>
      <c r="L301" s="18">
        <v>25.076899999999998</v>
      </c>
      <c r="M301" s="18">
        <v>21.029599999999999</v>
      </c>
    </row>
    <row r="302" spans="2:13" x14ac:dyDescent="0.3">
      <c r="B302" s="12"/>
      <c r="C302" s="17"/>
      <c r="D302" s="17"/>
      <c r="E302" s="17"/>
      <c r="F302" s="17"/>
      <c r="G302" s="17"/>
      <c r="H302" s="17"/>
      <c r="I302" s="17"/>
      <c r="J302" s="17"/>
      <c r="K302" s="17"/>
      <c r="L302" s="17"/>
      <c r="M302" s="17"/>
    </row>
    <row r="303" spans="2:13" x14ac:dyDescent="0.3">
      <c r="B303" s="10" t="s">
        <v>285</v>
      </c>
      <c r="C303" s="11"/>
      <c r="D303" s="11"/>
      <c r="E303" s="11"/>
      <c r="F303" s="11"/>
      <c r="G303" s="11"/>
      <c r="H303" s="11"/>
      <c r="I303" s="11"/>
      <c r="J303" s="11"/>
      <c r="K303" s="11"/>
      <c r="L303" s="11"/>
      <c r="M303" s="11"/>
    </row>
    <row r="304" spans="2:13" x14ac:dyDescent="0.3">
      <c r="B304" s="12" t="s">
        <v>95</v>
      </c>
      <c r="C304" s="12" t="s">
        <v>286</v>
      </c>
      <c r="D304" s="18">
        <v>31.1235</v>
      </c>
      <c r="E304" s="18">
        <v>31.631799999999998</v>
      </c>
      <c r="F304" s="18">
        <v>30.529599999999999</v>
      </c>
      <c r="G304" s="18">
        <v>29.598500000000001</v>
      </c>
      <c r="H304" s="18">
        <v>28.247800000000002</v>
      </c>
      <c r="I304" s="18">
        <v>21.511600000000001</v>
      </c>
      <c r="J304" s="18">
        <v>28.874099999999999</v>
      </c>
      <c r="K304" s="18">
        <v>25.956700000000001</v>
      </c>
      <c r="L304" s="18">
        <v>27.3691</v>
      </c>
      <c r="M304" s="18">
        <v>26.8384</v>
      </c>
    </row>
    <row r="305" spans="2:13" x14ac:dyDescent="0.3">
      <c r="B305" s="12" t="s">
        <v>287</v>
      </c>
      <c r="C305" s="12" t="s">
        <v>288</v>
      </c>
      <c r="D305" s="18">
        <v>23.6647</v>
      </c>
      <c r="E305" s="18">
        <v>24.404299999999999</v>
      </c>
      <c r="F305" s="18">
        <v>23.236000000000001</v>
      </c>
      <c r="G305" s="18">
        <v>20.9923</v>
      </c>
      <c r="H305" s="18">
        <v>20.8506</v>
      </c>
      <c r="I305" s="18">
        <v>19.723199999999999</v>
      </c>
      <c r="J305" s="18">
        <v>27.443999999999999</v>
      </c>
      <c r="K305" s="18">
        <v>23.881900000000002</v>
      </c>
      <c r="L305" s="18">
        <v>24.8004</v>
      </c>
      <c r="M305" s="18">
        <v>24.1172</v>
      </c>
    </row>
    <row r="306" spans="2:13" x14ac:dyDescent="0.3">
      <c r="B306" s="12" t="s">
        <v>96</v>
      </c>
      <c r="C306" s="12" t="s">
        <v>289</v>
      </c>
      <c r="D306" s="18">
        <v>18.791699999999999</v>
      </c>
      <c r="E306" s="18">
        <v>19.5718</v>
      </c>
      <c r="F306" s="18">
        <v>18.4694</v>
      </c>
      <c r="G306" s="18">
        <v>15.7095</v>
      </c>
      <c r="H306" s="18">
        <v>15.3833</v>
      </c>
      <c r="I306" s="18">
        <v>6.6403999999999996</v>
      </c>
      <c r="J306" s="18">
        <v>16.7653</v>
      </c>
      <c r="K306" s="18">
        <v>14.3186</v>
      </c>
      <c r="L306" s="18">
        <v>16.3188</v>
      </c>
      <c r="M306" s="18">
        <v>14.9513</v>
      </c>
    </row>
    <row r="307" spans="2:13" x14ac:dyDescent="0.3">
      <c r="B307" s="12" t="s">
        <v>290</v>
      </c>
      <c r="C307" s="12" t="s">
        <v>291</v>
      </c>
      <c r="D307" s="18">
        <v>19.149899999999999</v>
      </c>
      <c r="E307" s="18">
        <v>26.513999999999999</v>
      </c>
      <c r="F307" s="18">
        <v>0</v>
      </c>
      <c r="G307" s="18">
        <v>0</v>
      </c>
      <c r="H307" s="18">
        <v>10.877000000000001</v>
      </c>
      <c r="I307" s="18">
        <v>-84.137</v>
      </c>
      <c r="J307" s="18">
        <v>59.726500000000001</v>
      </c>
      <c r="K307" s="18">
        <v>0</v>
      </c>
      <c r="L307" s="18">
        <v>33.634900000000002</v>
      </c>
      <c r="M307" s="18">
        <v>0</v>
      </c>
    </row>
    <row r="308" spans="2:13" x14ac:dyDescent="0.3">
      <c r="B308" s="12" t="s">
        <v>292</v>
      </c>
      <c r="C308" s="12" t="s">
        <v>293</v>
      </c>
      <c r="D308" s="18">
        <v>20.367699999999999</v>
      </c>
      <c r="E308" s="18">
        <v>19.696999999999999</v>
      </c>
      <c r="F308" s="18">
        <v>19.285900000000002</v>
      </c>
      <c r="G308" s="18">
        <v>23.382300000000001</v>
      </c>
      <c r="H308" s="18">
        <v>16.848099999999999</v>
      </c>
      <c r="I308" s="18">
        <v>4.9511000000000003</v>
      </c>
      <c r="J308" s="18">
        <v>18.433499999999999</v>
      </c>
      <c r="K308" s="18">
        <v>13.122</v>
      </c>
      <c r="L308" s="18">
        <v>15.015499999999999</v>
      </c>
      <c r="M308" s="18">
        <v>13.7372</v>
      </c>
    </row>
    <row r="309" spans="2:13" x14ac:dyDescent="0.3">
      <c r="B309" s="12" t="s">
        <v>294</v>
      </c>
      <c r="C309" s="12" t="s">
        <v>295</v>
      </c>
      <c r="D309" s="18">
        <v>14.3993</v>
      </c>
      <c r="E309" s="18">
        <v>13.224399999999999</v>
      </c>
      <c r="F309" s="18">
        <v>12.8866</v>
      </c>
      <c r="G309" s="18">
        <v>18.277100000000001</v>
      </c>
      <c r="H309" s="18">
        <v>13.5601</v>
      </c>
      <c r="I309" s="18">
        <v>3.9319000000000002</v>
      </c>
      <c r="J309" s="18">
        <v>14.4536</v>
      </c>
      <c r="K309" s="18">
        <v>10.180999999999999</v>
      </c>
      <c r="L309" s="18">
        <v>11.465299999999999</v>
      </c>
      <c r="M309" s="18">
        <v>10.399900000000001</v>
      </c>
    </row>
    <row r="310" spans="2:13" x14ac:dyDescent="0.3">
      <c r="B310" s="12" t="s">
        <v>296</v>
      </c>
      <c r="C310" s="12" t="s">
        <v>297</v>
      </c>
      <c r="D310" s="18">
        <v>14.3894</v>
      </c>
      <c r="E310" s="18">
        <v>13.2188</v>
      </c>
      <c r="F310" s="18">
        <v>12.8857</v>
      </c>
      <c r="G310" s="18">
        <v>18.278300000000002</v>
      </c>
      <c r="H310" s="18">
        <v>13.577500000000001</v>
      </c>
      <c r="I310" s="18">
        <v>3.9472</v>
      </c>
      <c r="J310" s="18">
        <v>14.450100000000001</v>
      </c>
      <c r="K310" s="18">
        <v>10.1754</v>
      </c>
      <c r="L310" s="18">
        <v>11.464700000000001</v>
      </c>
      <c r="M310" s="18">
        <v>10.396100000000001</v>
      </c>
    </row>
    <row r="311" spans="2:13" x14ac:dyDescent="0.3">
      <c r="B311" s="12" t="s">
        <v>298</v>
      </c>
      <c r="C311" s="12" t="s">
        <v>299</v>
      </c>
      <c r="D311" s="18">
        <v>14.3894</v>
      </c>
      <c r="E311" s="18">
        <v>13.2188</v>
      </c>
      <c r="F311" s="18">
        <v>12.8857</v>
      </c>
      <c r="G311" s="18">
        <v>18.278300000000002</v>
      </c>
      <c r="H311" s="18">
        <v>13.577500000000001</v>
      </c>
      <c r="I311" s="18">
        <v>3.9472</v>
      </c>
      <c r="J311" s="18">
        <v>14.450100000000001</v>
      </c>
      <c r="K311" s="18">
        <v>10.1754</v>
      </c>
      <c r="L311" s="18">
        <v>11.464700000000001</v>
      </c>
      <c r="M311" s="18">
        <v>10.396100000000001</v>
      </c>
    </row>
    <row r="312" spans="2:13" x14ac:dyDescent="0.3">
      <c r="B312" s="12"/>
      <c r="C312" s="17"/>
      <c r="D312" s="17"/>
      <c r="E312" s="17"/>
      <c r="F312" s="17"/>
      <c r="G312" s="17"/>
      <c r="H312" s="17"/>
      <c r="I312" s="17"/>
      <c r="J312" s="17"/>
      <c r="K312" s="17"/>
      <c r="L312" s="17"/>
      <c r="M312" s="17"/>
    </row>
    <row r="313" spans="2:13" x14ac:dyDescent="0.3">
      <c r="B313" s="10" t="s">
        <v>300</v>
      </c>
      <c r="C313" s="11"/>
      <c r="D313" s="11"/>
      <c r="E313" s="11"/>
      <c r="F313" s="11"/>
      <c r="G313" s="11"/>
      <c r="H313" s="11"/>
      <c r="I313" s="11"/>
      <c r="J313" s="11"/>
      <c r="K313" s="11"/>
      <c r="L313" s="11"/>
      <c r="M313" s="11"/>
    </row>
    <row r="314" spans="2:13" x14ac:dyDescent="0.3">
      <c r="B314" s="12" t="s">
        <v>301</v>
      </c>
      <c r="C314" s="12" t="s">
        <v>302</v>
      </c>
      <c r="D314" s="18">
        <v>29.303100000000001</v>
      </c>
      <c r="E314" s="18">
        <v>32.860999999999997</v>
      </c>
      <c r="F314" s="18">
        <v>33.181199999999997</v>
      </c>
      <c r="G314" s="18">
        <v>21.8339</v>
      </c>
      <c r="H314" s="18">
        <v>19.515499999999999</v>
      </c>
      <c r="I314" s="18">
        <v>20.585699999999999</v>
      </c>
      <c r="J314" s="18">
        <v>21.590800000000002</v>
      </c>
      <c r="K314" s="18">
        <v>22.4131</v>
      </c>
      <c r="L314" s="18">
        <v>23.6435</v>
      </c>
      <c r="M314" s="18">
        <v>24.293700000000001</v>
      </c>
    </row>
    <row r="315" spans="2:13" x14ac:dyDescent="0.3">
      <c r="B315" s="12" t="s">
        <v>303</v>
      </c>
      <c r="C315" s="12" t="s">
        <v>304</v>
      </c>
      <c r="D315" s="18">
        <v>36.8536</v>
      </c>
      <c r="E315" s="18">
        <v>44.227600000000002</v>
      </c>
      <c r="F315" s="18">
        <v>52.760300000000001</v>
      </c>
      <c r="G315" s="18">
        <v>40.3949</v>
      </c>
      <c r="H315" s="18">
        <v>50.555300000000003</v>
      </c>
      <c r="I315" s="18">
        <v>212.24860000000001</v>
      </c>
      <c r="J315" s="18">
        <v>51.598700000000001</v>
      </c>
      <c r="K315" s="18">
        <v>68.883099999999999</v>
      </c>
      <c r="L315" s="18">
        <v>58.945700000000002</v>
      </c>
      <c r="M315" s="18">
        <v>69.941100000000006</v>
      </c>
    </row>
    <row r="316" spans="2:13" x14ac:dyDescent="0.3">
      <c r="B316" s="12" t="s">
        <v>305</v>
      </c>
      <c r="C316" s="12" t="s">
        <v>306</v>
      </c>
      <c r="D316" s="18">
        <v>31.401299999999999</v>
      </c>
      <c r="E316" s="18">
        <v>26.858699999999999</v>
      </c>
      <c r="F316" s="18">
        <v>24.046500000000002</v>
      </c>
      <c r="G316" s="18">
        <v>81.368499999999997</v>
      </c>
      <c r="H316" s="18">
        <v>0</v>
      </c>
      <c r="I316" s="18">
        <v>0</v>
      </c>
      <c r="J316" s="18">
        <v>0</v>
      </c>
      <c r="K316" s="18">
        <v>0</v>
      </c>
      <c r="L316" s="18">
        <v>0</v>
      </c>
      <c r="M316" s="18">
        <v>0</v>
      </c>
    </row>
    <row r="317" spans="2:13" x14ac:dyDescent="0.3">
      <c r="B317" s="19" t="s">
        <v>104</v>
      </c>
      <c r="C317" s="19"/>
      <c r="D317" s="19" t="s">
        <v>192</v>
      </c>
      <c r="E317" s="19"/>
      <c r="F317" s="19"/>
      <c r="G317" s="19"/>
      <c r="H317" s="19"/>
      <c r="I317" s="19"/>
      <c r="J317" s="19"/>
      <c r="K317" s="19"/>
      <c r="L317" s="19"/>
      <c r="M317" s="19"/>
    </row>
    <row r="320" spans="2:13" ht="21" x14ac:dyDescent="0.3">
      <c r="B320" s="296" t="s">
        <v>307</v>
      </c>
      <c r="C320" s="296"/>
      <c r="D320" s="296"/>
      <c r="E320" s="296"/>
      <c r="F320" s="296"/>
      <c r="G320" s="296"/>
      <c r="H320" s="296"/>
      <c r="I320" s="296"/>
      <c r="J320" s="296"/>
      <c r="K320" s="296"/>
      <c r="L320" s="296"/>
      <c r="M320" s="296"/>
    </row>
    <row r="321" spans="2:13" x14ac:dyDescent="0.3">
      <c r="B321" s="219" t="s">
        <v>1</v>
      </c>
      <c r="C321" s="219"/>
      <c r="D321" s="220" t="s">
        <v>2</v>
      </c>
      <c r="E321" s="220" t="s">
        <v>3</v>
      </c>
      <c r="F321" s="220" t="s">
        <v>4</v>
      </c>
      <c r="G321" s="220" t="s">
        <v>5</v>
      </c>
      <c r="H321" s="220" t="s">
        <v>6</v>
      </c>
      <c r="I321" s="220" t="s">
        <v>7</v>
      </c>
      <c r="J321" s="220" t="s">
        <v>8</v>
      </c>
      <c r="K321" s="220" t="s">
        <v>9</v>
      </c>
      <c r="L321" s="220" t="s">
        <v>10</v>
      </c>
      <c r="M321" s="220" t="s">
        <v>11</v>
      </c>
    </row>
    <row r="322" spans="2:13" x14ac:dyDescent="0.3">
      <c r="B322" s="221" t="s">
        <v>12</v>
      </c>
      <c r="C322" s="221"/>
      <c r="D322" s="222" t="s">
        <v>13</v>
      </c>
      <c r="E322" s="222" t="s">
        <v>14</v>
      </c>
      <c r="F322" s="222" t="s">
        <v>15</v>
      </c>
      <c r="G322" s="222" t="s">
        <v>16</v>
      </c>
      <c r="H322" s="222" t="s">
        <v>17</v>
      </c>
      <c r="I322" s="222" t="s">
        <v>18</v>
      </c>
      <c r="J322" s="222" t="s">
        <v>19</v>
      </c>
      <c r="K322" s="222" t="s">
        <v>20</v>
      </c>
      <c r="L322" s="222" t="s">
        <v>21</v>
      </c>
      <c r="M322" s="222" t="s">
        <v>22</v>
      </c>
    </row>
    <row r="323" spans="2:13" x14ac:dyDescent="0.3">
      <c r="B323" s="10" t="s">
        <v>308</v>
      </c>
      <c r="C323" s="11"/>
      <c r="D323" s="11"/>
      <c r="E323" s="11"/>
      <c r="F323" s="11"/>
      <c r="G323" s="11"/>
      <c r="H323" s="11"/>
      <c r="I323" s="11"/>
      <c r="J323" s="11"/>
      <c r="K323" s="11"/>
      <c r="L323" s="11"/>
      <c r="M323" s="11"/>
    </row>
    <row r="324" spans="2:13" x14ac:dyDescent="0.3">
      <c r="B324" s="12" t="s">
        <v>309</v>
      </c>
      <c r="C324" s="12" t="s">
        <v>310</v>
      </c>
      <c r="D324" s="18">
        <v>7</v>
      </c>
      <c r="E324" s="18">
        <v>5</v>
      </c>
      <c r="F324" s="18">
        <v>3</v>
      </c>
      <c r="G324" s="18">
        <v>2</v>
      </c>
      <c r="H324" s="18">
        <v>5</v>
      </c>
      <c r="I324" s="18">
        <v>-14</v>
      </c>
      <c r="J324" s="18">
        <v>20</v>
      </c>
      <c r="K324" s="18">
        <v>8</v>
      </c>
      <c r="L324" s="18">
        <v>8</v>
      </c>
      <c r="M324" s="18">
        <v>-2</v>
      </c>
    </row>
    <row r="325" spans="2:13" x14ac:dyDescent="0.3">
      <c r="B325" s="12"/>
      <c r="C325" s="17"/>
      <c r="D325" s="17"/>
      <c r="E325" s="17"/>
      <c r="F325" s="17"/>
      <c r="G325" s="17"/>
      <c r="H325" s="17"/>
      <c r="I325" s="17"/>
      <c r="J325" s="17"/>
      <c r="K325" s="17"/>
      <c r="L325" s="17"/>
      <c r="M325" s="17"/>
    </row>
    <row r="326" spans="2:13" x14ac:dyDescent="0.3">
      <c r="B326" s="10" t="s">
        <v>311</v>
      </c>
      <c r="C326" s="11"/>
      <c r="D326" s="11"/>
      <c r="E326" s="11"/>
      <c r="F326" s="11"/>
      <c r="G326" s="11"/>
      <c r="H326" s="11"/>
      <c r="I326" s="11"/>
      <c r="J326" s="11"/>
      <c r="K326" s="11"/>
      <c r="L326" s="11"/>
      <c r="M326" s="11"/>
    </row>
    <row r="327" spans="2:13" x14ac:dyDescent="0.3">
      <c r="B327" s="12"/>
      <c r="C327" s="17"/>
      <c r="D327" s="17"/>
      <c r="E327" s="17"/>
      <c r="F327" s="17"/>
      <c r="G327" s="17"/>
      <c r="H327" s="17"/>
      <c r="I327" s="17"/>
      <c r="J327" s="17"/>
      <c r="K327" s="17"/>
      <c r="L327" s="17"/>
      <c r="M327" s="17"/>
    </row>
    <row r="328" spans="2:13" x14ac:dyDescent="0.3">
      <c r="B328" s="10" t="s">
        <v>312</v>
      </c>
      <c r="C328" s="11"/>
      <c r="D328" s="11"/>
      <c r="E328" s="11"/>
      <c r="F328" s="11"/>
      <c r="G328" s="11"/>
      <c r="H328" s="11"/>
      <c r="I328" s="11"/>
      <c r="J328" s="11"/>
      <c r="K328" s="11"/>
      <c r="L328" s="11"/>
      <c r="M328" s="11"/>
    </row>
    <row r="329" spans="2:13" x14ac:dyDescent="0.3">
      <c r="B329" s="12" t="s">
        <v>313</v>
      </c>
      <c r="C329" s="12" t="s">
        <v>314</v>
      </c>
      <c r="D329" s="18">
        <v>23043</v>
      </c>
      <c r="E329" s="18">
        <v>25085</v>
      </c>
      <c r="F329" s="18">
        <v>27339</v>
      </c>
      <c r="G329" s="18">
        <v>29324</v>
      </c>
      <c r="H329" s="18">
        <v>31256</v>
      </c>
      <c r="I329" s="18">
        <v>32660</v>
      </c>
      <c r="J329" s="18">
        <v>33833</v>
      </c>
      <c r="K329" s="18">
        <v>35711</v>
      </c>
      <c r="L329" s="18">
        <v>38038</v>
      </c>
      <c r="M329" s="18">
        <v>40199</v>
      </c>
    </row>
    <row r="330" spans="2:13" x14ac:dyDescent="0.3">
      <c r="B330" s="12"/>
      <c r="C330" s="17"/>
      <c r="D330" s="17"/>
      <c r="E330" s="17"/>
      <c r="F330" s="17"/>
      <c r="G330" s="17"/>
      <c r="H330" s="17"/>
      <c r="I330" s="17"/>
      <c r="J330" s="17"/>
      <c r="K330" s="17"/>
      <c r="L330" s="17"/>
      <c r="M330" s="17"/>
    </row>
    <row r="331" spans="2:13" x14ac:dyDescent="0.3">
      <c r="B331" s="10" t="s">
        <v>315</v>
      </c>
      <c r="C331" s="11"/>
      <c r="D331" s="11"/>
      <c r="E331" s="11"/>
      <c r="F331" s="11"/>
      <c r="G331" s="11"/>
      <c r="H331" s="11"/>
      <c r="I331" s="11"/>
      <c r="J331" s="11"/>
      <c r="K331" s="11"/>
      <c r="L331" s="11"/>
      <c r="M331" s="11"/>
    </row>
    <row r="332" spans="2:13" x14ac:dyDescent="0.3">
      <c r="B332" s="12" t="s">
        <v>316</v>
      </c>
      <c r="C332" s="12" t="s">
        <v>317</v>
      </c>
      <c r="D332" s="13">
        <v>322.89999999999998</v>
      </c>
      <c r="E332" s="13">
        <v>213.6</v>
      </c>
      <c r="F332" s="13">
        <v>1062.7</v>
      </c>
      <c r="G332" s="13">
        <v>6810</v>
      </c>
      <c r="H332" s="13">
        <v>-514.79999999999995</v>
      </c>
      <c r="I332" s="13">
        <v>459.6</v>
      </c>
      <c r="J332" s="13">
        <v>1605</v>
      </c>
      <c r="K332" s="13">
        <v>-2133.1</v>
      </c>
      <c r="L332" s="13">
        <v>-2041.9</v>
      </c>
      <c r="M332" s="13">
        <v>-2222.6</v>
      </c>
    </row>
    <row r="333" spans="2:13" x14ac:dyDescent="0.3">
      <c r="B333" s="12" t="s">
        <v>318</v>
      </c>
      <c r="C333" s="12" t="s">
        <v>319</v>
      </c>
      <c r="D333" s="72">
        <v>3749.1</v>
      </c>
      <c r="E333" s="13">
        <v>4697.8999999999996</v>
      </c>
      <c r="F333" s="13">
        <v>4251.8</v>
      </c>
      <c r="G333" s="13">
        <v>11937.8</v>
      </c>
      <c r="H333" s="13">
        <v>5047</v>
      </c>
      <c r="I333" s="13">
        <v>1597.8</v>
      </c>
      <c r="J333" s="13">
        <v>5989.1</v>
      </c>
      <c r="K333" s="13">
        <v>4397.3</v>
      </c>
      <c r="L333" s="13">
        <v>6008.7</v>
      </c>
      <c r="M333" s="13">
        <v>6095.6</v>
      </c>
    </row>
    <row r="334" spans="2:13" x14ac:dyDescent="0.3">
      <c r="B334" s="12" t="s">
        <v>239</v>
      </c>
      <c r="C334" s="12" t="s">
        <v>320</v>
      </c>
      <c r="D334" s="13">
        <v>2445.4</v>
      </c>
      <c r="E334" s="13">
        <v>3257.6</v>
      </c>
      <c r="F334" s="13">
        <v>2732.4</v>
      </c>
      <c r="G334" s="13">
        <v>9961.4</v>
      </c>
      <c r="H334" s="13">
        <v>3240.4</v>
      </c>
      <c r="I334" s="13">
        <v>114.2</v>
      </c>
      <c r="J334" s="13">
        <v>4519.1000000000004</v>
      </c>
      <c r="K334" s="13">
        <v>2556</v>
      </c>
      <c r="L334" s="13">
        <v>3675.1</v>
      </c>
      <c r="M334" s="13">
        <v>3318.1</v>
      </c>
    </row>
    <row r="335" spans="2:13" x14ac:dyDescent="0.3">
      <c r="B335" s="12" t="s">
        <v>321</v>
      </c>
      <c r="C335" s="12" t="s">
        <v>322</v>
      </c>
      <c r="D335" s="18">
        <v>1.6157999999999999</v>
      </c>
      <c r="E335" s="18">
        <v>2.1911999999999998</v>
      </c>
      <c r="F335" s="18">
        <v>1.8695999999999999</v>
      </c>
      <c r="G335" s="18">
        <v>7.1428000000000003</v>
      </c>
      <c r="H335" s="18">
        <v>2.6276000000000002</v>
      </c>
      <c r="I335" s="18">
        <v>9.6600000000000005E-2</v>
      </c>
      <c r="J335" s="18">
        <v>3.8119999999999998</v>
      </c>
      <c r="K335" s="18">
        <v>2.2063000000000001</v>
      </c>
      <c r="L335" s="18">
        <v>3.1920999999999999</v>
      </c>
      <c r="M335" s="18">
        <v>2.9175</v>
      </c>
    </row>
    <row r="336" spans="2:13" x14ac:dyDescent="0.3">
      <c r="B336" s="12"/>
      <c r="C336" s="17"/>
      <c r="D336" s="17"/>
      <c r="E336" s="17"/>
      <c r="F336" s="17"/>
      <c r="G336" s="17"/>
      <c r="H336" s="17"/>
      <c r="I336" s="17"/>
      <c r="J336" s="17"/>
      <c r="K336" s="17"/>
      <c r="L336" s="17"/>
      <c r="M336" s="17"/>
    </row>
    <row r="337" spans="2:13" x14ac:dyDescent="0.3">
      <c r="B337" s="10" t="s">
        <v>323</v>
      </c>
      <c r="C337" s="11"/>
      <c r="D337" s="11"/>
      <c r="E337" s="11"/>
      <c r="F337" s="11"/>
      <c r="G337" s="11"/>
      <c r="H337" s="11"/>
      <c r="I337" s="11"/>
      <c r="J337" s="11"/>
      <c r="K337" s="11"/>
      <c r="L337" s="11"/>
      <c r="M337" s="11"/>
    </row>
    <row r="338" spans="2:13" x14ac:dyDescent="0.3">
      <c r="B338" s="12" t="s">
        <v>324</v>
      </c>
      <c r="C338" s="12" t="s">
        <v>325</v>
      </c>
      <c r="D338" s="18">
        <v>21366</v>
      </c>
      <c r="E338" s="18">
        <v>23043</v>
      </c>
      <c r="F338" s="18">
        <v>25085</v>
      </c>
      <c r="G338" s="18">
        <v>27339</v>
      </c>
      <c r="H338" s="18">
        <v>29324</v>
      </c>
      <c r="I338" s="18">
        <v>31256</v>
      </c>
      <c r="J338" s="18">
        <v>32660</v>
      </c>
      <c r="K338" s="18">
        <v>33833</v>
      </c>
      <c r="L338" s="18">
        <v>35711</v>
      </c>
      <c r="M338" s="18">
        <v>38038</v>
      </c>
    </row>
    <row r="339" spans="2:13" x14ac:dyDescent="0.3">
      <c r="B339" s="12" t="s">
        <v>326</v>
      </c>
      <c r="C339" s="12" t="s">
        <v>327</v>
      </c>
      <c r="D339" s="18">
        <v>0</v>
      </c>
      <c r="E339" s="18">
        <v>0</v>
      </c>
      <c r="F339" s="18">
        <v>2770</v>
      </c>
      <c r="G339" s="18">
        <v>0</v>
      </c>
      <c r="H339" s="18">
        <v>2951</v>
      </c>
      <c r="I339" s="18">
        <v>2026</v>
      </c>
      <c r="J339" s="18">
        <v>2239</v>
      </c>
      <c r="K339" s="18">
        <v>1120</v>
      </c>
      <c r="L339" s="18">
        <v>2796</v>
      </c>
      <c r="M339" s="18">
        <v>2856</v>
      </c>
    </row>
    <row r="340" spans="2:13" x14ac:dyDescent="0.3">
      <c r="B340" s="12" t="s">
        <v>328</v>
      </c>
      <c r="C340" s="12" t="s">
        <v>329</v>
      </c>
      <c r="D340" s="18">
        <v>0</v>
      </c>
      <c r="E340" s="18">
        <v>0</v>
      </c>
      <c r="F340" s="18">
        <v>516</v>
      </c>
      <c r="G340" s="18">
        <v>0</v>
      </c>
      <c r="H340" s="18">
        <v>1019</v>
      </c>
      <c r="I340" s="18">
        <v>622</v>
      </c>
      <c r="J340" s="18">
        <v>1066</v>
      </c>
      <c r="K340" s="18">
        <v>629</v>
      </c>
      <c r="L340" s="18">
        <v>469</v>
      </c>
      <c r="M340" s="18">
        <v>695</v>
      </c>
    </row>
    <row r="341" spans="2:13" x14ac:dyDescent="0.3">
      <c r="B341" s="12" t="s">
        <v>313</v>
      </c>
      <c r="C341" s="12" t="s">
        <v>314</v>
      </c>
      <c r="D341" s="18">
        <v>23043</v>
      </c>
      <c r="E341" s="18">
        <v>25085</v>
      </c>
      <c r="F341" s="18">
        <v>27339</v>
      </c>
      <c r="G341" s="18">
        <v>29324</v>
      </c>
      <c r="H341" s="18">
        <v>31256</v>
      </c>
      <c r="I341" s="18">
        <v>32660</v>
      </c>
      <c r="J341" s="18">
        <v>33833</v>
      </c>
      <c r="K341" s="18">
        <v>35711</v>
      </c>
      <c r="L341" s="18">
        <v>38038</v>
      </c>
      <c r="M341" s="18">
        <v>40199</v>
      </c>
    </row>
    <row r="342" spans="2:13" x14ac:dyDescent="0.3">
      <c r="B342" s="12" t="s">
        <v>330</v>
      </c>
      <c r="C342" s="12" t="s">
        <v>331</v>
      </c>
      <c r="D342" s="18">
        <v>12235</v>
      </c>
      <c r="E342" s="18">
        <v>12711</v>
      </c>
      <c r="F342" s="18">
        <v>13275</v>
      </c>
      <c r="G342" s="18">
        <v>15341</v>
      </c>
      <c r="H342" s="18">
        <v>15834</v>
      </c>
      <c r="I342" s="18">
        <v>16637</v>
      </c>
      <c r="J342" s="18">
        <v>17133</v>
      </c>
      <c r="K342" s="18">
        <v>18253</v>
      </c>
      <c r="L342" s="18">
        <v>19592</v>
      </c>
      <c r="M342" s="18">
        <v>21018</v>
      </c>
    </row>
    <row r="343" spans="2:13" x14ac:dyDescent="0.3">
      <c r="B343" s="12" t="s">
        <v>332</v>
      </c>
      <c r="C343" s="12" t="s">
        <v>333</v>
      </c>
      <c r="D343" s="18">
        <v>10808</v>
      </c>
      <c r="E343" s="18">
        <v>12374</v>
      </c>
      <c r="F343" s="18">
        <v>14064</v>
      </c>
      <c r="G343" s="18">
        <v>13983</v>
      </c>
      <c r="H343" s="18">
        <v>15422</v>
      </c>
      <c r="I343" s="18">
        <v>16023</v>
      </c>
      <c r="J343" s="18">
        <v>16700</v>
      </c>
      <c r="K343" s="18">
        <v>17458</v>
      </c>
      <c r="L343" s="18">
        <v>18446</v>
      </c>
      <c r="M343" s="18">
        <v>19181</v>
      </c>
    </row>
    <row r="344" spans="2:13" x14ac:dyDescent="0.3">
      <c r="B344" s="12" t="s">
        <v>334</v>
      </c>
      <c r="C344" s="12" t="s">
        <v>335</v>
      </c>
      <c r="D344" s="18">
        <v>4</v>
      </c>
      <c r="E344" s="18">
        <v>4</v>
      </c>
      <c r="F344" s="18">
        <v>4</v>
      </c>
      <c r="G344" s="18">
        <v>4</v>
      </c>
      <c r="H344" s="18">
        <v>4</v>
      </c>
      <c r="I344" s="18">
        <v>4</v>
      </c>
      <c r="J344" s="18">
        <v>4</v>
      </c>
      <c r="K344" s="18">
        <v>4</v>
      </c>
      <c r="L344" s="18">
        <v>4</v>
      </c>
      <c r="M344" s="18">
        <v>4</v>
      </c>
    </row>
    <row r="345" spans="2:13" x14ac:dyDescent="0.3">
      <c r="B345" s="12"/>
      <c r="C345" s="17"/>
      <c r="D345" s="17"/>
      <c r="E345" s="17"/>
      <c r="F345" s="17"/>
      <c r="G345" s="17"/>
      <c r="H345" s="17"/>
      <c r="I345" s="17"/>
      <c r="J345" s="17"/>
      <c r="K345" s="17"/>
      <c r="L345" s="17"/>
      <c r="M345" s="17"/>
    </row>
    <row r="346" spans="2:13" x14ac:dyDescent="0.3">
      <c r="B346" s="12" t="s">
        <v>336</v>
      </c>
      <c r="C346" s="12" t="s">
        <v>337</v>
      </c>
      <c r="D346" s="13">
        <v>1.2421</v>
      </c>
      <c r="E346" s="13">
        <v>1.3251999999999999</v>
      </c>
      <c r="F346" s="13">
        <v>1.3295999999999999</v>
      </c>
      <c r="G346" s="13">
        <v>1.2835000000000001</v>
      </c>
      <c r="H346" s="13">
        <v>1.3606</v>
      </c>
      <c r="I346" s="13">
        <v>1.1518999999999999</v>
      </c>
      <c r="J346" s="13">
        <v>1.4361999999999999</v>
      </c>
      <c r="K346" s="13">
        <v>1.456</v>
      </c>
      <c r="L346" s="13">
        <v>1.5038</v>
      </c>
      <c r="M346" s="13">
        <v>1.2644</v>
      </c>
    </row>
    <row r="347" spans="2:13" x14ac:dyDescent="0.3">
      <c r="B347" s="12"/>
      <c r="C347" s="17"/>
      <c r="D347" s="17"/>
      <c r="E347" s="17"/>
      <c r="F347" s="17"/>
      <c r="G347" s="17"/>
      <c r="H347" s="17"/>
      <c r="I347" s="17"/>
      <c r="J347" s="17"/>
      <c r="K347" s="17"/>
      <c r="L347" s="17"/>
      <c r="M347" s="17"/>
    </row>
    <row r="348" spans="2:13" x14ac:dyDescent="0.3">
      <c r="B348" s="19" t="s">
        <v>104</v>
      </c>
      <c r="C348" s="19"/>
      <c r="D348" s="19" t="s">
        <v>192</v>
      </c>
      <c r="E348" s="19"/>
      <c r="F348" s="19"/>
      <c r="G348" s="19"/>
      <c r="H348" s="19"/>
      <c r="I348" s="19"/>
      <c r="J348" s="19"/>
      <c r="K348" s="19"/>
      <c r="L348" s="19"/>
      <c r="M348" s="19"/>
    </row>
    <row r="350" spans="2:13" ht="21" x14ac:dyDescent="0.3">
      <c r="B350" s="296" t="s">
        <v>338</v>
      </c>
      <c r="C350" s="296"/>
      <c r="D350" s="296"/>
      <c r="E350" s="296"/>
      <c r="F350" s="296"/>
      <c r="G350" s="296"/>
      <c r="H350" s="296"/>
      <c r="I350" s="296"/>
      <c r="J350" s="296"/>
      <c r="K350" s="296"/>
      <c r="L350" s="296"/>
      <c r="M350" s="296"/>
    </row>
    <row r="351" spans="2:13" x14ac:dyDescent="0.3">
      <c r="B351" s="219" t="s">
        <v>1</v>
      </c>
      <c r="C351" s="219"/>
      <c r="D351" s="220" t="s">
        <v>2</v>
      </c>
      <c r="E351" s="220" t="s">
        <v>3</v>
      </c>
      <c r="F351" s="220" t="s">
        <v>4</v>
      </c>
      <c r="G351" s="220" t="s">
        <v>5</v>
      </c>
      <c r="H351" s="220" t="s">
        <v>6</v>
      </c>
      <c r="I351" s="220" t="s">
        <v>7</v>
      </c>
      <c r="J351" s="220" t="s">
        <v>8</v>
      </c>
      <c r="K351" s="220" t="s">
        <v>9</v>
      </c>
      <c r="L351" s="220" t="s">
        <v>10</v>
      </c>
      <c r="M351" s="220" t="s">
        <v>11</v>
      </c>
    </row>
    <row r="352" spans="2:13" x14ac:dyDescent="0.3">
      <c r="B352" s="221" t="s">
        <v>12</v>
      </c>
      <c r="C352" s="221"/>
      <c r="D352" s="222" t="s">
        <v>13</v>
      </c>
      <c r="E352" s="222" t="s">
        <v>14</v>
      </c>
      <c r="F352" s="222" t="s">
        <v>15</v>
      </c>
      <c r="G352" s="222" t="s">
        <v>16</v>
      </c>
      <c r="H352" s="222" t="s">
        <v>17</v>
      </c>
      <c r="I352" s="222" t="s">
        <v>18</v>
      </c>
      <c r="J352" s="222" t="s">
        <v>19</v>
      </c>
      <c r="K352" s="222" t="s">
        <v>20</v>
      </c>
      <c r="L352" s="222" t="s">
        <v>21</v>
      </c>
      <c r="M352" s="222" t="s">
        <v>22</v>
      </c>
    </row>
    <row r="353" spans="2:13" x14ac:dyDescent="0.3">
      <c r="B353" s="12" t="s">
        <v>339</v>
      </c>
      <c r="C353" s="17"/>
      <c r="D353" s="17"/>
      <c r="E353" s="17"/>
      <c r="F353" s="17"/>
      <c r="G353" s="17"/>
      <c r="H353" s="17"/>
      <c r="I353" s="17"/>
      <c r="J353" s="17"/>
      <c r="K353" s="17"/>
      <c r="L353" s="17"/>
      <c r="M353" s="17"/>
    </row>
    <row r="354" spans="2:13" x14ac:dyDescent="0.3">
      <c r="B354" s="12" t="s">
        <v>340</v>
      </c>
      <c r="C354" s="12" t="s">
        <v>341</v>
      </c>
      <c r="D354" s="18">
        <v>2.37</v>
      </c>
      <c r="E354" s="18">
        <v>2.17</v>
      </c>
      <c r="F354" s="18">
        <v>2.38</v>
      </c>
      <c r="G354" s="18">
        <v>3.14</v>
      </c>
      <c r="H354" s="18">
        <v>3.24</v>
      </c>
      <c r="I354" s="18">
        <v>3.76</v>
      </c>
      <c r="J354" s="18">
        <v>4.04</v>
      </c>
      <c r="K354" s="18">
        <v>3.97</v>
      </c>
      <c r="L354" s="18">
        <v>4.0999999999999996</v>
      </c>
      <c r="M354" s="18">
        <v>0</v>
      </c>
    </row>
    <row r="355" spans="2:13" x14ac:dyDescent="0.3">
      <c r="B355" s="12" t="s">
        <v>342</v>
      </c>
      <c r="C355" s="12" t="s">
        <v>343</v>
      </c>
      <c r="D355" s="18">
        <v>1.32</v>
      </c>
      <c r="E355" s="18">
        <v>0.84</v>
      </c>
      <c r="F355" s="18">
        <v>1.27</v>
      </c>
      <c r="G355" s="18">
        <v>2.64</v>
      </c>
      <c r="H355" s="18">
        <v>2.83</v>
      </c>
      <c r="I355" s="18">
        <v>4.2699999999999996</v>
      </c>
      <c r="J355" s="18">
        <v>4.78</v>
      </c>
      <c r="K355" s="18">
        <v>4.7699999999999996</v>
      </c>
      <c r="L355" s="18">
        <v>4.75</v>
      </c>
      <c r="M355" s="18">
        <v>0</v>
      </c>
    </row>
    <row r="356" spans="2:13" x14ac:dyDescent="0.3">
      <c r="B356" s="12" t="s">
        <v>344</v>
      </c>
      <c r="C356" s="12" t="s">
        <v>345</v>
      </c>
      <c r="D356" s="18">
        <v>1.34</v>
      </c>
      <c r="E356" s="18">
        <v>1.34</v>
      </c>
      <c r="F356" s="18">
        <v>1.34</v>
      </c>
      <c r="G356" s="18">
        <v>1.48</v>
      </c>
      <c r="H356" s="18">
        <v>1.48</v>
      </c>
      <c r="I356" s="18">
        <v>1.48</v>
      </c>
      <c r="J356" s="18">
        <v>1.48</v>
      </c>
      <c r="K356" s="18">
        <v>1.48</v>
      </c>
      <c r="L356" s="18">
        <v>1.67</v>
      </c>
      <c r="M356" s="18">
        <v>0</v>
      </c>
    </row>
    <row r="357" spans="2:13" x14ac:dyDescent="0.3">
      <c r="B357" s="12" t="s">
        <v>346</v>
      </c>
      <c r="C357" s="12" t="s">
        <v>347</v>
      </c>
      <c r="D357" s="18">
        <v>7.2</v>
      </c>
      <c r="E357" s="18">
        <v>7.42</v>
      </c>
      <c r="F357" s="18">
        <v>7.44</v>
      </c>
      <c r="G357" s="18">
        <v>8.0399999999999991</v>
      </c>
      <c r="H357" s="18">
        <v>8.18</v>
      </c>
      <c r="I357" s="18">
        <v>7.98</v>
      </c>
      <c r="J357" s="18">
        <v>8.5500000000000007</v>
      </c>
      <c r="K357" s="18">
        <v>8.17</v>
      </c>
      <c r="L357" s="18">
        <v>8.39</v>
      </c>
      <c r="M357" s="18">
        <v>0</v>
      </c>
    </row>
    <row r="358" spans="2:13" x14ac:dyDescent="0.3">
      <c r="B358" s="12"/>
      <c r="C358" s="17"/>
      <c r="D358" s="17"/>
      <c r="E358" s="17"/>
      <c r="F358" s="17"/>
      <c r="G358" s="17"/>
      <c r="H358" s="17"/>
      <c r="I358" s="17"/>
      <c r="J358" s="17"/>
      <c r="K358" s="17"/>
      <c r="L358" s="17"/>
      <c r="M358" s="17"/>
    </row>
    <row r="359" spans="2:13" x14ac:dyDescent="0.3">
      <c r="B359" s="12" t="s">
        <v>348</v>
      </c>
      <c r="C359" s="17"/>
      <c r="D359" s="17"/>
      <c r="E359" s="17"/>
      <c r="F359" s="17"/>
      <c r="G359" s="17"/>
      <c r="H359" s="17"/>
      <c r="I359" s="17"/>
      <c r="J359" s="17"/>
      <c r="K359" s="17"/>
      <c r="L359" s="17"/>
      <c r="M359" s="17"/>
    </row>
    <row r="360" spans="2:13" x14ac:dyDescent="0.3">
      <c r="B360" s="12" t="s">
        <v>349</v>
      </c>
      <c r="C360" s="12" t="s">
        <v>350</v>
      </c>
      <c r="D360" s="18">
        <v>47.942900000000002</v>
      </c>
      <c r="E360" s="18">
        <v>44.462299999999999</v>
      </c>
      <c r="F360" s="18">
        <v>45.991300000000003</v>
      </c>
      <c r="G360" s="18">
        <v>51.534100000000002</v>
      </c>
      <c r="H360" s="18">
        <v>51.121600000000001</v>
      </c>
      <c r="I360" s="18">
        <v>52.2684</v>
      </c>
      <c r="J360" s="18">
        <v>52.479599999999998</v>
      </c>
      <c r="K360" s="18">
        <v>53.052999999999997</v>
      </c>
      <c r="L360" s="18">
        <v>52.479599999999998</v>
      </c>
      <c r="M360" s="18">
        <v>0</v>
      </c>
    </row>
    <row r="361" spans="2:13" x14ac:dyDescent="0.3">
      <c r="B361" s="12" t="s">
        <v>351</v>
      </c>
      <c r="C361" s="12" t="s">
        <v>352</v>
      </c>
      <c r="D361" s="18">
        <v>22.7424</v>
      </c>
      <c r="E361" s="18">
        <v>16.4603</v>
      </c>
      <c r="F361" s="18">
        <v>21.050999999999998</v>
      </c>
      <c r="G361" s="18">
        <v>36.665700000000001</v>
      </c>
      <c r="H361" s="18">
        <v>35.034700000000001</v>
      </c>
      <c r="I361" s="18">
        <v>38.477800000000002</v>
      </c>
      <c r="J361" s="18">
        <v>38.477800000000002</v>
      </c>
      <c r="K361" s="18">
        <v>40.199300000000001</v>
      </c>
      <c r="L361" s="18">
        <v>38.477800000000002</v>
      </c>
      <c r="M361" s="18">
        <v>0</v>
      </c>
    </row>
    <row r="362" spans="2:13" x14ac:dyDescent="0.3">
      <c r="B362" s="12" t="s">
        <v>353</v>
      </c>
      <c r="C362" s="12" t="s">
        <v>354</v>
      </c>
      <c r="D362" s="18">
        <v>27.176500000000001</v>
      </c>
      <c r="E362" s="18">
        <v>23.004799999999999</v>
      </c>
      <c r="F362" s="18">
        <v>23.004799999999999</v>
      </c>
      <c r="G362" s="18">
        <v>24.032599999999999</v>
      </c>
      <c r="H362" s="18">
        <v>24.425599999999999</v>
      </c>
      <c r="I362" s="18">
        <v>24.425599999999999</v>
      </c>
      <c r="J362" s="18">
        <v>25.060500000000001</v>
      </c>
      <c r="K362" s="18">
        <v>25.060500000000001</v>
      </c>
      <c r="L362" s="18">
        <v>25.060500000000001</v>
      </c>
      <c r="M362" s="18">
        <v>0</v>
      </c>
    </row>
    <row r="363" spans="2:13" x14ac:dyDescent="0.3">
      <c r="B363" s="12" t="s">
        <v>355</v>
      </c>
      <c r="C363" s="12" t="s">
        <v>356</v>
      </c>
      <c r="D363" s="18">
        <v>93.738699999999994</v>
      </c>
      <c r="E363" s="18">
        <v>93.738699999999994</v>
      </c>
      <c r="F363" s="18">
        <v>93.738699999999994</v>
      </c>
      <c r="G363" s="18">
        <v>93.738699999999994</v>
      </c>
      <c r="H363" s="18">
        <v>93.738699999999994</v>
      </c>
      <c r="I363" s="18">
        <v>93.738699999999994</v>
      </c>
      <c r="J363" s="18">
        <v>93.738699999999994</v>
      </c>
      <c r="K363" s="18">
        <v>93.738699999999994</v>
      </c>
      <c r="L363" s="18">
        <v>93.738699999999994</v>
      </c>
      <c r="M363" s="18">
        <v>0</v>
      </c>
    </row>
    <row r="364" spans="2:13" x14ac:dyDescent="0.3">
      <c r="B364" s="12"/>
      <c r="C364" s="17"/>
      <c r="D364" s="17"/>
      <c r="E364" s="17"/>
      <c r="F364" s="17"/>
      <c r="G364" s="17"/>
      <c r="H364" s="17"/>
      <c r="I364" s="17"/>
      <c r="J364" s="17"/>
      <c r="K364" s="17"/>
      <c r="L364" s="17"/>
      <c r="M364" s="17"/>
    </row>
    <row r="365" spans="2:13" x14ac:dyDescent="0.3">
      <c r="B365" s="10" t="s">
        <v>357</v>
      </c>
      <c r="C365" s="11"/>
      <c r="D365" s="11"/>
      <c r="E365" s="11"/>
      <c r="F365" s="11"/>
      <c r="G365" s="11"/>
      <c r="H365" s="11"/>
      <c r="I365" s="11"/>
      <c r="J365" s="11"/>
      <c r="K365" s="11"/>
      <c r="L365" s="11"/>
      <c r="M365" s="11"/>
    </row>
    <row r="366" spans="2:13" x14ac:dyDescent="0.3">
      <c r="B366" s="12" t="s">
        <v>358</v>
      </c>
      <c r="C366" s="17"/>
      <c r="D366" s="17"/>
      <c r="E366" s="17"/>
      <c r="F366" s="17"/>
      <c r="G366" s="17"/>
      <c r="H366" s="17"/>
      <c r="I366" s="17"/>
      <c r="J366" s="17"/>
      <c r="K366" s="17"/>
      <c r="L366" s="17"/>
      <c r="M366" s="17"/>
    </row>
    <row r="367" spans="2:13" x14ac:dyDescent="0.3">
      <c r="B367" s="12"/>
      <c r="C367" s="17"/>
      <c r="D367" s="17"/>
      <c r="E367" s="17"/>
      <c r="F367" s="17"/>
      <c r="G367" s="17"/>
      <c r="H367" s="17"/>
      <c r="I367" s="17"/>
      <c r="J367" s="17"/>
      <c r="K367" s="17"/>
      <c r="L367" s="17"/>
      <c r="M367" s="17"/>
    </row>
    <row r="368" spans="2:13" x14ac:dyDescent="0.3">
      <c r="B368" s="12" t="s">
        <v>359</v>
      </c>
      <c r="C368" s="17"/>
      <c r="D368" s="17"/>
      <c r="E368" s="17"/>
      <c r="F368" s="17"/>
      <c r="G368" s="17"/>
      <c r="H368" s="17"/>
      <c r="I368" s="17"/>
      <c r="J368" s="17"/>
      <c r="K368" s="17"/>
      <c r="L368" s="17"/>
      <c r="M368" s="17"/>
    </row>
    <row r="369" spans="2:13" x14ac:dyDescent="0.3">
      <c r="B369" s="12" t="s">
        <v>360</v>
      </c>
      <c r="C369" s="12" t="s">
        <v>361</v>
      </c>
      <c r="D369" s="17" t="s">
        <v>362</v>
      </c>
      <c r="E369" s="17" t="s">
        <v>362</v>
      </c>
      <c r="F369" s="17" t="s">
        <v>362</v>
      </c>
      <c r="G369" s="17" t="s">
        <v>362</v>
      </c>
      <c r="H369" s="17" t="s">
        <v>363</v>
      </c>
      <c r="I369" s="17" t="s">
        <v>363</v>
      </c>
      <c r="J369" s="17" t="s">
        <v>363</v>
      </c>
      <c r="K369" s="17" t="s">
        <v>363</v>
      </c>
      <c r="L369" s="17" t="s">
        <v>363</v>
      </c>
      <c r="M369" s="17" t="s">
        <v>364</v>
      </c>
    </row>
    <row r="370" spans="2:13" x14ac:dyDescent="0.3">
      <c r="B370" s="12" t="s">
        <v>365</v>
      </c>
      <c r="C370" s="12" t="s">
        <v>366</v>
      </c>
      <c r="D370" s="17" t="s">
        <v>364</v>
      </c>
      <c r="E370" s="17" t="s">
        <v>364</v>
      </c>
      <c r="F370" s="17" t="s">
        <v>364</v>
      </c>
      <c r="G370" s="17" t="s">
        <v>364</v>
      </c>
      <c r="H370" s="17" t="s">
        <v>364</v>
      </c>
      <c r="I370" s="17" t="s">
        <v>364</v>
      </c>
      <c r="J370" s="17" t="s">
        <v>364</v>
      </c>
      <c r="K370" s="17" t="s">
        <v>363</v>
      </c>
      <c r="L370" s="17" t="s">
        <v>363</v>
      </c>
      <c r="M370" s="17" t="s">
        <v>364</v>
      </c>
    </row>
    <row r="371" spans="2:13" x14ac:dyDescent="0.3">
      <c r="B371" s="12" t="s">
        <v>367</v>
      </c>
      <c r="C371" s="12" t="s">
        <v>368</v>
      </c>
      <c r="D371" s="17" t="s">
        <v>363</v>
      </c>
      <c r="E371" s="17" t="s">
        <v>363</v>
      </c>
      <c r="F371" s="17" t="s">
        <v>363</v>
      </c>
      <c r="G371" s="17" t="s">
        <v>363</v>
      </c>
      <c r="H371" s="17" t="s">
        <v>363</v>
      </c>
      <c r="I371" s="17" t="s">
        <v>363</v>
      </c>
      <c r="J371" s="17" t="s">
        <v>363</v>
      </c>
      <c r="K371" s="17" t="s">
        <v>363</v>
      </c>
      <c r="L371" s="17" t="s">
        <v>363</v>
      </c>
      <c r="M371" s="17" t="s">
        <v>364</v>
      </c>
    </row>
    <row r="372" spans="2:13" x14ac:dyDescent="0.3">
      <c r="B372" s="12" t="s">
        <v>369</v>
      </c>
      <c r="C372" s="12" t="s">
        <v>370</v>
      </c>
      <c r="D372" s="17" t="s">
        <v>362</v>
      </c>
      <c r="E372" s="17" t="s">
        <v>362</v>
      </c>
      <c r="F372" s="17" t="s">
        <v>362</v>
      </c>
      <c r="G372" s="17" t="s">
        <v>362</v>
      </c>
      <c r="H372" s="17" t="s">
        <v>362</v>
      </c>
      <c r="I372" s="17" t="s">
        <v>362</v>
      </c>
      <c r="J372" s="17" t="s">
        <v>362</v>
      </c>
      <c r="K372" s="17" t="s">
        <v>362</v>
      </c>
      <c r="L372" s="17" t="s">
        <v>362</v>
      </c>
      <c r="M372" s="17" t="s">
        <v>364</v>
      </c>
    </row>
    <row r="373" spans="2:13" x14ac:dyDescent="0.3">
      <c r="B373" s="12" t="s">
        <v>371</v>
      </c>
      <c r="C373" s="12" t="s">
        <v>372</v>
      </c>
      <c r="D373" s="17" t="s">
        <v>362</v>
      </c>
      <c r="E373" s="17" t="s">
        <v>362</v>
      </c>
      <c r="F373" s="17" t="s">
        <v>363</v>
      </c>
      <c r="G373" s="17" t="s">
        <v>363</v>
      </c>
      <c r="H373" s="17" t="s">
        <v>363</v>
      </c>
      <c r="I373" s="17" t="s">
        <v>363</v>
      </c>
      <c r="J373" s="17" t="s">
        <v>363</v>
      </c>
      <c r="K373" s="17" t="s">
        <v>363</v>
      </c>
      <c r="L373" s="17" t="s">
        <v>363</v>
      </c>
      <c r="M373" s="17" t="s">
        <v>363</v>
      </c>
    </row>
    <row r="374" spans="2:13" x14ac:dyDescent="0.3">
      <c r="B374" s="12" t="s">
        <v>373</v>
      </c>
      <c r="C374" s="12" t="s">
        <v>374</v>
      </c>
      <c r="D374" s="13">
        <v>328.89299999999997</v>
      </c>
      <c r="E374" s="13">
        <v>0</v>
      </c>
      <c r="F374" s="13">
        <v>0</v>
      </c>
      <c r="G374" s="13">
        <v>139.91</v>
      </c>
      <c r="H374" s="13">
        <v>158.09100000000001</v>
      </c>
      <c r="I374" s="13">
        <v>142.196</v>
      </c>
      <c r="J374" s="13">
        <v>111.569</v>
      </c>
      <c r="K374" s="13">
        <v>110.241</v>
      </c>
      <c r="L374" s="13">
        <v>110.16500000000001</v>
      </c>
      <c r="M374" s="13">
        <v>0</v>
      </c>
    </row>
    <row r="375" spans="2:13" x14ac:dyDescent="0.3">
      <c r="B375" s="12" t="s">
        <v>375</v>
      </c>
      <c r="C375" s="12" t="s">
        <v>376</v>
      </c>
      <c r="D375" s="13">
        <v>1013.53</v>
      </c>
      <c r="E375" s="13">
        <v>0</v>
      </c>
      <c r="F375" s="13">
        <v>0</v>
      </c>
      <c r="G375" s="13">
        <v>0</v>
      </c>
      <c r="H375" s="13">
        <v>0</v>
      </c>
      <c r="I375" s="13">
        <v>0</v>
      </c>
      <c r="J375" s="13">
        <v>0</v>
      </c>
      <c r="K375" s="13">
        <v>0</v>
      </c>
      <c r="L375" s="13">
        <v>0</v>
      </c>
      <c r="M375" s="13">
        <v>0</v>
      </c>
    </row>
    <row r="376" spans="2:13" x14ac:dyDescent="0.3">
      <c r="B376" s="12" t="s">
        <v>377</v>
      </c>
      <c r="C376" s="12" t="s">
        <v>378</v>
      </c>
      <c r="D376" s="13">
        <v>0</v>
      </c>
      <c r="E376" s="13">
        <v>0</v>
      </c>
      <c r="F376" s="13">
        <v>291</v>
      </c>
      <c r="G376" s="13">
        <v>319.56799999999998</v>
      </c>
      <c r="H376" s="13">
        <v>376.745</v>
      </c>
      <c r="I376" s="13">
        <v>309.57</v>
      </c>
      <c r="J376" s="13">
        <v>350.42399999999998</v>
      </c>
      <c r="K376" s="13">
        <v>404.14800000000002</v>
      </c>
      <c r="L376" s="13">
        <v>401.72199999999998</v>
      </c>
      <c r="M376" s="13">
        <v>0</v>
      </c>
    </row>
    <row r="377" spans="2:13" x14ac:dyDescent="0.3">
      <c r="B377" s="12" t="s">
        <v>379</v>
      </c>
      <c r="C377" s="12" t="s">
        <v>380</v>
      </c>
      <c r="D377" s="13">
        <v>0</v>
      </c>
      <c r="E377" s="13">
        <v>0</v>
      </c>
      <c r="F377" s="13">
        <v>390</v>
      </c>
      <c r="G377" s="13">
        <v>803.98400000000004</v>
      </c>
      <c r="H377" s="13">
        <v>806.14800000000002</v>
      </c>
      <c r="I377" s="13">
        <v>794.38599999999997</v>
      </c>
      <c r="J377" s="13">
        <v>778.00199999999995</v>
      </c>
      <c r="K377" s="13">
        <v>789.42499999999995</v>
      </c>
      <c r="L377" s="13">
        <v>835.47699999999998</v>
      </c>
      <c r="M377" s="13">
        <v>0</v>
      </c>
    </row>
    <row r="378" spans="2:13" x14ac:dyDescent="0.3">
      <c r="B378" s="12" t="s">
        <v>381</v>
      </c>
      <c r="C378" s="12" t="s">
        <v>382</v>
      </c>
      <c r="D378" s="13">
        <v>0</v>
      </c>
      <c r="E378" s="13">
        <v>0</v>
      </c>
      <c r="F378" s="13">
        <v>0</v>
      </c>
      <c r="G378" s="13">
        <v>282.05500000000001</v>
      </c>
      <c r="H378" s="13">
        <v>324.45100000000002</v>
      </c>
      <c r="I378" s="13">
        <v>317.11799999999999</v>
      </c>
      <c r="J378" s="13">
        <v>331.274</v>
      </c>
      <c r="K378" s="13">
        <v>294.24200000000002</v>
      </c>
      <c r="L378" s="13">
        <v>285.98899999999998</v>
      </c>
      <c r="M378" s="13">
        <v>0</v>
      </c>
    </row>
    <row r="379" spans="2:13" x14ac:dyDescent="0.3">
      <c r="B379" s="12" t="s">
        <v>383</v>
      </c>
      <c r="C379" s="12" t="s">
        <v>384</v>
      </c>
      <c r="D379" s="13">
        <v>0</v>
      </c>
      <c r="E379" s="13">
        <v>0</v>
      </c>
      <c r="F379" s="13">
        <v>15900</v>
      </c>
      <c r="G379" s="13">
        <v>23078.9</v>
      </c>
      <c r="H379" s="13">
        <v>12764.5</v>
      </c>
      <c r="I379" s="13">
        <v>12287.7</v>
      </c>
      <c r="J379" s="13">
        <v>13281.3</v>
      </c>
      <c r="K379" s="13">
        <v>13985.7</v>
      </c>
      <c r="L379" s="13">
        <v>13891.2</v>
      </c>
      <c r="M379" s="13">
        <v>0</v>
      </c>
    </row>
    <row r="380" spans="2:13" x14ac:dyDescent="0.3">
      <c r="B380" s="12" t="s">
        <v>385</v>
      </c>
      <c r="C380" s="12" t="s">
        <v>386</v>
      </c>
      <c r="D380" s="18">
        <v>0</v>
      </c>
      <c r="E380" s="18">
        <v>0</v>
      </c>
      <c r="F380" s="18">
        <v>0</v>
      </c>
      <c r="G380" s="18">
        <v>1</v>
      </c>
      <c r="H380" s="18">
        <v>1</v>
      </c>
      <c r="I380" s="18">
        <v>1</v>
      </c>
      <c r="J380" s="18">
        <v>1</v>
      </c>
      <c r="K380" s="18">
        <v>1</v>
      </c>
      <c r="L380" s="18">
        <v>1</v>
      </c>
      <c r="M380" s="18">
        <v>0</v>
      </c>
    </row>
    <row r="381" spans="2:13" x14ac:dyDescent="0.3">
      <c r="B381" s="12"/>
      <c r="C381" s="17"/>
      <c r="D381" s="17"/>
      <c r="E381" s="17"/>
      <c r="F381" s="17"/>
      <c r="G381" s="17"/>
      <c r="H381" s="17"/>
      <c r="I381" s="17"/>
      <c r="J381" s="17"/>
      <c r="K381" s="17"/>
      <c r="L381" s="17"/>
      <c r="M381" s="17"/>
    </row>
    <row r="382" spans="2:13" x14ac:dyDescent="0.3">
      <c r="B382" s="12" t="s">
        <v>387</v>
      </c>
      <c r="C382" s="17"/>
      <c r="D382" s="17"/>
      <c r="E382" s="17"/>
      <c r="F382" s="17"/>
      <c r="G382" s="17"/>
      <c r="H382" s="17"/>
      <c r="I382" s="17"/>
      <c r="J382" s="17"/>
      <c r="K382" s="17"/>
      <c r="L382" s="17"/>
      <c r="M382" s="17"/>
    </row>
    <row r="383" spans="2:13" x14ac:dyDescent="0.3">
      <c r="B383" s="12" t="s">
        <v>388</v>
      </c>
      <c r="C383" s="12" t="s">
        <v>389</v>
      </c>
      <c r="D383" s="17" t="s">
        <v>363</v>
      </c>
      <c r="E383" s="17" t="s">
        <v>363</v>
      </c>
      <c r="F383" s="17" t="s">
        <v>363</v>
      </c>
      <c r="G383" s="17" t="s">
        <v>363</v>
      </c>
      <c r="H383" s="17" t="s">
        <v>363</v>
      </c>
      <c r="I383" s="17" t="s">
        <v>363</v>
      </c>
      <c r="J383" s="17" t="s">
        <v>363</v>
      </c>
      <c r="K383" s="17" t="s">
        <v>363</v>
      </c>
      <c r="L383" s="17" t="s">
        <v>363</v>
      </c>
      <c r="M383" s="17" t="s">
        <v>364</v>
      </c>
    </row>
    <row r="384" spans="2:13" x14ac:dyDescent="0.3">
      <c r="B384" s="12" t="s">
        <v>390</v>
      </c>
      <c r="C384" s="12" t="s">
        <v>391</v>
      </c>
      <c r="D384" s="13">
        <v>0</v>
      </c>
      <c r="E384" s="13">
        <v>0</v>
      </c>
      <c r="F384" s="13">
        <v>0</v>
      </c>
      <c r="G384" s="13">
        <v>2351.88</v>
      </c>
      <c r="H384" s="13">
        <v>2528.25</v>
      </c>
      <c r="I384" s="13">
        <v>2421.2600000000002</v>
      </c>
      <c r="J384" s="13">
        <v>2491.54</v>
      </c>
      <c r="K384" s="13">
        <v>2590.6</v>
      </c>
      <c r="L384" s="13">
        <v>2695.58</v>
      </c>
      <c r="M384" s="13">
        <v>0</v>
      </c>
    </row>
    <row r="385" spans="2:13" x14ac:dyDescent="0.3">
      <c r="B385" s="12" t="s">
        <v>392</v>
      </c>
      <c r="C385" s="12" t="s">
        <v>393</v>
      </c>
      <c r="D385" s="13">
        <v>1390</v>
      </c>
      <c r="E385" s="13">
        <v>0</v>
      </c>
      <c r="F385" s="13">
        <v>0</v>
      </c>
      <c r="G385" s="13">
        <v>1355.05</v>
      </c>
      <c r="H385" s="13">
        <v>1382.52</v>
      </c>
      <c r="I385" s="13">
        <v>1309.7</v>
      </c>
      <c r="J385" s="13">
        <v>1323.5</v>
      </c>
      <c r="K385" s="13">
        <v>1432.73</v>
      </c>
      <c r="L385" s="13">
        <v>1612.88</v>
      </c>
      <c r="M385" s="13">
        <v>0</v>
      </c>
    </row>
    <row r="386" spans="2:13" x14ac:dyDescent="0.3">
      <c r="B386" s="12" t="s">
        <v>394</v>
      </c>
      <c r="C386" s="12" t="s">
        <v>395</v>
      </c>
      <c r="D386" s="13">
        <v>1390</v>
      </c>
      <c r="E386" s="13">
        <v>0</v>
      </c>
      <c r="F386" s="13">
        <v>0</v>
      </c>
      <c r="G386" s="13">
        <v>1768.35</v>
      </c>
      <c r="H386" s="13">
        <v>1938.96</v>
      </c>
      <c r="I386" s="13">
        <v>1831.74</v>
      </c>
      <c r="J386" s="13">
        <v>1912.88</v>
      </c>
      <c r="K386" s="13">
        <v>1993.94</v>
      </c>
      <c r="L386" s="13">
        <v>2095.81</v>
      </c>
      <c r="M386" s="13">
        <v>0</v>
      </c>
    </row>
    <row r="387" spans="2:13" x14ac:dyDescent="0.3">
      <c r="B387" s="12" t="s">
        <v>396</v>
      </c>
      <c r="C387" s="12" t="s">
        <v>397</v>
      </c>
      <c r="D387" s="13">
        <v>0</v>
      </c>
      <c r="E387" s="13">
        <v>0</v>
      </c>
      <c r="F387" s="13">
        <v>0</v>
      </c>
      <c r="G387" s="13">
        <v>0</v>
      </c>
      <c r="H387" s="13">
        <v>0</v>
      </c>
      <c r="I387" s="13">
        <v>0</v>
      </c>
      <c r="J387" s="13">
        <v>0</v>
      </c>
      <c r="K387" s="13">
        <v>0</v>
      </c>
      <c r="L387" s="13">
        <v>0</v>
      </c>
      <c r="M387" s="13">
        <v>0</v>
      </c>
    </row>
    <row r="388" spans="2:13" x14ac:dyDescent="0.3">
      <c r="B388" s="12" t="s">
        <v>398</v>
      </c>
      <c r="C388" s="12" t="s">
        <v>399</v>
      </c>
      <c r="D388" s="13">
        <v>0</v>
      </c>
      <c r="E388" s="13">
        <v>0</v>
      </c>
      <c r="F388" s="13">
        <v>0</v>
      </c>
      <c r="G388" s="13">
        <v>0</v>
      </c>
      <c r="H388" s="13">
        <v>0</v>
      </c>
      <c r="I388" s="13">
        <v>58063.101999999999</v>
      </c>
      <c r="J388" s="13">
        <v>58172.101999999999</v>
      </c>
      <c r="K388" s="13">
        <v>58826.601999999999</v>
      </c>
      <c r="L388" s="13">
        <v>57870.898000000001</v>
      </c>
      <c r="M388" s="13">
        <v>0</v>
      </c>
    </row>
    <row r="389" spans="2:13" x14ac:dyDescent="0.3">
      <c r="B389" s="12" t="s">
        <v>400</v>
      </c>
      <c r="C389" s="12" t="s">
        <v>401</v>
      </c>
      <c r="D389" s="13">
        <v>0</v>
      </c>
      <c r="E389" s="13">
        <v>0</v>
      </c>
      <c r="F389" s="13">
        <v>0</v>
      </c>
      <c r="G389" s="13">
        <v>0</v>
      </c>
      <c r="H389" s="13">
        <v>0</v>
      </c>
      <c r="I389" s="13">
        <v>0.83099999999999996</v>
      </c>
      <c r="J389" s="13">
        <v>0.66300000000000003</v>
      </c>
      <c r="K389" s="13">
        <v>1.667</v>
      </c>
      <c r="L389" s="13">
        <v>2.2650000000000001</v>
      </c>
      <c r="M389" s="13">
        <v>0</v>
      </c>
    </row>
    <row r="390" spans="2:13" x14ac:dyDescent="0.3">
      <c r="B390" s="12"/>
      <c r="C390" s="17"/>
      <c r="D390" s="17"/>
      <c r="E390" s="17"/>
      <c r="F390" s="17"/>
      <c r="G390" s="17"/>
      <c r="H390" s="17"/>
      <c r="I390" s="17"/>
      <c r="J390" s="17"/>
      <c r="K390" s="17"/>
      <c r="L390" s="17"/>
      <c r="M390" s="17"/>
    </row>
    <row r="391" spans="2:13" x14ac:dyDescent="0.3">
      <c r="B391" s="12" t="s">
        <v>402</v>
      </c>
      <c r="C391" s="17"/>
      <c r="D391" s="17"/>
      <c r="E391" s="17"/>
      <c r="F391" s="17"/>
      <c r="G391" s="17"/>
      <c r="H391" s="17"/>
      <c r="I391" s="17"/>
      <c r="J391" s="17"/>
      <c r="K391" s="17"/>
      <c r="L391" s="17"/>
      <c r="M391" s="17"/>
    </row>
    <row r="392" spans="2:13" x14ac:dyDescent="0.3">
      <c r="B392" s="12" t="s">
        <v>403</v>
      </c>
      <c r="C392" s="12" t="s">
        <v>404</v>
      </c>
      <c r="D392" s="17" t="s">
        <v>363</v>
      </c>
      <c r="E392" s="17" t="s">
        <v>363</v>
      </c>
      <c r="F392" s="17" t="s">
        <v>363</v>
      </c>
      <c r="G392" s="17" t="s">
        <v>363</v>
      </c>
      <c r="H392" s="17" t="s">
        <v>363</v>
      </c>
      <c r="I392" s="17" t="s">
        <v>363</v>
      </c>
      <c r="J392" s="17" t="s">
        <v>363</v>
      </c>
      <c r="K392" s="17" t="s">
        <v>363</v>
      </c>
      <c r="L392" s="17" t="s">
        <v>363</v>
      </c>
      <c r="M392" s="17" t="s">
        <v>364</v>
      </c>
    </row>
    <row r="393" spans="2:13" x14ac:dyDescent="0.3">
      <c r="B393" s="12" t="s">
        <v>405</v>
      </c>
      <c r="C393" s="12" t="s">
        <v>406</v>
      </c>
      <c r="D393" s="13">
        <v>0</v>
      </c>
      <c r="E393" s="13">
        <v>0</v>
      </c>
      <c r="F393" s="13">
        <v>0</v>
      </c>
      <c r="G393" s="13">
        <v>0</v>
      </c>
      <c r="H393" s="13">
        <v>0</v>
      </c>
      <c r="I393" s="13">
        <v>0</v>
      </c>
      <c r="J393" s="13">
        <v>0</v>
      </c>
      <c r="K393" s="13">
        <v>0</v>
      </c>
      <c r="L393" s="13">
        <v>0</v>
      </c>
      <c r="M393" s="13">
        <v>0</v>
      </c>
    </row>
    <row r="394" spans="2:13" x14ac:dyDescent="0.3">
      <c r="B394" s="12" t="s">
        <v>407</v>
      </c>
      <c r="C394" s="12" t="s">
        <v>408</v>
      </c>
      <c r="D394" s="13">
        <v>0</v>
      </c>
      <c r="E394" s="13">
        <v>0</v>
      </c>
      <c r="F394" s="13">
        <v>0</v>
      </c>
      <c r="G394" s="13">
        <v>351.16199999999998</v>
      </c>
      <c r="H394" s="13">
        <v>0</v>
      </c>
      <c r="I394" s="13">
        <v>0</v>
      </c>
      <c r="J394" s="13">
        <v>0</v>
      </c>
      <c r="K394" s="13">
        <v>0</v>
      </c>
      <c r="L394" s="13">
        <v>0</v>
      </c>
      <c r="M394" s="13">
        <v>0</v>
      </c>
    </row>
    <row r="395" spans="2:13" x14ac:dyDescent="0.3">
      <c r="B395" s="12" t="s">
        <v>409</v>
      </c>
      <c r="C395" s="12" t="s">
        <v>410</v>
      </c>
      <c r="D395" s="13">
        <v>0</v>
      </c>
      <c r="E395" s="13">
        <v>0</v>
      </c>
      <c r="F395" s="13">
        <v>0</v>
      </c>
      <c r="G395" s="13">
        <v>0</v>
      </c>
      <c r="H395" s="13">
        <v>0</v>
      </c>
      <c r="I395" s="13">
        <v>0</v>
      </c>
      <c r="J395" s="13">
        <v>163</v>
      </c>
      <c r="K395" s="13">
        <v>130</v>
      </c>
      <c r="L395" s="13">
        <v>137</v>
      </c>
      <c r="M395" s="13">
        <v>0</v>
      </c>
    </row>
    <row r="396" spans="2:13" x14ac:dyDescent="0.3">
      <c r="B396" s="12" t="s">
        <v>411</v>
      </c>
      <c r="C396" s="12" t="s">
        <v>412</v>
      </c>
      <c r="D396" s="17" t="s">
        <v>364</v>
      </c>
      <c r="E396" s="17" t="s">
        <v>364</v>
      </c>
      <c r="F396" s="17" t="s">
        <v>364</v>
      </c>
      <c r="G396" s="17" t="s">
        <v>364</v>
      </c>
      <c r="H396" s="17" t="s">
        <v>364</v>
      </c>
      <c r="I396" s="17" t="s">
        <v>364</v>
      </c>
      <c r="J396" s="17" t="s">
        <v>363</v>
      </c>
      <c r="K396" s="17" t="s">
        <v>363</v>
      </c>
      <c r="L396" s="17" t="s">
        <v>363</v>
      </c>
      <c r="M396" s="17" t="s">
        <v>364</v>
      </c>
    </row>
    <row r="397" spans="2:13" x14ac:dyDescent="0.3">
      <c r="B397" s="12" t="s">
        <v>413</v>
      </c>
      <c r="C397" s="12" t="s">
        <v>414</v>
      </c>
      <c r="D397" s="17" t="s">
        <v>364</v>
      </c>
      <c r="E397" s="17" t="s">
        <v>364</v>
      </c>
      <c r="F397" s="17" t="s">
        <v>364</v>
      </c>
      <c r="G397" s="17" t="s">
        <v>364</v>
      </c>
      <c r="H397" s="17" t="s">
        <v>364</v>
      </c>
      <c r="I397" s="17" t="s">
        <v>364</v>
      </c>
      <c r="J397" s="17" t="s">
        <v>363</v>
      </c>
      <c r="K397" s="17" t="s">
        <v>363</v>
      </c>
      <c r="L397" s="17" t="s">
        <v>363</v>
      </c>
      <c r="M397" s="17" t="s">
        <v>364</v>
      </c>
    </row>
    <row r="398" spans="2:13" x14ac:dyDescent="0.3">
      <c r="B398" s="12"/>
      <c r="C398" s="17"/>
      <c r="D398" s="17"/>
      <c r="E398" s="17"/>
      <c r="F398" s="17"/>
      <c r="G398" s="17"/>
      <c r="H398" s="17"/>
      <c r="I398" s="17"/>
      <c r="J398" s="17"/>
      <c r="K398" s="17"/>
      <c r="L398" s="17"/>
      <c r="M398" s="17"/>
    </row>
    <row r="399" spans="2:13" x14ac:dyDescent="0.3">
      <c r="B399" s="12" t="s">
        <v>415</v>
      </c>
      <c r="C399" s="17"/>
      <c r="D399" s="17"/>
      <c r="E399" s="17"/>
      <c r="F399" s="17"/>
      <c r="G399" s="17"/>
      <c r="H399" s="17"/>
      <c r="I399" s="17"/>
      <c r="J399" s="17"/>
      <c r="K399" s="17"/>
      <c r="L399" s="17"/>
      <c r="M399" s="17"/>
    </row>
    <row r="400" spans="2:13" x14ac:dyDescent="0.3">
      <c r="B400" s="12" t="s">
        <v>416</v>
      </c>
      <c r="C400" s="12" t="s">
        <v>417</v>
      </c>
      <c r="D400" s="17" t="s">
        <v>363</v>
      </c>
      <c r="E400" s="17" t="s">
        <v>363</v>
      </c>
      <c r="F400" s="17" t="s">
        <v>363</v>
      </c>
      <c r="G400" s="17" t="s">
        <v>363</v>
      </c>
      <c r="H400" s="17" t="s">
        <v>363</v>
      </c>
      <c r="I400" s="17" t="s">
        <v>363</v>
      </c>
      <c r="J400" s="17" t="s">
        <v>363</v>
      </c>
      <c r="K400" s="17" t="s">
        <v>363</v>
      </c>
      <c r="L400" s="17" t="s">
        <v>363</v>
      </c>
      <c r="M400" s="17" t="s">
        <v>364</v>
      </c>
    </row>
    <row r="401" spans="2:13" x14ac:dyDescent="0.3">
      <c r="B401" s="12"/>
      <c r="C401" s="17"/>
      <c r="D401" s="17"/>
      <c r="E401" s="17"/>
      <c r="F401" s="17"/>
      <c r="G401" s="17"/>
      <c r="H401" s="17"/>
      <c r="I401" s="17"/>
      <c r="J401" s="17"/>
      <c r="K401" s="17"/>
      <c r="L401" s="17"/>
      <c r="M401" s="17"/>
    </row>
    <row r="402" spans="2:13" x14ac:dyDescent="0.3">
      <c r="B402" s="12" t="s">
        <v>418</v>
      </c>
      <c r="C402" s="17"/>
      <c r="D402" s="17"/>
      <c r="E402" s="17"/>
      <c r="F402" s="17"/>
      <c r="G402" s="17"/>
      <c r="H402" s="17"/>
      <c r="I402" s="17"/>
      <c r="J402" s="17"/>
      <c r="K402" s="17"/>
      <c r="L402" s="17"/>
      <c r="M402" s="17"/>
    </row>
    <row r="403" spans="2:13" x14ac:dyDescent="0.3">
      <c r="B403" s="12" t="s">
        <v>419</v>
      </c>
      <c r="C403" s="12" t="s">
        <v>420</v>
      </c>
      <c r="D403" s="17" t="s">
        <v>363</v>
      </c>
      <c r="E403" s="17" t="s">
        <v>363</v>
      </c>
      <c r="F403" s="17" t="s">
        <v>363</v>
      </c>
      <c r="G403" s="17" t="s">
        <v>363</v>
      </c>
      <c r="H403" s="17" t="s">
        <v>363</v>
      </c>
      <c r="I403" s="17" t="s">
        <v>363</v>
      </c>
      <c r="J403" s="17" t="s">
        <v>363</v>
      </c>
      <c r="K403" s="17" t="s">
        <v>363</v>
      </c>
      <c r="L403" s="17" t="s">
        <v>363</v>
      </c>
      <c r="M403" s="17" t="s">
        <v>364</v>
      </c>
    </row>
    <row r="404" spans="2:13" x14ac:dyDescent="0.3">
      <c r="B404" s="12" t="s">
        <v>421</v>
      </c>
      <c r="C404" s="12" t="s">
        <v>422</v>
      </c>
      <c r="D404" s="13">
        <v>0</v>
      </c>
      <c r="E404" s="13">
        <v>0</v>
      </c>
      <c r="F404" s="13">
        <v>0</v>
      </c>
      <c r="G404" s="13">
        <v>20100</v>
      </c>
      <c r="H404" s="13">
        <v>22853</v>
      </c>
      <c r="I404" s="13">
        <v>18600</v>
      </c>
      <c r="J404" s="13">
        <v>22605</v>
      </c>
      <c r="K404" s="13">
        <v>23867</v>
      </c>
      <c r="L404" s="13">
        <v>24021</v>
      </c>
      <c r="M404" s="13">
        <v>0</v>
      </c>
    </row>
    <row r="405" spans="2:13" x14ac:dyDescent="0.3">
      <c r="B405" s="12"/>
      <c r="C405" s="17"/>
      <c r="D405" s="17"/>
      <c r="E405" s="17"/>
      <c r="F405" s="17"/>
      <c r="G405" s="17"/>
      <c r="H405" s="17"/>
      <c r="I405" s="17"/>
      <c r="J405" s="17"/>
      <c r="K405" s="17"/>
      <c r="L405" s="17"/>
      <c r="M405" s="17"/>
    </row>
    <row r="406" spans="2:13" x14ac:dyDescent="0.3">
      <c r="B406" s="12" t="s">
        <v>423</v>
      </c>
      <c r="C406" s="17"/>
      <c r="D406" s="17"/>
      <c r="E406" s="17"/>
      <c r="F406" s="17"/>
      <c r="G406" s="17"/>
      <c r="H406" s="17"/>
      <c r="I406" s="17"/>
      <c r="J406" s="17"/>
      <c r="K406" s="17"/>
      <c r="L406" s="17"/>
      <c r="M406" s="17"/>
    </row>
    <row r="407" spans="2:13" x14ac:dyDescent="0.3">
      <c r="B407" s="12" t="s">
        <v>424</v>
      </c>
      <c r="C407" s="12" t="s">
        <v>425</v>
      </c>
      <c r="D407" s="17" t="s">
        <v>362</v>
      </c>
      <c r="E407" s="17" t="s">
        <v>362</v>
      </c>
      <c r="F407" s="17" t="s">
        <v>362</v>
      </c>
      <c r="G407" s="17" t="s">
        <v>363</v>
      </c>
      <c r="H407" s="17" t="s">
        <v>363</v>
      </c>
      <c r="I407" s="17" t="s">
        <v>363</v>
      </c>
      <c r="J407" s="17" t="s">
        <v>363</v>
      </c>
      <c r="K407" s="17" t="s">
        <v>363</v>
      </c>
      <c r="L407" s="17" t="s">
        <v>363</v>
      </c>
      <c r="M407" s="17" t="s">
        <v>364</v>
      </c>
    </row>
    <row r="408" spans="2:13" x14ac:dyDescent="0.3">
      <c r="B408" s="12" t="s">
        <v>426</v>
      </c>
      <c r="C408" s="12" t="s">
        <v>427</v>
      </c>
      <c r="D408" s="17" t="s">
        <v>364</v>
      </c>
      <c r="E408" s="17" t="s">
        <v>364</v>
      </c>
      <c r="F408" s="17" t="s">
        <v>364</v>
      </c>
      <c r="G408" s="17" t="s">
        <v>364</v>
      </c>
      <c r="H408" s="17" t="s">
        <v>364</v>
      </c>
      <c r="I408" s="17" t="s">
        <v>364</v>
      </c>
      <c r="J408" s="17" t="s">
        <v>362</v>
      </c>
      <c r="K408" s="17" t="s">
        <v>362</v>
      </c>
      <c r="L408" s="17" t="s">
        <v>362</v>
      </c>
      <c r="M408" s="17" t="s">
        <v>364</v>
      </c>
    </row>
    <row r="409" spans="2:13" x14ac:dyDescent="0.3">
      <c r="B409" s="12" t="s">
        <v>428</v>
      </c>
      <c r="C409" s="12" t="s">
        <v>429</v>
      </c>
      <c r="D409" s="17" t="s">
        <v>364</v>
      </c>
      <c r="E409" s="17" t="s">
        <v>364</v>
      </c>
      <c r="F409" s="17" t="s">
        <v>364</v>
      </c>
      <c r="G409" s="17" t="s">
        <v>364</v>
      </c>
      <c r="H409" s="17" t="s">
        <v>364</v>
      </c>
      <c r="I409" s="17" t="s">
        <v>364</v>
      </c>
      <c r="J409" s="17" t="s">
        <v>362</v>
      </c>
      <c r="K409" s="17" t="s">
        <v>362</v>
      </c>
      <c r="L409" s="17" t="s">
        <v>362</v>
      </c>
      <c r="M409" s="17" t="s">
        <v>364</v>
      </c>
    </row>
    <row r="410" spans="2:13" x14ac:dyDescent="0.3">
      <c r="B410" s="12" t="s">
        <v>430</v>
      </c>
      <c r="C410" s="12" t="s">
        <v>431</v>
      </c>
      <c r="D410" s="17" t="s">
        <v>364</v>
      </c>
      <c r="E410" s="17" t="s">
        <v>364</v>
      </c>
      <c r="F410" s="17" t="s">
        <v>364</v>
      </c>
      <c r="G410" s="17" t="s">
        <v>364</v>
      </c>
      <c r="H410" s="17" t="s">
        <v>364</v>
      </c>
      <c r="I410" s="17" t="s">
        <v>364</v>
      </c>
      <c r="J410" s="17" t="s">
        <v>363</v>
      </c>
      <c r="K410" s="17" t="s">
        <v>363</v>
      </c>
      <c r="L410" s="17" t="s">
        <v>362</v>
      </c>
      <c r="M410" s="17" t="s">
        <v>364</v>
      </c>
    </row>
    <row r="411" spans="2:13" x14ac:dyDescent="0.3">
      <c r="B411" s="12" t="s">
        <v>432</v>
      </c>
      <c r="C411" s="12" t="s">
        <v>433</v>
      </c>
      <c r="D411" s="17" t="s">
        <v>364</v>
      </c>
      <c r="E411" s="17" t="s">
        <v>364</v>
      </c>
      <c r="F411" s="17" t="s">
        <v>364</v>
      </c>
      <c r="G411" s="17" t="s">
        <v>364</v>
      </c>
      <c r="H411" s="17" t="s">
        <v>364</v>
      </c>
      <c r="I411" s="17" t="s">
        <v>364</v>
      </c>
      <c r="J411" s="17" t="s">
        <v>362</v>
      </c>
      <c r="K411" s="17" t="s">
        <v>363</v>
      </c>
      <c r="L411" s="17" t="s">
        <v>363</v>
      </c>
      <c r="M411" s="17" t="s">
        <v>364</v>
      </c>
    </row>
    <row r="412" spans="2:13" x14ac:dyDescent="0.3">
      <c r="B412" s="12"/>
      <c r="C412" s="17"/>
      <c r="D412" s="17"/>
      <c r="E412" s="17"/>
      <c r="F412" s="17"/>
      <c r="G412" s="17"/>
      <c r="H412" s="17"/>
      <c r="I412" s="17"/>
      <c r="J412" s="17"/>
      <c r="K412" s="17"/>
      <c r="L412" s="17"/>
      <c r="M412" s="17"/>
    </row>
    <row r="413" spans="2:13" x14ac:dyDescent="0.3">
      <c r="B413" s="12" t="s">
        <v>434</v>
      </c>
      <c r="C413" s="17"/>
      <c r="D413" s="17"/>
      <c r="E413" s="17"/>
      <c r="F413" s="17"/>
      <c r="G413" s="17"/>
      <c r="H413" s="17"/>
      <c r="I413" s="17"/>
      <c r="J413" s="17"/>
      <c r="K413" s="17"/>
      <c r="L413" s="17"/>
      <c r="M413" s="17"/>
    </row>
    <row r="414" spans="2:13" x14ac:dyDescent="0.3">
      <c r="B414" s="12" t="s">
        <v>435</v>
      </c>
      <c r="C414" s="17"/>
      <c r="D414" s="17"/>
      <c r="E414" s="17"/>
      <c r="F414" s="17"/>
      <c r="G414" s="17"/>
      <c r="H414" s="17"/>
      <c r="I414" s="17"/>
      <c r="J414" s="17"/>
      <c r="K414" s="17"/>
      <c r="L414" s="17"/>
      <c r="M414" s="17"/>
    </row>
    <row r="415" spans="2:13" x14ac:dyDescent="0.3">
      <c r="B415" s="12" t="s">
        <v>436</v>
      </c>
      <c r="C415" s="12" t="s">
        <v>437</v>
      </c>
      <c r="D415" s="17" t="s">
        <v>363</v>
      </c>
      <c r="E415" s="17" t="s">
        <v>363</v>
      </c>
      <c r="F415" s="17" t="s">
        <v>363</v>
      </c>
      <c r="G415" s="17" t="s">
        <v>363</v>
      </c>
      <c r="H415" s="17" t="s">
        <v>363</v>
      </c>
      <c r="I415" s="17" t="s">
        <v>363</v>
      </c>
      <c r="J415" s="17" t="s">
        <v>363</v>
      </c>
      <c r="K415" s="17" t="s">
        <v>363</v>
      </c>
      <c r="L415" s="17" t="s">
        <v>363</v>
      </c>
      <c r="M415" s="17" t="s">
        <v>364</v>
      </c>
    </row>
    <row r="416" spans="2:13" x14ac:dyDescent="0.3">
      <c r="B416" s="12" t="s">
        <v>438</v>
      </c>
      <c r="C416" s="12" t="s">
        <v>439</v>
      </c>
      <c r="D416" s="17" t="s">
        <v>363</v>
      </c>
      <c r="E416" s="17" t="s">
        <v>363</v>
      </c>
      <c r="F416" s="17" t="s">
        <v>363</v>
      </c>
      <c r="G416" s="17" t="s">
        <v>363</v>
      </c>
      <c r="H416" s="17" t="s">
        <v>363</v>
      </c>
      <c r="I416" s="17" t="s">
        <v>363</v>
      </c>
      <c r="J416" s="17" t="s">
        <v>363</v>
      </c>
      <c r="K416" s="17" t="s">
        <v>363</v>
      </c>
      <c r="L416" s="17" t="s">
        <v>363</v>
      </c>
      <c r="M416" s="17" t="s">
        <v>364</v>
      </c>
    </row>
    <row r="417" spans="2:13" x14ac:dyDescent="0.3">
      <c r="B417" s="12" t="s">
        <v>440</v>
      </c>
      <c r="C417" s="12" t="s">
        <v>441</v>
      </c>
      <c r="D417" s="17" t="s">
        <v>362</v>
      </c>
      <c r="E417" s="17" t="s">
        <v>362</v>
      </c>
      <c r="F417" s="17" t="s">
        <v>362</v>
      </c>
      <c r="G417" s="17" t="s">
        <v>362</v>
      </c>
      <c r="H417" s="17" t="s">
        <v>362</v>
      </c>
      <c r="I417" s="17" t="s">
        <v>362</v>
      </c>
      <c r="J417" s="17" t="s">
        <v>362</v>
      </c>
      <c r="K417" s="17" t="s">
        <v>362</v>
      </c>
      <c r="L417" s="17" t="s">
        <v>362</v>
      </c>
      <c r="M417" s="17" t="s">
        <v>364</v>
      </c>
    </row>
    <row r="418" spans="2:13" x14ac:dyDescent="0.3">
      <c r="B418" s="12" t="s">
        <v>442</v>
      </c>
      <c r="C418" s="12" t="s">
        <v>443</v>
      </c>
      <c r="D418" s="17" t="s">
        <v>362</v>
      </c>
      <c r="E418" s="17" t="s">
        <v>362</v>
      </c>
      <c r="F418" s="17" t="s">
        <v>362</v>
      </c>
      <c r="G418" s="17" t="s">
        <v>363</v>
      </c>
      <c r="H418" s="17" t="s">
        <v>363</v>
      </c>
      <c r="I418" s="17" t="s">
        <v>363</v>
      </c>
      <c r="J418" s="17" t="s">
        <v>363</v>
      </c>
      <c r="K418" s="17" t="s">
        <v>363</v>
      </c>
      <c r="L418" s="17" t="s">
        <v>363</v>
      </c>
      <c r="M418" s="17" t="s">
        <v>363</v>
      </c>
    </row>
    <row r="419" spans="2:13" x14ac:dyDescent="0.3">
      <c r="B419" s="12" t="s">
        <v>444</v>
      </c>
      <c r="C419" s="12" t="s">
        <v>445</v>
      </c>
      <c r="D419" s="13">
        <v>29.3</v>
      </c>
      <c r="E419" s="13">
        <v>0</v>
      </c>
      <c r="F419" s="13">
        <v>0</v>
      </c>
      <c r="G419" s="13">
        <v>0</v>
      </c>
      <c r="H419" s="13">
        <v>0</v>
      </c>
      <c r="I419" s="13">
        <v>0</v>
      </c>
      <c r="J419" s="13">
        <v>0</v>
      </c>
      <c r="K419" s="13">
        <v>0</v>
      </c>
      <c r="L419" s="13">
        <v>0</v>
      </c>
      <c r="M419" s="13">
        <v>0</v>
      </c>
    </row>
    <row r="420" spans="2:13" x14ac:dyDescent="0.3">
      <c r="B420" s="12"/>
      <c r="C420" s="17"/>
      <c r="D420" s="17"/>
      <c r="E420" s="17"/>
      <c r="F420" s="17"/>
      <c r="G420" s="17"/>
      <c r="H420" s="17"/>
      <c r="I420" s="17"/>
      <c r="J420" s="17"/>
      <c r="K420" s="17"/>
      <c r="L420" s="17"/>
      <c r="M420" s="17"/>
    </row>
    <row r="421" spans="2:13" x14ac:dyDescent="0.3">
      <c r="B421" s="12" t="s">
        <v>446</v>
      </c>
      <c r="C421" s="17"/>
      <c r="D421" s="17"/>
      <c r="E421" s="17"/>
      <c r="F421" s="17"/>
      <c r="G421" s="17"/>
      <c r="H421" s="17"/>
      <c r="I421" s="17"/>
      <c r="J421" s="17"/>
      <c r="K421" s="17"/>
      <c r="L421" s="17"/>
      <c r="M421" s="17"/>
    </row>
    <row r="422" spans="2:13" x14ac:dyDescent="0.3">
      <c r="B422" s="12" t="s">
        <v>447</v>
      </c>
      <c r="C422" s="12" t="s">
        <v>448</v>
      </c>
      <c r="D422" s="17" t="s">
        <v>363</v>
      </c>
      <c r="E422" s="17" t="s">
        <v>363</v>
      </c>
      <c r="F422" s="17" t="s">
        <v>363</v>
      </c>
      <c r="G422" s="17" t="s">
        <v>363</v>
      </c>
      <c r="H422" s="17" t="s">
        <v>363</v>
      </c>
      <c r="I422" s="17" t="s">
        <v>363</v>
      </c>
      <c r="J422" s="17" t="s">
        <v>363</v>
      </c>
      <c r="K422" s="17" t="s">
        <v>363</v>
      </c>
      <c r="L422" s="17" t="s">
        <v>363</v>
      </c>
      <c r="M422" s="17" t="s">
        <v>363</v>
      </c>
    </row>
    <row r="423" spans="2:13" x14ac:dyDescent="0.3">
      <c r="B423" s="12" t="s">
        <v>449</v>
      </c>
      <c r="C423" s="12" t="s">
        <v>450</v>
      </c>
      <c r="D423" s="17" t="s">
        <v>362</v>
      </c>
      <c r="E423" s="17" t="s">
        <v>362</v>
      </c>
      <c r="F423" s="17" t="s">
        <v>362</v>
      </c>
      <c r="G423" s="17" t="s">
        <v>362</v>
      </c>
      <c r="H423" s="17" t="s">
        <v>363</v>
      </c>
      <c r="I423" s="17" t="s">
        <v>363</v>
      </c>
      <c r="J423" s="17" t="s">
        <v>363</v>
      </c>
      <c r="K423" s="17" t="s">
        <v>363</v>
      </c>
      <c r="L423" s="17" t="s">
        <v>363</v>
      </c>
      <c r="M423" s="17" t="s">
        <v>363</v>
      </c>
    </row>
    <row r="424" spans="2:13" x14ac:dyDescent="0.3">
      <c r="B424" s="12"/>
      <c r="C424" s="17"/>
      <c r="D424" s="17"/>
      <c r="E424" s="17"/>
      <c r="F424" s="17"/>
      <c r="G424" s="17"/>
      <c r="H424" s="17"/>
      <c r="I424" s="17"/>
      <c r="J424" s="17"/>
      <c r="K424" s="17"/>
      <c r="L424" s="17"/>
      <c r="M424" s="17"/>
    </row>
    <row r="425" spans="2:13" x14ac:dyDescent="0.3">
      <c r="B425" s="12" t="s">
        <v>451</v>
      </c>
      <c r="C425" s="17"/>
      <c r="D425" s="17"/>
      <c r="E425" s="17"/>
      <c r="F425" s="17"/>
      <c r="G425" s="17"/>
      <c r="H425" s="17"/>
      <c r="I425" s="17"/>
      <c r="J425" s="17"/>
      <c r="K425" s="17"/>
      <c r="L425" s="17"/>
      <c r="M425" s="17"/>
    </row>
    <row r="426" spans="2:13" x14ac:dyDescent="0.3">
      <c r="B426" s="12" t="s">
        <v>452</v>
      </c>
      <c r="C426" s="12" t="s">
        <v>453</v>
      </c>
      <c r="D426" s="17" t="s">
        <v>363</v>
      </c>
      <c r="E426" s="17" t="s">
        <v>363</v>
      </c>
      <c r="F426" s="17" t="s">
        <v>363</v>
      </c>
      <c r="G426" s="17" t="s">
        <v>363</v>
      </c>
      <c r="H426" s="17" t="s">
        <v>363</v>
      </c>
      <c r="I426" s="17" t="s">
        <v>363</v>
      </c>
      <c r="J426" s="17" t="s">
        <v>363</v>
      </c>
      <c r="K426" s="17" t="s">
        <v>363</v>
      </c>
      <c r="L426" s="17" t="s">
        <v>363</v>
      </c>
      <c r="M426" s="17" t="s">
        <v>364</v>
      </c>
    </row>
    <row r="427" spans="2:13" x14ac:dyDescent="0.3">
      <c r="B427" s="12" t="s">
        <v>454</v>
      </c>
      <c r="C427" s="12" t="s">
        <v>455</v>
      </c>
      <c r="D427" s="17" t="s">
        <v>363</v>
      </c>
      <c r="E427" s="17" t="s">
        <v>363</v>
      </c>
      <c r="F427" s="17" t="s">
        <v>363</v>
      </c>
      <c r="G427" s="17" t="s">
        <v>363</v>
      </c>
      <c r="H427" s="17" t="s">
        <v>363</v>
      </c>
      <c r="I427" s="17" t="s">
        <v>363</v>
      </c>
      <c r="J427" s="17" t="s">
        <v>363</v>
      </c>
      <c r="K427" s="17" t="s">
        <v>363</v>
      </c>
      <c r="L427" s="17" t="s">
        <v>363</v>
      </c>
      <c r="M427" s="17" t="s">
        <v>364</v>
      </c>
    </row>
    <row r="428" spans="2:13" x14ac:dyDescent="0.3">
      <c r="B428" s="12" t="s">
        <v>456</v>
      </c>
      <c r="C428" s="12" t="s">
        <v>457</v>
      </c>
      <c r="D428" s="13">
        <v>0</v>
      </c>
      <c r="E428" s="13">
        <v>0</v>
      </c>
      <c r="F428" s="13">
        <v>0</v>
      </c>
      <c r="G428" s="13">
        <v>0</v>
      </c>
      <c r="H428" s="13">
        <v>0</v>
      </c>
      <c r="I428" s="13">
        <v>0</v>
      </c>
      <c r="J428" s="13">
        <v>0</v>
      </c>
      <c r="K428" s="13">
        <v>0</v>
      </c>
      <c r="L428" s="13">
        <v>2.5659999999999998</v>
      </c>
      <c r="M428" s="13">
        <v>0</v>
      </c>
    </row>
    <row r="429" spans="2:13" x14ac:dyDescent="0.3">
      <c r="B429" s="12"/>
      <c r="C429" s="17"/>
      <c r="D429" s="17"/>
      <c r="E429" s="17"/>
      <c r="F429" s="17"/>
      <c r="G429" s="17"/>
      <c r="H429" s="17"/>
      <c r="I429" s="17"/>
      <c r="J429" s="17"/>
      <c r="K429" s="17"/>
      <c r="L429" s="17"/>
      <c r="M429" s="17"/>
    </row>
    <row r="430" spans="2:13" x14ac:dyDescent="0.3">
      <c r="B430" s="12" t="s">
        <v>458</v>
      </c>
      <c r="C430" s="17"/>
      <c r="D430" s="17"/>
      <c r="E430" s="17"/>
      <c r="F430" s="17"/>
      <c r="G430" s="17"/>
      <c r="H430" s="17"/>
      <c r="I430" s="17"/>
      <c r="J430" s="17"/>
      <c r="K430" s="17"/>
      <c r="L430" s="17"/>
      <c r="M430" s="17"/>
    </row>
    <row r="431" spans="2:13" x14ac:dyDescent="0.3">
      <c r="B431" s="12" t="s">
        <v>459</v>
      </c>
      <c r="C431" s="12" t="s">
        <v>460</v>
      </c>
      <c r="D431" s="17" t="s">
        <v>363</v>
      </c>
      <c r="E431" s="17" t="s">
        <v>363</v>
      </c>
      <c r="F431" s="17" t="s">
        <v>363</v>
      </c>
      <c r="G431" s="17" t="s">
        <v>363</v>
      </c>
      <c r="H431" s="17" t="s">
        <v>363</v>
      </c>
      <c r="I431" s="17" t="s">
        <v>363</v>
      </c>
      <c r="J431" s="17" t="s">
        <v>363</v>
      </c>
      <c r="K431" s="17" t="s">
        <v>363</v>
      </c>
      <c r="L431" s="17" t="s">
        <v>363</v>
      </c>
      <c r="M431" s="17" t="s">
        <v>363</v>
      </c>
    </row>
    <row r="432" spans="2:13" x14ac:dyDescent="0.3">
      <c r="B432" s="12"/>
      <c r="C432" s="17"/>
      <c r="D432" s="17"/>
      <c r="E432" s="17"/>
      <c r="F432" s="17"/>
      <c r="G432" s="17"/>
      <c r="H432" s="17"/>
      <c r="I432" s="17"/>
      <c r="J432" s="17"/>
      <c r="K432" s="17"/>
      <c r="L432" s="17"/>
      <c r="M432" s="17"/>
    </row>
    <row r="433" spans="2:13" x14ac:dyDescent="0.3">
      <c r="B433" s="12" t="s">
        <v>461</v>
      </c>
      <c r="C433" s="17"/>
      <c r="D433" s="17"/>
      <c r="E433" s="17"/>
      <c r="F433" s="17"/>
      <c r="G433" s="17"/>
      <c r="H433" s="17"/>
      <c r="I433" s="17"/>
      <c r="J433" s="17"/>
      <c r="K433" s="17"/>
      <c r="L433" s="17"/>
      <c r="M433" s="17"/>
    </row>
    <row r="434" spans="2:13" x14ac:dyDescent="0.3">
      <c r="B434" s="12" t="s">
        <v>462</v>
      </c>
      <c r="C434" s="12" t="s">
        <v>463</v>
      </c>
      <c r="D434" s="17" t="s">
        <v>362</v>
      </c>
      <c r="E434" s="17" t="s">
        <v>362</v>
      </c>
      <c r="F434" s="17" t="s">
        <v>362</v>
      </c>
      <c r="G434" s="17" t="s">
        <v>362</v>
      </c>
      <c r="H434" s="17" t="s">
        <v>362</v>
      </c>
      <c r="I434" s="17" t="s">
        <v>362</v>
      </c>
      <c r="J434" s="17" t="s">
        <v>363</v>
      </c>
      <c r="K434" s="17" t="s">
        <v>363</v>
      </c>
      <c r="L434" s="17" t="s">
        <v>363</v>
      </c>
      <c r="M434" s="17" t="s">
        <v>364</v>
      </c>
    </row>
    <row r="435" spans="2:13" x14ac:dyDescent="0.3">
      <c r="B435" s="12" t="s">
        <v>464</v>
      </c>
      <c r="C435" s="12" t="s">
        <v>465</v>
      </c>
      <c r="D435" s="17" t="s">
        <v>362</v>
      </c>
      <c r="E435" s="17" t="s">
        <v>362</v>
      </c>
      <c r="F435" s="17" t="s">
        <v>362</v>
      </c>
      <c r="G435" s="17" t="s">
        <v>362</v>
      </c>
      <c r="H435" s="17" t="s">
        <v>362</v>
      </c>
      <c r="I435" s="17" t="s">
        <v>362</v>
      </c>
      <c r="J435" s="17" t="s">
        <v>362</v>
      </c>
      <c r="K435" s="17" t="s">
        <v>362</v>
      </c>
      <c r="L435" s="17" t="s">
        <v>362</v>
      </c>
      <c r="M435" s="17" t="s">
        <v>364</v>
      </c>
    </row>
    <row r="436" spans="2:13" x14ac:dyDescent="0.3">
      <c r="B436" s="12" t="s">
        <v>466</v>
      </c>
      <c r="C436" s="12" t="s">
        <v>467</v>
      </c>
      <c r="D436" s="18">
        <v>238000</v>
      </c>
      <c r="E436" s="18">
        <v>254000</v>
      </c>
      <c r="F436" s="18">
        <v>277000</v>
      </c>
      <c r="G436" s="18">
        <v>291000</v>
      </c>
      <c r="H436" s="18">
        <v>346000</v>
      </c>
      <c r="I436" s="18">
        <v>349000</v>
      </c>
      <c r="J436" s="18">
        <v>383000</v>
      </c>
      <c r="K436" s="18">
        <v>402000</v>
      </c>
      <c r="L436" s="18">
        <v>381000</v>
      </c>
      <c r="M436" s="18">
        <v>361000</v>
      </c>
    </row>
    <row r="437" spans="2:13" x14ac:dyDescent="0.3">
      <c r="B437" s="12" t="s">
        <v>468</v>
      </c>
      <c r="C437" s="12" t="s">
        <v>469</v>
      </c>
      <c r="D437" s="17" t="s">
        <v>362</v>
      </c>
      <c r="E437" s="17" t="s">
        <v>362</v>
      </c>
      <c r="F437" s="17" t="s">
        <v>362</v>
      </c>
      <c r="G437" s="17" t="s">
        <v>362</v>
      </c>
      <c r="H437" s="17" t="s">
        <v>362</v>
      </c>
      <c r="I437" s="17" t="s">
        <v>362</v>
      </c>
      <c r="J437" s="17" t="s">
        <v>362</v>
      </c>
      <c r="K437" s="17" t="s">
        <v>362</v>
      </c>
      <c r="L437" s="17" t="s">
        <v>362</v>
      </c>
      <c r="M437" s="17" t="s">
        <v>364</v>
      </c>
    </row>
    <row r="438" spans="2:13" x14ac:dyDescent="0.3">
      <c r="B438" s="12"/>
      <c r="C438" s="17"/>
      <c r="D438" s="17"/>
      <c r="E438" s="17"/>
      <c r="F438" s="17"/>
      <c r="G438" s="17"/>
      <c r="H438" s="17"/>
      <c r="I438" s="17"/>
      <c r="J438" s="17"/>
      <c r="K438" s="17"/>
      <c r="L438" s="17"/>
      <c r="M438" s="17"/>
    </row>
    <row r="439" spans="2:13" x14ac:dyDescent="0.3">
      <c r="B439" s="12" t="s">
        <v>415</v>
      </c>
      <c r="C439" s="17"/>
      <c r="D439" s="17"/>
      <c r="E439" s="17"/>
      <c r="F439" s="17"/>
      <c r="G439" s="17"/>
      <c r="H439" s="17"/>
      <c r="I439" s="17"/>
      <c r="J439" s="17"/>
      <c r="K439" s="17"/>
      <c r="L439" s="17"/>
      <c r="M439" s="17"/>
    </row>
    <row r="440" spans="2:13" x14ac:dyDescent="0.3">
      <c r="B440" s="12" t="s">
        <v>470</v>
      </c>
      <c r="C440" s="12" t="s">
        <v>471</v>
      </c>
      <c r="D440" s="17" t="s">
        <v>363</v>
      </c>
      <c r="E440" s="17" t="s">
        <v>363</v>
      </c>
      <c r="F440" s="17" t="s">
        <v>363</v>
      </c>
      <c r="G440" s="17" t="s">
        <v>363</v>
      </c>
      <c r="H440" s="17" t="s">
        <v>363</v>
      </c>
      <c r="I440" s="17" t="s">
        <v>363</v>
      </c>
      <c r="J440" s="17" t="s">
        <v>363</v>
      </c>
      <c r="K440" s="17" t="s">
        <v>363</v>
      </c>
      <c r="L440" s="17" t="s">
        <v>363</v>
      </c>
      <c r="M440" s="17" t="s">
        <v>364</v>
      </c>
    </row>
    <row r="441" spans="2:13" x14ac:dyDescent="0.3">
      <c r="B441" s="12"/>
      <c r="C441" s="17"/>
      <c r="D441" s="17"/>
      <c r="E441" s="17"/>
      <c r="F441" s="17"/>
      <c r="G441" s="17"/>
      <c r="H441" s="17"/>
      <c r="I441" s="17"/>
      <c r="J441" s="17"/>
      <c r="K441" s="17"/>
      <c r="L441" s="17"/>
      <c r="M441" s="17"/>
    </row>
    <row r="442" spans="2:13" x14ac:dyDescent="0.3">
      <c r="B442" s="12" t="s">
        <v>472</v>
      </c>
      <c r="C442" s="17"/>
      <c r="D442" s="17"/>
      <c r="E442" s="17"/>
      <c r="F442" s="17"/>
      <c r="G442" s="17"/>
      <c r="H442" s="17"/>
      <c r="I442" s="17"/>
      <c r="J442" s="17"/>
      <c r="K442" s="17"/>
      <c r="L442" s="17"/>
      <c r="M442" s="17"/>
    </row>
    <row r="443" spans="2:13" x14ac:dyDescent="0.3">
      <c r="B443" s="12" t="s">
        <v>473</v>
      </c>
      <c r="C443" s="17"/>
      <c r="D443" s="17"/>
      <c r="E443" s="17"/>
      <c r="F443" s="17"/>
      <c r="G443" s="17"/>
      <c r="H443" s="17"/>
      <c r="I443" s="17"/>
      <c r="J443" s="17"/>
      <c r="K443" s="17"/>
      <c r="L443" s="17"/>
      <c r="M443" s="17"/>
    </row>
    <row r="444" spans="2:13" x14ac:dyDescent="0.3">
      <c r="B444" s="12" t="s">
        <v>474</v>
      </c>
      <c r="C444" s="12" t="s">
        <v>475</v>
      </c>
      <c r="D444" s="18">
        <v>28</v>
      </c>
      <c r="E444" s="18">
        <v>29</v>
      </c>
      <c r="F444" s="18">
        <v>30</v>
      </c>
      <c r="G444" s="18">
        <v>31</v>
      </c>
      <c r="H444" s="18">
        <v>32</v>
      </c>
      <c r="I444" s="18">
        <v>33</v>
      </c>
      <c r="J444" s="18">
        <v>34</v>
      </c>
      <c r="K444" s="18">
        <v>35</v>
      </c>
      <c r="L444" s="18">
        <v>36</v>
      </c>
      <c r="M444" s="18">
        <v>37</v>
      </c>
    </row>
    <row r="445" spans="2:13" x14ac:dyDescent="0.3">
      <c r="B445" s="12" t="s">
        <v>476</v>
      </c>
      <c r="C445" s="12" t="s">
        <v>477</v>
      </c>
      <c r="D445" s="18">
        <v>5</v>
      </c>
      <c r="E445" s="18">
        <v>5</v>
      </c>
      <c r="F445" s="18">
        <v>6</v>
      </c>
      <c r="G445" s="18">
        <v>4</v>
      </c>
      <c r="H445" s="18">
        <v>5</v>
      </c>
      <c r="I445" s="18">
        <v>5</v>
      </c>
      <c r="J445" s="18">
        <v>5</v>
      </c>
      <c r="K445" s="18">
        <v>4</v>
      </c>
      <c r="L445" s="18">
        <v>3</v>
      </c>
      <c r="M445" s="18">
        <v>4</v>
      </c>
    </row>
    <row r="446" spans="2:13" x14ac:dyDescent="0.3">
      <c r="B446" s="12" t="s">
        <v>478</v>
      </c>
      <c r="C446" s="12" t="s">
        <v>479</v>
      </c>
      <c r="D446" s="18">
        <v>5</v>
      </c>
      <c r="E446" s="18">
        <v>5</v>
      </c>
      <c r="F446" s="18">
        <v>6</v>
      </c>
      <c r="G446" s="18">
        <v>4</v>
      </c>
      <c r="H446" s="18">
        <v>5</v>
      </c>
      <c r="I446" s="18">
        <v>5</v>
      </c>
      <c r="J446" s="18">
        <v>5</v>
      </c>
      <c r="K446" s="18">
        <v>4</v>
      </c>
      <c r="L446" s="18">
        <v>3</v>
      </c>
      <c r="M446" s="18">
        <v>4</v>
      </c>
    </row>
    <row r="447" spans="2:13" x14ac:dyDescent="0.3">
      <c r="B447" s="12" t="s">
        <v>480</v>
      </c>
      <c r="C447" s="12" t="s">
        <v>481</v>
      </c>
      <c r="D447" s="18">
        <v>9</v>
      </c>
      <c r="E447" s="18">
        <v>9</v>
      </c>
      <c r="F447" s="18">
        <v>9</v>
      </c>
      <c r="G447" s="18">
        <v>9</v>
      </c>
      <c r="H447" s="18">
        <v>9</v>
      </c>
      <c r="I447" s="18">
        <v>8</v>
      </c>
      <c r="J447" s="18">
        <v>9</v>
      </c>
      <c r="K447" s="18">
        <v>9</v>
      </c>
      <c r="L447" s="18">
        <v>8</v>
      </c>
      <c r="M447" s="18">
        <v>10</v>
      </c>
    </row>
    <row r="448" spans="2:13" x14ac:dyDescent="0.3">
      <c r="B448" s="12" t="s">
        <v>482</v>
      </c>
      <c r="C448" s="12" t="s">
        <v>483</v>
      </c>
      <c r="D448" s="18">
        <v>75</v>
      </c>
      <c r="E448" s="18">
        <v>75</v>
      </c>
      <c r="F448" s="18">
        <v>75</v>
      </c>
      <c r="G448" s="18">
        <v>75</v>
      </c>
      <c r="H448" s="18">
        <v>75</v>
      </c>
      <c r="I448" s="18">
        <v>75</v>
      </c>
      <c r="J448" s="18">
        <v>75</v>
      </c>
      <c r="K448" s="18">
        <v>75</v>
      </c>
      <c r="L448" s="18">
        <v>75</v>
      </c>
      <c r="M448" s="18">
        <v>75</v>
      </c>
    </row>
    <row r="449" spans="2:13" x14ac:dyDescent="0.3">
      <c r="B449" s="12"/>
      <c r="C449" s="17"/>
      <c r="D449" s="17"/>
      <c r="E449" s="17"/>
      <c r="F449" s="17"/>
      <c r="G449" s="17"/>
      <c r="H449" s="17"/>
      <c r="I449" s="17"/>
      <c r="J449" s="17"/>
      <c r="K449" s="17"/>
      <c r="L449" s="17"/>
      <c r="M449" s="17"/>
    </row>
    <row r="450" spans="2:13" x14ac:dyDescent="0.3">
      <c r="B450" s="12" t="s">
        <v>484</v>
      </c>
      <c r="C450" s="17"/>
      <c r="D450" s="17"/>
      <c r="E450" s="17"/>
      <c r="F450" s="17"/>
      <c r="G450" s="17"/>
      <c r="H450" s="17"/>
      <c r="I450" s="17"/>
      <c r="J450" s="17"/>
      <c r="K450" s="17"/>
      <c r="L450" s="17"/>
      <c r="M450" s="17"/>
    </row>
    <row r="451" spans="2:13" x14ac:dyDescent="0.3">
      <c r="B451" s="12" t="s">
        <v>485</v>
      </c>
      <c r="C451" s="12" t="s">
        <v>486</v>
      </c>
      <c r="D451" s="17" t="s">
        <v>363</v>
      </c>
      <c r="E451" s="17" t="s">
        <v>363</v>
      </c>
      <c r="F451" s="17" t="s">
        <v>363</v>
      </c>
      <c r="G451" s="17" t="s">
        <v>363</v>
      </c>
      <c r="H451" s="17" t="s">
        <v>363</v>
      </c>
      <c r="I451" s="17" t="s">
        <v>363</v>
      </c>
      <c r="J451" s="17" t="s">
        <v>363</v>
      </c>
      <c r="K451" s="17" t="s">
        <v>363</v>
      </c>
      <c r="L451" s="17" t="s">
        <v>363</v>
      </c>
      <c r="M451" s="17" t="s">
        <v>363</v>
      </c>
    </row>
    <row r="452" spans="2:13" x14ac:dyDescent="0.3">
      <c r="B452" s="12" t="s">
        <v>487</v>
      </c>
      <c r="C452" s="12" t="s">
        <v>488</v>
      </c>
      <c r="D452" s="18">
        <v>12</v>
      </c>
      <c r="E452" s="18">
        <v>12</v>
      </c>
      <c r="F452" s="18">
        <v>14</v>
      </c>
      <c r="G452" s="18">
        <v>10</v>
      </c>
      <c r="H452" s="18">
        <v>13</v>
      </c>
      <c r="I452" s="18">
        <v>13</v>
      </c>
      <c r="J452" s="18">
        <v>11</v>
      </c>
      <c r="K452" s="18">
        <v>10</v>
      </c>
      <c r="L452" s="18">
        <v>7</v>
      </c>
      <c r="M452" s="18">
        <v>10</v>
      </c>
    </row>
    <row r="453" spans="2:13" x14ac:dyDescent="0.3">
      <c r="B453" s="12" t="s">
        <v>489</v>
      </c>
      <c r="C453" s="12" t="s">
        <v>490</v>
      </c>
      <c r="D453" s="18">
        <v>6</v>
      </c>
      <c r="E453" s="18">
        <v>6</v>
      </c>
      <c r="F453" s="18">
        <v>7</v>
      </c>
      <c r="G453" s="18">
        <v>8</v>
      </c>
      <c r="H453" s="18">
        <v>8</v>
      </c>
      <c r="I453" s="18">
        <v>6</v>
      </c>
      <c r="J453" s="18">
        <v>6</v>
      </c>
      <c r="K453" s="18">
        <v>6</v>
      </c>
      <c r="L453" s="18">
        <v>5</v>
      </c>
      <c r="M453" s="18">
        <v>6</v>
      </c>
    </row>
    <row r="454" spans="2:13" x14ac:dyDescent="0.3">
      <c r="B454" s="12" t="s">
        <v>491</v>
      </c>
      <c r="C454" s="12" t="s">
        <v>492</v>
      </c>
      <c r="D454" s="18">
        <v>10</v>
      </c>
      <c r="E454" s="18">
        <v>10</v>
      </c>
      <c r="F454" s="18">
        <v>11</v>
      </c>
      <c r="G454" s="18">
        <v>8</v>
      </c>
      <c r="H454" s="18">
        <v>11</v>
      </c>
      <c r="I454" s="18">
        <v>11</v>
      </c>
      <c r="J454" s="18">
        <v>10</v>
      </c>
      <c r="K454" s="18">
        <v>9</v>
      </c>
      <c r="L454" s="18">
        <v>6</v>
      </c>
      <c r="M454" s="18">
        <v>9</v>
      </c>
    </row>
    <row r="455" spans="2:13" x14ac:dyDescent="0.3">
      <c r="B455" s="12" t="s">
        <v>493</v>
      </c>
      <c r="C455" s="12" t="s">
        <v>494</v>
      </c>
      <c r="D455" s="18">
        <v>7</v>
      </c>
      <c r="E455" s="18">
        <v>7</v>
      </c>
      <c r="F455" s="18">
        <v>8</v>
      </c>
      <c r="G455" s="18">
        <v>9</v>
      </c>
      <c r="H455" s="18">
        <v>7</v>
      </c>
      <c r="I455" s="18">
        <v>5</v>
      </c>
      <c r="J455" s="18">
        <v>6</v>
      </c>
      <c r="K455" s="18">
        <v>6</v>
      </c>
      <c r="L455" s="18">
        <v>5</v>
      </c>
      <c r="M455" s="18">
        <v>16</v>
      </c>
    </row>
    <row r="456" spans="2:13" x14ac:dyDescent="0.3">
      <c r="B456" s="12" t="s">
        <v>495</v>
      </c>
      <c r="C456" s="12" t="s">
        <v>496</v>
      </c>
      <c r="D456" s="18">
        <v>75</v>
      </c>
      <c r="E456" s="18">
        <v>75</v>
      </c>
      <c r="F456" s="18">
        <v>75</v>
      </c>
      <c r="G456" s="18">
        <v>75</v>
      </c>
      <c r="H456" s="18">
        <v>75</v>
      </c>
      <c r="I456" s="18">
        <v>75</v>
      </c>
      <c r="J456" s="18">
        <v>75</v>
      </c>
      <c r="K456" s="18">
        <v>75</v>
      </c>
      <c r="L456" s="18">
        <v>75</v>
      </c>
      <c r="M456" s="18">
        <v>75</v>
      </c>
    </row>
    <row r="457" spans="2:13" x14ac:dyDescent="0.3">
      <c r="B457" s="12"/>
      <c r="C457" s="17"/>
      <c r="D457" s="17"/>
      <c r="E457" s="17"/>
      <c r="F457" s="17"/>
      <c r="G457" s="17"/>
      <c r="H457" s="17"/>
      <c r="I457" s="17"/>
      <c r="J457" s="17"/>
      <c r="K457" s="17"/>
      <c r="L457" s="17"/>
      <c r="M457" s="17"/>
    </row>
    <row r="458" spans="2:13" x14ac:dyDescent="0.3">
      <c r="B458" s="12" t="s">
        <v>497</v>
      </c>
      <c r="C458" s="17"/>
      <c r="D458" s="17"/>
      <c r="E458" s="17"/>
      <c r="F458" s="17"/>
      <c r="G458" s="17"/>
      <c r="H458" s="17"/>
      <c r="I458" s="17"/>
      <c r="J458" s="17"/>
      <c r="K458" s="17"/>
      <c r="L458" s="17"/>
      <c r="M458" s="17"/>
    </row>
    <row r="459" spans="2:13" x14ac:dyDescent="0.3">
      <c r="B459" s="12" t="s">
        <v>498</v>
      </c>
      <c r="C459" s="12" t="s">
        <v>499</v>
      </c>
      <c r="D459" s="17" t="s">
        <v>363</v>
      </c>
      <c r="E459" s="17" t="s">
        <v>363</v>
      </c>
      <c r="F459" s="17" t="s">
        <v>363</v>
      </c>
      <c r="G459" s="17" t="s">
        <v>363</v>
      </c>
      <c r="H459" s="17" t="s">
        <v>363</v>
      </c>
      <c r="I459" s="17" t="s">
        <v>363</v>
      </c>
      <c r="J459" s="17" t="s">
        <v>363</v>
      </c>
      <c r="K459" s="17" t="s">
        <v>363</v>
      </c>
      <c r="L459" s="17" t="s">
        <v>363</v>
      </c>
      <c r="M459" s="17" t="s">
        <v>363</v>
      </c>
    </row>
    <row r="460" spans="2:13" x14ac:dyDescent="0.3">
      <c r="B460" s="12" t="s">
        <v>500</v>
      </c>
      <c r="C460" s="12" t="s">
        <v>501</v>
      </c>
      <c r="D460" s="17" t="s">
        <v>363</v>
      </c>
      <c r="E460" s="17" t="s">
        <v>363</v>
      </c>
      <c r="F460" s="17" t="s">
        <v>363</v>
      </c>
      <c r="G460" s="17" t="s">
        <v>363</v>
      </c>
      <c r="H460" s="17" t="s">
        <v>363</v>
      </c>
      <c r="I460" s="17" t="s">
        <v>363</v>
      </c>
      <c r="J460" s="17" t="s">
        <v>363</v>
      </c>
      <c r="K460" s="17" t="s">
        <v>363</v>
      </c>
      <c r="L460" s="17" t="s">
        <v>363</v>
      </c>
      <c r="M460" s="17" t="s">
        <v>363</v>
      </c>
    </row>
    <row r="461" spans="2:13" x14ac:dyDescent="0.3">
      <c r="B461" s="12" t="s">
        <v>502</v>
      </c>
      <c r="C461" s="12" t="s">
        <v>503</v>
      </c>
      <c r="D461" s="18">
        <v>5</v>
      </c>
      <c r="E461" s="18">
        <v>5</v>
      </c>
      <c r="F461" s="18">
        <v>5</v>
      </c>
      <c r="G461" s="18">
        <v>4</v>
      </c>
      <c r="H461" s="18">
        <v>5</v>
      </c>
      <c r="I461" s="18">
        <v>5</v>
      </c>
      <c r="J461" s="18">
        <v>5</v>
      </c>
      <c r="K461" s="18">
        <v>4</v>
      </c>
      <c r="L461" s="18">
        <v>3</v>
      </c>
      <c r="M461" s="18">
        <v>4</v>
      </c>
    </row>
    <row r="462" spans="2:13" x14ac:dyDescent="0.3">
      <c r="B462" s="12" t="s">
        <v>504</v>
      </c>
      <c r="C462" s="12" t="s">
        <v>505</v>
      </c>
      <c r="D462" s="18">
        <v>5</v>
      </c>
      <c r="E462" s="18">
        <v>5</v>
      </c>
      <c r="F462" s="18">
        <v>5</v>
      </c>
      <c r="G462" s="18">
        <v>4</v>
      </c>
      <c r="H462" s="18">
        <v>5</v>
      </c>
      <c r="I462" s="18">
        <v>5</v>
      </c>
      <c r="J462" s="18">
        <v>5</v>
      </c>
      <c r="K462" s="18">
        <v>4</v>
      </c>
      <c r="L462" s="18">
        <v>3</v>
      </c>
      <c r="M462" s="18">
        <v>4</v>
      </c>
    </row>
    <row r="463" spans="2:13" x14ac:dyDescent="0.3">
      <c r="B463" s="12" t="s">
        <v>506</v>
      </c>
      <c r="C463" s="12" t="s">
        <v>507</v>
      </c>
      <c r="D463" s="18">
        <v>6</v>
      </c>
      <c r="E463" s="18">
        <v>6</v>
      </c>
      <c r="F463" s="18">
        <v>8</v>
      </c>
      <c r="G463" s="18">
        <v>7</v>
      </c>
      <c r="H463" s="18">
        <v>5</v>
      </c>
      <c r="I463" s="18">
        <v>4</v>
      </c>
      <c r="J463" s="18">
        <v>6</v>
      </c>
      <c r="K463" s="18">
        <v>8</v>
      </c>
      <c r="L463" s="18">
        <v>5</v>
      </c>
      <c r="M463" s="18">
        <v>5</v>
      </c>
    </row>
    <row r="464" spans="2:13" x14ac:dyDescent="0.3">
      <c r="B464" s="12" t="s">
        <v>508</v>
      </c>
      <c r="C464" s="12" t="s">
        <v>509</v>
      </c>
      <c r="D464" s="18">
        <v>75</v>
      </c>
      <c r="E464" s="18">
        <v>75</v>
      </c>
      <c r="F464" s="18">
        <v>75</v>
      </c>
      <c r="G464" s="18">
        <v>75</v>
      </c>
      <c r="H464" s="18">
        <v>75</v>
      </c>
      <c r="I464" s="18">
        <v>75</v>
      </c>
      <c r="J464" s="18">
        <v>75</v>
      </c>
      <c r="K464" s="18">
        <v>75</v>
      </c>
      <c r="L464" s="18">
        <v>75</v>
      </c>
      <c r="M464" s="18">
        <v>75</v>
      </c>
    </row>
    <row r="465" spans="2:13" x14ac:dyDescent="0.3">
      <c r="B465" s="12"/>
      <c r="C465" s="17"/>
      <c r="D465" s="17"/>
      <c r="E465" s="17"/>
      <c r="F465" s="17"/>
      <c r="G465" s="17"/>
      <c r="H465" s="17"/>
      <c r="I465" s="17"/>
      <c r="J465" s="17"/>
      <c r="K465" s="17"/>
      <c r="L465" s="17"/>
      <c r="M465" s="17"/>
    </row>
    <row r="466" spans="2:13" x14ac:dyDescent="0.3">
      <c r="B466" s="12" t="s">
        <v>446</v>
      </c>
      <c r="C466" s="17"/>
      <c r="D466" s="17"/>
      <c r="E466" s="17"/>
      <c r="F466" s="17"/>
      <c r="G466" s="17"/>
      <c r="H466" s="17"/>
      <c r="I466" s="17"/>
      <c r="J466" s="17"/>
      <c r="K466" s="17"/>
      <c r="L466" s="17"/>
      <c r="M466" s="17"/>
    </row>
    <row r="467" spans="2:13" x14ac:dyDescent="0.3">
      <c r="B467" s="12" t="s">
        <v>510</v>
      </c>
      <c r="C467" s="12" t="s">
        <v>511</v>
      </c>
      <c r="D467" s="18">
        <v>1</v>
      </c>
      <c r="E467" s="18">
        <v>1</v>
      </c>
      <c r="F467" s="18">
        <v>1</v>
      </c>
      <c r="G467" s="18">
        <v>3</v>
      </c>
      <c r="H467" s="18">
        <v>3</v>
      </c>
      <c r="I467" s="18">
        <v>3</v>
      </c>
      <c r="J467" s="18">
        <v>2</v>
      </c>
      <c r="K467" s="18">
        <v>2</v>
      </c>
      <c r="L467" s="18">
        <v>2</v>
      </c>
      <c r="M467" s="18">
        <v>2</v>
      </c>
    </row>
    <row r="468" spans="2:13" x14ac:dyDescent="0.3">
      <c r="B468" s="12" t="s">
        <v>512</v>
      </c>
      <c r="C468" s="12" t="s">
        <v>513</v>
      </c>
      <c r="D468" s="18">
        <v>2</v>
      </c>
      <c r="E468" s="18">
        <v>3</v>
      </c>
      <c r="F468" s="18">
        <v>4</v>
      </c>
      <c r="G468" s="18">
        <v>4</v>
      </c>
      <c r="H468" s="18">
        <v>5</v>
      </c>
      <c r="I468" s="18">
        <v>5</v>
      </c>
      <c r="J468" s="18">
        <v>4</v>
      </c>
      <c r="K468" s="18">
        <v>3</v>
      </c>
      <c r="L468" s="18">
        <v>2</v>
      </c>
      <c r="M468" s="18">
        <v>3</v>
      </c>
    </row>
    <row r="469" spans="2:13" x14ac:dyDescent="0.3">
      <c r="B469" s="12" t="s">
        <v>514</v>
      </c>
      <c r="C469" s="12" t="s">
        <v>515</v>
      </c>
      <c r="D469" s="18">
        <v>75</v>
      </c>
      <c r="E469" s="18">
        <v>75</v>
      </c>
      <c r="F469" s="18">
        <v>75</v>
      </c>
      <c r="G469" s="18">
        <v>75</v>
      </c>
      <c r="H469" s="18">
        <v>75</v>
      </c>
      <c r="I469" s="18">
        <v>75</v>
      </c>
      <c r="J469" s="18">
        <v>75</v>
      </c>
      <c r="K469" s="18">
        <v>75</v>
      </c>
      <c r="L469" s="18">
        <v>75</v>
      </c>
      <c r="M469" s="18">
        <v>75</v>
      </c>
    </row>
    <row r="470" spans="2:13" x14ac:dyDescent="0.3">
      <c r="B470" s="12" t="s">
        <v>516</v>
      </c>
      <c r="C470" s="12" t="s">
        <v>517</v>
      </c>
      <c r="D470" s="18">
        <v>34</v>
      </c>
      <c r="E470" s="18">
        <v>35</v>
      </c>
      <c r="F470" s="18">
        <v>36</v>
      </c>
      <c r="G470" s="18">
        <v>37</v>
      </c>
      <c r="H470" s="18">
        <v>38</v>
      </c>
      <c r="I470" s="18">
        <v>39</v>
      </c>
      <c r="J470" s="18">
        <v>40</v>
      </c>
      <c r="K470" s="18">
        <v>41</v>
      </c>
      <c r="L470" s="18">
        <v>52</v>
      </c>
      <c r="M470" s="18">
        <v>51</v>
      </c>
    </row>
    <row r="471" spans="2:13" x14ac:dyDescent="0.3">
      <c r="B471" s="12" t="s">
        <v>518</v>
      </c>
      <c r="C471" s="12" t="s">
        <v>519</v>
      </c>
      <c r="D471" s="18">
        <v>74</v>
      </c>
      <c r="E471" s="18">
        <v>75</v>
      </c>
      <c r="F471" s="18">
        <v>74</v>
      </c>
      <c r="G471" s="18">
        <v>72</v>
      </c>
      <c r="H471" s="18">
        <v>73</v>
      </c>
      <c r="I471" s="18">
        <v>74</v>
      </c>
      <c r="J471" s="18">
        <v>71</v>
      </c>
      <c r="K471" s="18">
        <v>72</v>
      </c>
      <c r="L471" s="18">
        <v>59</v>
      </c>
      <c r="M471" s="18">
        <v>65</v>
      </c>
    </row>
    <row r="472" spans="2:13" x14ac:dyDescent="0.3">
      <c r="B472" s="12"/>
      <c r="C472" s="17"/>
      <c r="D472" s="17"/>
      <c r="E472" s="17"/>
      <c r="F472" s="17"/>
      <c r="G472" s="17"/>
      <c r="H472" s="17"/>
      <c r="I472" s="17"/>
      <c r="J472" s="17"/>
      <c r="K472" s="17"/>
      <c r="L472" s="17"/>
      <c r="M472" s="17"/>
    </row>
    <row r="473" spans="2:13" x14ac:dyDescent="0.3">
      <c r="B473" s="12" t="s">
        <v>520</v>
      </c>
      <c r="C473" s="17"/>
      <c r="D473" s="17"/>
      <c r="E473" s="17"/>
      <c r="F473" s="17"/>
      <c r="G473" s="17"/>
      <c r="H473" s="17"/>
      <c r="I473" s="17"/>
      <c r="J473" s="17"/>
      <c r="K473" s="17"/>
      <c r="L473" s="17"/>
      <c r="M473" s="17"/>
    </row>
    <row r="474" spans="2:13" x14ac:dyDescent="0.3">
      <c r="B474" s="12" t="s">
        <v>521</v>
      </c>
      <c r="C474" s="12" t="s">
        <v>522</v>
      </c>
      <c r="D474" s="18">
        <v>10</v>
      </c>
      <c r="E474" s="18">
        <v>10</v>
      </c>
      <c r="F474" s="18">
        <v>11</v>
      </c>
      <c r="G474" s="18">
        <v>8</v>
      </c>
      <c r="H474" s="18">
        <v>11</v>
      </c>
      <c r="I474" s="18">
        <v>11</v>
      </c>
      <c r="J474" s="18">
        <v>10</v>
      </c>
      <c r="K474" s="18">
        <v>9</v>
      </c>
      <c r="L474" s="18">
        <v>6</v>
      </c>
      <c r="M474" s="18">
        <v>9</v>
      </c>
    </row>
    <row r="475" spans="2:13" x14ac:dyDescent="0.3">
      <c r="B475" s="12"/>
      <c r="C475" s="17"/>
      <c r="D475" s="17"/>
      <c r="E475" s="17"/>
      <c r="F475" s="17"/>
      <c r="G475" s="17"/>
      <c r="H475" s="17"/>
      <c r="I475" s="17"/>
      <c r="J475" s="17"/>
      <c r="K475" s="17"/>
      <c r="L475" s="17"/>
      <c r="M475" s="17"/>
    </row>
    <row r="476" spans="2:13" x14ac:dyDescent="0.3">
      <c r="B476" s="12" t="s">
        <v>523</v>
      </c>
      <c r="C476" s="17"/>
      <c r="D476" s="17"/>
      <c r="E476" s="17"/>
      <c r="F476" s="17"/>
      <c r="G476" s="17"/>
      <c r="H476" s="17"/>
      <c r="I476" s="17"/>
      <c r="J476" s="17"/>
      <c r="K476" s="17"/>
      <c r="L476" s="17"/>
      <c r="M476" s="17"/>
    </row>
    <row r="477" spans="2:13" x14ac:dyDescent="0.3">
      <c r="B477" s="12" t="s">
        <v>524</v>
      </c>
      <c r="C477" s="12" t="s">
        <v>525</v>
      </c>
      <c r="D477" s="18">
        <v>6</v>
      </c>
      <c r="E477" s="18">
        <v>6</v>
      </c>
      <c r="F477" s="18">
        <v>7</v>
      </c>
      <c r="G477" s="18">
        <v>5</v>
      </c>
      <c r="H477" s="18">
        <v>6</v>
      </c>
      <c r="I477" s="18">
        <v>6</v>
      </c>
      <c r="J477" s="18">
        <v>6</v>
      </c>
      <c r="K477" s="18">
        <v>5</v>
      </c>
      <c r="L477" s="18">
        <v>3</v>
      </c>
      <c r="M477" s="18">
        <v>3</v>
      </c>
    </row>
    <row r="478" spans="2:13" x14ac:dyDescent="0.3">
      <c r="B478" s="12" t="s">
        <v>526</v>
      </c>
      <c r="C478" s="12" t="s">
        <v>527</v>
      </c>
      <c r="D478" s="18">
        <v>6</v>
      </c>
      <c r="E478" s="18">
        <v>6</v>
      </c>
      <c r="F478" s="18">
        <v>7</v>
      </c>
      <c r="G478" s="18">
        <v>5</v>
      </c>
      <c r="H478" s="18">
        <v>6</v>
      </c>
      <c r="I478" s="18">
        <v>6</v>
      </c>
      <c r="J478" s="18">
        <v>6</v>
      </c>
      <c r="K478" s="18">
        <v>5</v>
      </c>
      <c r="L478" s="18">
        <v>3</v>
      </c>
      <c r="M478" s="18">
        <v>3</v>
      </c>
    </row>
    <row r="479" spans="2:13" x14ac:dyDescent="0.3">
      <c r="B479" s="12" t="s">
        <v>528</v>
      </c>
      <c r="C479" s="12" t="s">
        <v>529</v>
      </c>
      <c r="D479" s="18">
        <v>6</v>
      </c>
      <c r="E479" s="18">
        <v>6</v>
      </c>
      <c r="F479" s="18">
        <v>6</v>
      </c>
      <c r="G479" s="18">
        <v>4</v>
      </c>
      <c r="H479" s="18">
        <v>5</v>
      </c>
      <c r="I479" s="18">
        <v>4</v>
      </c>
      <c r="J479" s="18">
        <v>5</v>
      </c>
      <c r="K479" s="18">
        <v>4</v>
      </c>
      <c r="L479" s="18">
        <v>8</v>
      </c>
      <c r="M479" s="18">
        <v>7</v>
      </c>
    </row>
    <row r="480" spans="2:13" x14ac:dyDescent="0.3">
      <c r="B480" s="12" t="s">
        <v>530</v>
      </c>
      <c r="C480" s="12" t="s">
        <v>531</v>
      </c>
      <c r="D480" s="18">
        <v>75</v>
      </c>
      <c r="E480" s="18">
        <v>75</v>
      </c>
      <c r="F480" s="18">
        <v>75</v>
      </c>
      <c r="G480" s="18">
        <v>75</v>
      </c>
      <c r="H480" s="18">
        <v>75</v>
      </c>
      <c r="I480" s="18">
        <v>75</v>
      </c>
      <c r="J480" s="18">
        <v>75</v>
      </c>
      <c r="K480" s="18">
        <v>75</v>
      </c>
      <c r="L480" s="18">
        <v>75</v>
      </c>
      <c r="M480" s="18">
        <v>75</v>
      </c>
    </row>
    <row r="481" spans="2:13" x14ac:dyDescent="0.3">
      <c r="B481" s="12"/>
      <c r="C481" s="17"/>
      <c r="D481" s="17"/>
      <c r="E481" s="17"/>
      <c r="F481" s="17"/>
      <c r="G481" s="17"/>
      <c r="H481" s="17"/>
      <c r="I481" s="17"/>
      <c r="J481" s="17"/>
      <c r="K481" s="17"/>
      <c r="L481" s="17"/>
      <c r="M481" s="17"/>
    </row>
    <row r="482" spans="2:13" x14ac:dyDescent="0.3">
      <c r="B482" s="12" t="s">
        <v>532</v>
      </c>
      <c r="C482" s="17"/>
      <c r="D482" s="17"/>
      <c r="E482" s="17"/>
      <c r="F482" s="17"/>
      <c r="G482" s="17"/>
      <c r="H482" s="17"/>
      <c r="I482" s="17"/>
      <c r="J482" s="17"/>
      <c r="K482" s="17"/>
      <c r="L482" s="17"/>
      <c r="M482" s="17"/>
    </row>
    <row r="483" spans="2:13" x14ac:dyDescent="0.3">
      <c r="B483" s="12" t="s">
        <v>533</v>
      </c>
      <c r="C483" s="12" t="s">
        <v>534</v>
      </c>
      <c r="D483" s="17" t="s">
        <v>363</v>
      </c>
      <c r="E483" s="17" t="s">
        <v>363</v>
      </c>
      <c r="F483" s="17" t="s">
        <v>363</v>
      </c>
      <c r="G483" s="17" t="s">
        <v>363</v>
      </c>
      <c r="H483" s="17" t="s">
        <v>363</v>
      </c>
      <c r="I483" s="17" t="s">
        <v>363</v>
      </c>
      <c r="J483" s="17" t="s">
        <v>363</v>
      </c>
      <c r="K483" s="17" t="s">
        <v>363</v>
      </c>
      <c r="L483" s="17" t="s">
        <v>363</v>
      </c>
      <c r="M483" s="17" t="s">
        <v>364</v>
      </c>
    </row>
    <row r="484" spans="2:13" x14ac:dyDescent="0.3">
      <c r="B484" s="12" t="s">
        <v>535</v>
      </c>
      <c r="C484" s="12" t="s">
        <v>536</v>
      </c>
      <c r="D484" s="17" t="s">
        <v>362</v>
      </c>
      <c r="E484" s="17" t="s">
        <v>362</v>
      </c>
      <c r="F484" s="17" t="s">
        <v>362</v>
      </c>
      <c r="G484" s="17" t="s">
        <v>362</v>
      </c>
      <c r="H484" s="17" t="s">
        <v>362</v>
      </c>
      <c r="I484" s="17" t="s">
        <v>362</v>
      </c>
      <c r="J484" s="17" t="s">
        <v>362</v>
      </c>
      <c r="K484" s="17" t="s">
        <v>362</v>
      </c>
      <c r="L484" s="17" t="s">
        <v>362</v>
      </c>
      <c r="M484" s="17" t="s">
        <v>364</v>
      </c>
    </row>
    <row r="485" spans="2:13" x14ac:dyDescent="0.3">
      <c r="B485" s="12"/>
      <c r="C485" s="17"/>
      <c r="D485" s="17"/>
      <c r="E485" s="17"/>
      <c r="F485" s="17"/>
      <c r="G485" s="17"/>
      <c r="H485" s="17"/>
      <c r="I485" s="17"/>
      <c r="J485" s="17"/>
      <c r="K485" s="17"/>
      <c r="L485" s="17"/>
      <c r="M485" s="17"/>
    </row>
    <row r="486" spans="2:13" x14ac:dyDescent="0.3">
      <c r="B486" s="12" t="s">
        <v>537</v>
      </c>
      <c r="C486" s="17"/>
      <c r="D486" s="17"/>
      <c r="E486" s="17"/>
      <c r="F486" s="17"/>
      <c r="G486" s="17"/>
      <c r="H486" s="17"/>
      <c r="I486" s="17"/>
      <c r="J486" s="17"/>
      <c r="K486" s="17"/>
      <c r="L486" s="17"/>
      <c r="M486" s="17"/>
    </row>
    <row r="487" spans="2:13" x14ac:dyDescent="0.3">
      <c r="B487" s="12" t="s">
        <v>538</v>
      </c>
      <c r="C487" s="12" t="s">
        <v>539</v>
      </c>
      <c r="D487" s="18">
        <v>1</v>
      </c>
      <c r="E487" s="18">
        <v>1</v>
      </c>
      <c r="F487" s="18">
        <v>1</v>
      </c>
      <c r="G487" s="18">
        <v>1</v>
      </c>
      <c r="H487" s="18">
        <v>1</v>
      </c>
      <c r="I487" s="18">
        <v>1</v>
      </c>
      <c r="J487" s="18">
        <v>1</v>
      </c>
      <c r="K487" s="18">
        <v>1</v>
      </c>
      <c r="L487" s="18">
        <v>1</v>
      </c>
      <c r="M487" s="18">
        <v>1</v>
      </c>
    </row>
    <row r="488" spans="2:13" x14ac:dyDescent="0.3">
      <c r="B488" s="12"/>
      <c r="C488" s="17"/>
      <c r="D488" s="17"/>
      <c r="E488" s="17"/>
      <c r="F488" s="17"/>
      <c r="G488" s="17"/>
      <c r="H488" s="17"/>
      <c r="I488" s="17"/>
      <c r="J488" s="17"/>
      <c r="K488" s="17"/>
      <c r="L488" s="17"/>
      <c r="M488" s="17"/>
    </row>
    <row r="489" spans="2:13" x14ac:dyDescent="0.3">
      <c r="B489" s="19" t="s">
        <v>104</v>
      </c>
      <c r="C489" s="19"/>
      <c r="D489" s="19" t="s">
        <v>192</v>
      </c>
      <c r="E489" s="19"/>
      <c r="F489" s="19"/>
      <c r="G489" s="19"/>
      <c r="H489" s="19"/>
      <c r="I489" s="19"/>
      <c r="J489" s="19"/>
      <c r="K489" s="19"/>
      <c r="L489" s="19"/>
      <c r="M489" s="19"/>
    </row>
    <row r="491" spans="2:13" ht="21" x14ac:dyDescent="0.3">
      <c r="B491" s="296" t="s">
        <v>540</v>
      </c>
      <c r="C491" s="296"/>
      <c r="D491" s="296"/>
      <c r="E491" s="296"/>
      <c r="F491" s="296"/>
      <c r="G491" s="296"/>
      <c r="H491" s="296"/>
      <c r="I491" s="296"/>
      <c r="J491" s="296"/>
      <c r="K491" s="296"/>
      <c r="L491" s="296"/>
      <c r="M491" s="296"/>
    </row>
    <row r="492" spans="2:13" x14ac:dyDescent="0.3">
      <c r="B492" s="219" t="s">
        <v>246</v>
      </c>
      <c r="C492" s="219"/>
      <c r="D492" s="220" t="s">
        <v>2</v>
      </c>
      <c r="E492" s="220" t="s">
        <v>3</v>
      </c>
      <c r="F492" s="220" t="s">
        <v>4</v>
      </c>
      <c r="G492" s="220" t="s">
        <v>5</v>
      </c>
      <c r="H492" s="220" t="s">
        <v>6</v>
      </c>
      <c r="I492" s="220" t="s">
        <v>7</v>
      </c>
      <c r="J492" s="220" t="s">
        <v>8</v>
      </c>
      <c r="K492" s="220" t="s">
        <v>9</v>
      </c>
      <c r="L492" s="220" t="s">
        <v>10</v>
      </c>
      <c r="M492" s="220" t="s">
        <v>11</v>
      </c>
    </row>
    <row r="493" spans="2:13" x14ac:dyDescent="0.3">
      <c r="B493" s="221" t="s">
        <v>12</v>
      </c>
      <c r="C493" s="221"/>
      <c r="D493" s="222" t="s">
        <v>13</v>
      </c>
      <c r="E493" s="222" t="s">
        <v>14</v>
      </c>
      <c r="F493" s="222" t="s">
        <v>15</v>
      </c>
      <c r="G493" s="222" t="s">
        <v>16</v>
      </c>
      <c r="H493" s="222" t="s">
        <v>17</v>
      </c>
      <c r="I493" s="222" t="s">
        <v>18</v>
      </c>
      <c r="J493" s="222" t="s">
        <v>19</v>
      </c>
      <c r="K493" s="222" t="s">
        <v>20</v>
      </c>
      <c r="L493" s="222" t="s">
        <v>21</v>
      </c>
      <c r="M493" s="222" t="s">
        <v>22</v>
      </c>
    </row>
    <row r="494" spans="2:13" x14ac:dyDescent="0.3">
      <c r="B494" s="10" t="s">
        <v>541</v>
      </c>
      <c r="C494" s="10" t="s">
        <v>542</v>
      </c>
      <c r="D494" s="14">
        <v>86120.948999999993</v>
      </c>
      <c r="E494" s="14">
        <v>79071.47</v>
      </c>
      <c r="F494" s="14">
        <v>76891.236000000004</v>
      </c>
      <c r="G494" s="14">
        <v>74409.244000000006</v>
      </c>
      <c r="H494" s="14">
        <v>104683.102</v>
      </c>
      <c r="I494" s="14">
        <v>98909.19</v>
      </c>
      <c r="J494" s="14">
        <v>133245.6</v>
      </c>
      <c r="K494" s="14">
        <v>96722.054000000004</v>
      </c>
      <c r="L494" s="14">
        <v>104285.102</v>
      </c>
      <c r="M494" s="14">
        <v>110357.56</v>
      </c>
    </row>
    <row r="495" spans="2:13" x14ac:dyDescent="0.3">
      <c r="B495" s="12" t="s">
        <v>543</v>
      </c>
      <c r="C495" s="12" t="s">
        <v>544</v>
      </c>
      <c r="D495" s="13">
        <v>1611.4</v>
      </c>
      <c r="E495" s="13">
        <v>2263.1999999999998</v>
      </c>
      <c r="F495" s="13">
        <v>2690.9</v>
      </c>
      <c r="G495" s="13">
        <v>8937.7999999999993</v>
      </c>
      <c r="H495" s="13">
        <v>2757.1</v>
      </c>
      <c r="I495" s="13">
        <v>4632.1000000000004</v>
      </c>
      <c r="J495" s="13">
        <v>6617.9</v>
      </c>
      <c r="K495" s="13">
        <v>3182.9</v>
      </c>
      <c r="L495" s="13">
        <v>3953</v>
      </c>
      <c r="M495" s="13">
        <v>3543.2</v>
      </c>
    </row>
    <row r="496" spans="2:13" x14ac:dyDescent="0.3">
      <c r="B496" s="12" t="s">
        <v>545</v>
      </c>
      <c r="C496" s="12" t="s">
        <v>546</v>
      </c>
      <c r="D496" s="13">
        <v>1.8</v>
      </c>
      <c r="E496" s="13">
        <v>6.7</v>
      </c>
      <c r="F496" s="13">
        <v>6.9</v>
      </c>
      <c r="G496" s="13">
        <v>6.3</v>
      </c>
      <c r="H496" s="13">
        <v>1.2</v>
      </c>
      <c r="I496" s="13">
        <v>5.7</v>
      </c>
      <c r="J496" s="13">
        <v>6.7</v>
      </c>
      <c r="K496" s="13">
        <v>7.9</v>
      </c>
      <c r="L496" s="13">
        <v>7</v>
      </c>
      <c r="M496" s="13">
        <v>7.3</v>
      </c>
    </row>
    <row r="497" spans="2:13" x14ac:dyDescent="0.3">
      <c r="B497" s="12" t="s">
        <v>547</v>
      </c>
      <c r="C497" s="12" t="s">
        <v>548</v>
      </c>
      <c r="D497" s="13">
        <v>2347.5</v>
      </c>
      <c r="E497" s="13">
        <v>3602.2</v>
      </c>
      <c r="F497" s="13">
        <v>3932.6</v>
      </c>
      <c r="G497" s="13">
        <v>9440.1</v>
      </c>
      <c r="H497" s="13">
        <v>11167</v>
      </c>
      <c r="I497" s="13">
        <v>25258.799999999999</v>
      </c>
      <c r="J497" s="13">
        <v>23605.1</v>
      </c>
      <c r="K497" s="13">
        <v>23804.799999999999</v>
      </c>
      <c r="L497" s="13">
        <v>24599.8</v>
      </c>
      <c r="M497" s="13">
        <v>25803.1</v>
      </c>
    </row>
    <row r="498" spans="2:13" x14ac:dyDescent="0.3">
      <c r="B498" s="10" t="s">
        <v>549</v>
      </c>
      <c r="C498" s="10" t="s">
        <v>550</v>
      </c>
      <c r="D498" s="14">
        <v>86858.849000000002</v>
      </c>
      <c r="E498" s="14">
        <v>80417.17</v>
      </c>
      <c r="F498" s="14">
        <v>78139.835999999996</v>
      </c>
      <c r="G498" s="14">
        <v>74917.843999999997</v>
      </c>
      <c r="H498" s="14">
        <v>113094.202</v>
      </c>
      <c r="I498" s="14">
        <v>119541.59</v>
      </c>
      <c r="J498" s="14">
        <v>150239.5</v>
      </c>
      <c r="K498" s="14">
        <v>117351.85400000001</v>
      </c>
      <c r="L498" s="14">
        <v>124938.902</v>
      </c>
      <c r="M498" s="14">
        <v>132624.76</v>
      </c>
    </row>
    <row r="499" spans="2:13" x14ac:dyDescent="0.3">
      <c r="B499" s="10"/>
      <c r="C499" s="11"/>
      <c r="D499" s="11"/>
      <c r="E499" s="11"/>
      <c r="F499" s="11"/>
      <c r="G499" s="11"/>
      <c r="H499" s="11"/>
      <c r="I499" s="11"/>
      <c r="J499" s="11"/>
      <c r="K499" s="11"/>
      <c r="L499" s="11"/>
      <c r="M499" s="11"/>
    </row>
    <row r="500" spans="2:13" x14ac:dyDescent="0.3">
      <c r="B500" s="10" t="s">
        <v>551</v>
      </c>
      <c r="C500" s="10" t="s">
        <v>552</v>
      </c>
      <c r="D500" s="14">
        <v>19162.7</v>
      </c>
      <c r="E500" s="14">
        <v>21315.9</v>
      </c>
      <c r="F500" s="14">
        <v>22386.799999999999</v>
      </c>
      <c r="G500" s="14">
        <v>24719.5</v>
      </c>
      <c r="H500" s="14">
        <v>26508.6</v>
      </c>
      <c r="I500" s="14">
        <v>23518</v>
      </c>
      <c r="J500" s="14">
        <v>29060.6</v>
      </c>
      <c r="K500" s="14">
        <v>32250.3</v>
      </c>
      <c r="L500" s="14">
        <v>35975.599999999999</v>
      </c>
      <c r="M500" s="14">
        <v>36176.199999999997</v>
      </c>
    </row>
    <row r="501" spans="2:13" x14ac:dyDescent="0.3">
      <c r="B501" s="15" t="s">
        <v>553</v>
      </c>
      <c r="C501" s="15" t="s">
        <v>554</v>
      </c>
      <c r="D501" s="16">
        <v>16.5062</v>
      </c>
      <c r="E501" s="16">
        <v>11.2364</v>
      </c>
      <c r="F501" s="16">
        <v>5.0239000000000003</v>
      </c>
      <c r="G501" s="16">
        <v>10.42</v>
      </c>
      <c r="H501" s="16">
        <v>7.2375999999999996</v>
      </c>
      <c r="I501" s="16">
        <v>-11.281599999999999</v>
      </c>
      <c r="J501" s="16">
        <v>23.567499999999999</v>
      </c>
      <c r="K501" s="16">
        <v>10.976000000000001</v>
      </c>
      <c r="L501" s="16">
        <v>11.5512</v>
      </c>
      <c r="M501" s="16">
        <v>0.55759999999999998</v>
      </c>
    </row>
    <row r="502" spans="2:13" x14ac:dyDescent="0.3">
      <c r="B502" s="10" t="s">
        <v>555</v>
      </c>
      <c r="C502" s="10" t="s">
        <v>556</v>
      </c>
      <c r="D502" s="14">
        <v>5964.1</v>
      </c>
      <c r="E502" s="14">
        <v>6742.6</v>
      </c>
      <c r="F502" s="14">
        <v>6834.6</v>
      </c>
      <c r="G502" s="14">
        <v>7316.6</v>
      </c>
      <c r="H502" s="14">
        <v>7488.1</v>
      </c>
      <c r="I502" s="14">
        <v>5059.1000000000004</v>
      </c>
      <c r="J502" s="14">
        <v>8408.6</v>
      </c>
      <c r="K502" s="14">
        <v>8371.1</v>
      </c>
      <c r="L502" s="14">
        <v>9846.2000000000007</v>
      </c>
      <c r="M502" s="14">
        <v>9709.1</v>
      </c>
    </row>
    <row r="503" spans="2:13" x14ac:dyDescent="0.3">
      <c r="B503" s="15" t="s">
        <v>557</v>
      </c>
      <c r="C503" s="15" t="s">
        <v>556</v>
      </c>
      <c r="D503" s="16">
        <v>31.123484686396001</v>
      </c>
      <c r="E503" s="16">
        <v>31.631786600612699</v>
      </c>
      <c r="F503" s="16">
        <v>30.529597798702799</v>
      </c>
      <c r="G503" s="16">
        <v>29.598495115192499</v>
      </c>
      <c r="H503" s="16">
        <v>28.247813916993</v>
      </c>
      <c r="I503" s="16">
        <v>21.511608129942999</v>
      </c>
      <c r="J503" s="16">
        <v>28.934708849782901</v>
      </c>
      <c r="K503" s="16">
        <v>25.9566577675246</v>
      </c>
      <c r="L503" s="16">
        <v>27.3691057272151</v>
      </c>
      <c r="M503" s="16">
        <v>26.8383633438559</v>
      </c>
    </row>
    <row r="504" spans="2:13" x14ac:dyDescent="0.3">
      <c r="B504" s="10" t="s">
        <v>558</v>
      </c>
      <c r="C504" s="10" t="s">
        <v>91</v>
      </c>
      <c r="D504" s="14">
        <v>4589.3999999999996</v>
      </c>
      <c r="E504" s="14">
        <v>5202</v>
      </c>
      <c r="F504" s="14">
        <v>5418.3</v>
      </c>
      <c r="G504" s="14">
        <v>5800.9</v>
      </c>
      <c r="H504" s="14">
        <v>6019.8</v>
      </c>
      <c r="I504" s="14">
        <v>5210</v>
      </c>
      <c r="J504" s="14">
        <v>8321.2000000000007</v>
      </c>
      <c r="K504" s="14">
        <v>7939.2</v>
      </c>
      <c r="L504" s="14">
        <v>8852.7000000000007</v>
      </c>
      <c r="M504" s="14">
        <v>8846.2000000000007</v>
      </c>
    </row>
    <row r="505" spans="2:13" x14ac:dyDescent="0.3">
      <c r="B505" s="15" t="s">
        <v>557</v>
      </c>
      <c r="C505" s="15" t="s">
        <v>91</v>
      </c>
      <c r="D505" s="16">
        <v>23.9496521888878</v>
      </c>
      <c r="E505" s="16">
        <v>24.4043179035368</v>
      </c>
      <c r="F505" s="16">
        <v>24.203101827862799</v>
      </c>
      <c r="G505" s="16">
        <v>23.466898602318</v>
      </c>
      <c r="H505" s="16">
        <v>22.708856748376</v>
      </c>
      <c r="I505" s="16">
        <v>22.153244323496899</v>
      </c>
      <c r="J505" s="16">
        <v>28.633958004996501</v>
      </c>
      <c r="K505" s="16">
        <v>24.6174454191124</v>
      </c>
      <c r="L505" s="16">
        <v>24.607511757969299</v>
      </c>
      <c r="M505" s="16">
        <v>24.4530934702926</v>
      </c>
    </row>
    <row r="506" spans="2:13" x14ac:dyDescent="0.3">
      <c r="B506" s="10" t="s">
        <v>559</v>
      </c>
      <c r="C506" s="10" t="s">
        <v>560</v>
      </c>
      <c r="D506" s="14">
        <v>2578.7150000000001</v>
      </c>
      <c r="E506" s="14">
        <v>2814.19</v>
      </c>
      <c r="F506" s="14">
        <v>2995.17</v>
      </c>
      <c r="G506" s="14">
        <v>3754.5655000000002</v>
      </c>
      <c r="H506" s="14">
        <v>3498.547</v>
      </c>
      <c r="I506" s="14">
        <v>1379.7850000000001</v>
      </c>
      <c r="J506" s="14">
        <v>3789.527</v>
      </c>
      <c r="K506" s="14">
        <v>3468.9879999999998</v>
      </c>
      <c r="L506" s="14">
        <v>4069.674</v>
      </c>
      <c r="M506" s="14">
        <v>3856.8850000000002</v>
      </c>
    </row>
    <row r="507" spans="2:13" x14ac:dyDescent="0.3">
      <c r="B507" s="15" t="s">
        <v>557</v>
      </c>
      <c r="C507" s="15" t="s">
        <v>560</v>
      </c>
      <c r="D507" s="16">
        <v>13.4569502210023</v>
      </c>
      <c r="E507" s="16">
        <v>13.2023043831131</v>
      </c>
      <c r="F507" s="16">
        <v>13.3791788017939</v>
      </c>
      <c r="G507" s="16">
        <v>15.1886789781347</v>
      </c>
      <c r="H507" s="16">
        <v>13.1977810974552</v>
      </c>
      <c r="I507" s="16">
        <v>5.8669317118802597</v>
      </c>
      <c r="J507" s="16">
        <v>13.0400852012691</v>
      </c>
      <c r="K507" s="16">
        <v>10.756451877967001</v>
      </c>
      <c r="L507" s="16">
        <v>11.3123172372386</v>
      </c>
      <c r="M507" s="16">
        <v>10.661387873795499</v>
      </c>
    </row>
    <row r="508" spans="2:13" x14ac:dyDescent="0.3">
      <c r="B508" s="10" t="s">
        <v>561</v>
      </c>
      <c r="C508" s="10" t="s">
        <v>562</v>
      </c>
      <c r="D508" s="41">
        <v>1.7019</v>
      </c>
      <c r="E508" s="41">
        <v>1.8976</v>
      </c>
      <c r="F508" s="41">
        <v>2.0455999999999999</v>
      </c>
      <c r="G508" s="41">
        <v>2.6924000000000001</v>
      </c>
      <c r="H508" s="41">
        <v>2.8384</v>
      </c>
      <c r="I508" s="41">
        <v>1.1719999999999999</v>
      </c>
      <c r="J508" s="41">
        <v>3.1943000000000001</v>
      </c>
      <c r="K508" s="41">
        <v>2.9918</v>
      </c>
      <c r="L508" s="41">
        <v>3.5324</v>
      </c>
      <c r="M508" s="41">
        <v>3.3944000000000001</v>
      </c>
    </row>
    <row r="509" spans="2:13" x14ac:dyDescent="0.3">
      <c r="B509" s="15" t="s">
        <v>553</v>
      </c>
      <c r="C509" s="15" t="s">
        <v>563</v>
      </c>
      <c r="D509" s="42">
        <v>31.309000000000001</v>
      </c>
      <c r="E509" s="42">
        <v>11.4992</v>
      </c>
      <c r="F509" s="42">
        <v>7.7964000000000002</v>
      </c>
      <c r="G509" s="42">
        <v>31.618099999999998</v>
      </c>
      <c r="H509" s="42">
        <v>5.4234</v>
      </c>
      <c r="I509" s="42">
        <v>-58.707700000000003</v>
      </c>
      <c r="J509" s="42">
        <v>172.54769999999999</v>
      </c>
      <c r="K509" s="42">
        <v>-6.3422999999999998</v>
      </c>
      <c r="L509" s="42">
        <v>18.070599999999999</v>
      </c>
      <c r="M509" s="42">
        <v>-3.9062000000000001</v>
      </c>
    </row>
    <row r="510" spans="2:13" x14ac:dyDescent="0.3">
      <c r="B510" s="10"/>
      <c r="C510" s="11"/>
      <c r="D510" s="11"/>
      <c r="E510" s="11"/>
      <c r="F510" s="11"/>
      <c r="G510" s="11"/>
      <c r="H510" s="11"/>
      <c r="I510" s="11"/>
      <c r="J510" s="11"/>
      <c r="K510" s="11"/>
      <c r="L510" s="11"/>
      <c r="M510" s="11"/>
    </row>
    <row r="511" spans="2:13" x14ac:dyDescent="0.3">
      <c r="B511" s="10" t="s">
        <v>564</v>
      </c>
      <c r="C511" s="10" t="s">
        <v>319</v>
      </c>
      <c r="D511" s="14">
        <v>3749.1</v>
      </c>
      <c r="E511" s="14">
        <v>4697.8999999999996</v>
      </c>
      <c r="F511" s="14">
        <v>4251.8</v>
      </c>
      <c r="G511" s="14">
        <v>11937.8</v>
      </c>
      <c r="H511" s="14">
        <v>5047</v>
      </c>
      <c r="I511" s="14">
        <v>1597.8</v>
      </c>
      <c r="J511" s="14">
        <v>5989.1</v>
      </c>
      <c r="K511" s="14">
        <v>4397.3</v>
      </c>
      <c r="L511" s="14">
        <v>6008.7</v>
      </c>
      <c r="M511" s="14">
        <v>6095.6</v>
      </c>
    </row>
    <row r="512" spans="2:13" x14ac:dyDescent="0.3">
      <c r="B512" s="10" t="s">
        <v>565</v>
      </c>
      <c r="C512" s="10" t="s">
        <v>566</v>
      </c>
      <c r="D512" s="14">
        <v>-1303.7</v>
      </c>
      <c r="E512" s="14">
        <v>-1440.3</v>
      </c>
      <c r="F512" s="14">
        <v>-1519.4</v>
      </c>
      <c r="G512" s="14">
        <v>-1976.4</v>
      </c>
      <c r="H512" s="14">
        <v>-1806.6</v>
      </c>
      <c r="I512" s="14">
        <v>-1483.6</v>
      </c>
      <c r="J512" s="14">
        <v>-1470</v>
      </c>
      <c r="K512" s="14">
        <v>-1841.3</v>
      </c>
      <c r="L512" s="14">
        <v>-2333.6</v>
      </c>
      <c r="M512" s="14">
        <v>-2777.5</v>
      </c>
    </row>
    <row r="513" spans="2:13" x14ac:dyDescent="0.3">
      <c r="B513" s="10" t="s">
        <v>239</v>
      </c>
      <c r="C513" s="10" t="s">
        <v>320</v>
      </c>
      <c r="D513" s="14">
        <v>2445.4</v>
      </c>
      <c r="E513" s="14">
        <v>3257.6</v>
      </c>
      <c r="F513" s="14">
        <v>2732.4</v>
      </c>
      <c r="G513" s="14">
        <v>9961.4</v>
      </c>
      <c r="H513" s="14">
        <v>3240.4</v>
      </c>
      <c r="I513" s="14">
        <v>114.2</v>
      </c>
      <c r="J513" s="14">
        <v>4519.1000000000004</v>
      </c>
      <c r="K513" s="14">
        <v>2556</v>
      </c>
      <c r="L513" s="14">
        <v>3675.1</v>
      </c>
      <c r="M513" s="14">
        <v>3318.1</v>
      </c>
    </row>
    <row r="514" spans="2:13" x14ac:dyDescent="0.3">
      <c r="B514" s="19" t="s">
        <v>104</v>
      </c>
      <c r="C514" s="19"/>
      <c r="D514" s="19" t="s">
        <v>192</v>
      </c>
      <c r="E514" s="19"/>
      <c r="F514" s="19"/>
      <c r="G514" s="19"/>
      <c r="H514" s="19"/>
      <c r="I514" s="19"/>
      <c r="J514" s="19"/>
      <c r="K514" s="19"/>
      <c r="L514" s="19"/>
      <c r="M514" s="19"/>
    </row>
  </sheetData>
  <mergeCells count="8">
    <mergeCell ref="B2:M2"/>
    <mergeCell ref="B84:M84"/>
    <mergeCell ref="B350:M350"/>
    <mergeCell ref="B491:M491"/>
    <mergeCell ref="B256:M256"/>
    <mergeCell ref="B185:M185"/>
    <mergeCell ref="B294:M294"/>
    <mergeCell ref="B320:M320"/>
  </mergeCells>
  <hyperlinks>
    <hyperlink ref="AD6" location="'1. Raw Historical Data'!A7" display="Income Statement" xr:uid="{188FC06F-9B18-4EF9-8F58-7C63C682BDBB}"/>
    <hyperlink ref="AD10" location="Sheet3!A254" display="Revenue Break-up" xr:uid="{51B49BE6-5E4D-4AEF-8C79-E85E0A1DD5AF}"/>
    <hyperlink ref="AD9" location="Sheet3!A184" display="Cashflow Statement" xr:uid="{9599B709-1A37-43FB-8805-EA416AFE0F80}"/>
    <hyperlink ref="AD11" location="Sheet3!A575" display="Additional Information" xr:uid="{26ADC943-0AF1-412C-A26F-9327B002CA3B}"/>
    <hyperlink ref="AD8" location="'1. Raw Historical Data'!A607" display="Balance Sheet" xr:uid="{2C81E968-8D62-4E01-8D1E-92166889CFF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3E009-E881-4C72-8CD5-E651F026AE9E}">
  <dimension ref="A1:BV96"/>
  <sheetViews>
    <sheetView showGridLines="0" topLeftCell="W64" zoomScale="70" zoomScaleNormal="70" workbookViewId="0">
      <selection activeCell="AC79" sqref="AC79:AC80"/>
    </sheetView>
  </sheetViews>
  <sheetFormatPr defaultColWidth="9.109375" defaultRowHeight="14.4" x14ac:dyDescent="0.3"/>
  <cols>
    <col min="1" max="1" width="1.88671875" style="30" bestFit="1" customWidth="1"/>
    <col min="2" max="2" width="49.88671875" style="30" bestFit="1" customWidth="1"/>
    <col min="3" max="22" width="15.5546875" style="71" customWidth="1"/>
    <col min="23" max="24" width="18.5546875" style="71" bestFit="1" customWidth="1"/>
    <col min="25" max="27" width="19.6640625" style="71" bestFit="1" customWidth="1"/>
    <col min="28" max="28" width="21.44140625" style="71" bestFit="1" customWidth="1"/>
    <col min="29" max="16384" width="9.109375" style="30"/>
  </cols>
  <sheetData>
    <row r="1" spans="1:74" ht="15" thickBot="1" x14ac:dyDescent="0.35"/>
    <row r="2" spans="1:74" ht="15" customHeight="1" x14ac:dyDescent="0.3">
      <c r="A2" s="27"/>
      <c r="B2" s="299" t="s">
        <v>567</v>
      </c>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1"/>
    </row>
    <row r="3" spans="1:74" ht="15" customHeight="1" x14ac:dyDescent="0.3">
      <c r="A3" s="27"/>
      <c r="B3" s="302"/>
      <c r="C3" s="303"/>
      <c r="D3" s="303"/>
      <c r="E3" s="303"/>
      <c r="F3" s="303"/>
      <c r="G3" s="303"/>
      <c r="H3" s="303"/>
      <c r="I3" s="303"/>
      <c r="J3" s="303"/>
      <c r="K3" s="303"/>
      <c r="L3" s="303"/>
      <c r="M3" s="303"/>
      <c r="N3" s="303"/>
      <c r="O3" s="303"/>
      <c r="P3" s="303"/>
      <c r="Q3" s="303"/>
      <c r="R3" s="303"/>
      <c r="S3" s="303"/>
      <c r="T3" s="303"/>
      <c r="U3" s="303"/>
      <c r="V3" s="303"/>
      <c r="W3" s="303"/>
      <c r="X3" s="303"/>
      <c r="Y3" s="303"/>
      <c r="Z3" s="303"/>
      <c r="AA3" s="303"/>
      <c r="AB3" s="304"/>
    </row>
    <row r="4" spans="1:74" ht="15" customHeight="1" x14ac:dyDescent="0.3">
      <c r="A4" s="27"/>
      <c r="B4" s="302"/>
      <c r="C4" s="303"/>
      <c r="D4" s="303"/>
      <c r="E4" s="303"/>
      <c r="F4" s="303"/>
      <c r="G4" s="303"/>
      <c r="H4" s="303"/>
      <c r="I4" s="303"/>
      <c r="J4" s="303"/>
      <c r="K4" s="303"/>
      <c r="L4" s="303"/>
      <c r="M4" s="303"/>
      <c r="N4" s="303"/>
      <c r="O4" s="303"/>
      <c r="P4" s="303"/>
      <c r="Q4" s="303"/>
      <c r="R4" s="303"/>
      <c r="S4" s="303"/>
      <c r="T4" s="303"/>
      <c r="U4" s="303"/>
      <c r="V4" s="303"/>
      <c r="W4" s="303"/>
      <c r="X4" s="303"/>
      <c r="Y4" s="303"/>
      <c r="Z4" s="303"/>
      <c r="AA4" s="303"/>
      <c r="AB4" s="304"/>
    </row>
    <row r="5" spans="1:74" ht="15" customHeight="1" x14ac:dyDescent="0.3">
      <c r="B5" s="305" t="s">
        <v>568</v>
      </c>
      <c r="C5" s="306"/>
      <c r="D5" s="306"/>
      <c r="E5" s="306"/>
      <c r="F5" s="306"/>
      <c r="G5" s="306"/>
      <c r="H5" s="306"/>
      <c r="I5" s="306"/>
      <c r="J5" s="306"/>
      <c r="K5" s="306"/>
      <c r="L5" s="306"/>
      <c r="M5" s="306"/>
      <c r="N5" s="306"/>
      <c r="O5" s="306"/>
      <c r="P5" s="306"/>
      <c r="Q5" s="306"/>
      <c r="R5" s="306"/>
      <c r="S5" s="306"/>
      <c r="T5" s="306"/>
      <c r="U5" s="306"/>
      <c r="V5" s="306"/>
      <c r="W5" s="306"/>
      <c r="X5" s="306"/>
      <c r="Y5" s="306"/>
      <c r="Z5" s="306"/>
      <c r="AA5" s="306"/>
      <c r="AB5" s="307"/>
    </row>
    <row r="6" spans="1:74" ht="15" customHeight="1" x14ac:dyDescent="0.3">
      <c r="A6" s="27" t="s">
        <v>569</v>
      </c>
      <c r="B6" s="223" t="s">
        <v>570</v>
      </c>
      <c r="C6" s="314" t="s">
        <v>571</v>
      </c>
      <c r="D6" s="315"/>
      <c r="E6" s="315"/>
      <c r="F6" s="315"/>
      <c r="G6" s="315"/>
      <c r="H6" s="315"/>
      <c r="I6" s="315"/>
      <c r="J6" s="315"/>
      <c r="K6" s="315"/>
      <c r="L6" s="316"/>
      <c r="M6" s="308" t="s">
        <v>572</v>
      </c>
      <c r="N6" s="309"/>
      <c r="O6" s="309"/>
      <c r="P6" s="309"/>
      <c r="Q6" s="310"/>
      <c r="R6" s="308" t="s">
        <v>573</v>
      </c>
      <c r="S6" s="309"/>
      <c r="T6" s="309"/>
      <c r="U6" s="309"/>
      <c r="V6" s="309"/>
      <c r="W6" s="309"/>
      <c r="X6" s="309"/>
      <c r="Y6" s="309"/>
      <c r="Z6" s="309"/>
      <c r="AA6" s="310"/>
      <c r="AB6" s="224" t="s">
        <v>574</v>
      </c>
    </row>
    <row r="7" spans="1:74" ht="15" hidden="1" customHeight="1" x14ac:dyDescent="0.3">
      <c r="A7" s="27"/>
      <c r="B7" s="127"/>
      <c r="C7" s="129">
        <f>2015</f>
        <v>2015</v>
      </c>
      <c r="D7" s="69">
        <f>C7+1</f>
        <v>2016</v>
      </c>
      <c r="E7" s="69">
        <f>D7+1</f>
        <v>2017</v>
      </c>
      <c r="F7" s="69">
        <f t="shared" ref="F7:BQ7" si="0">E7+1</f>
        <v>2018</v>
      </c>
      <c r="G7" s="69">
        <f t="shared" si="0"/>
        <v>2019</v>
      </c>
      <c r="H7" s="69">
        <f t="shared" si="0"/>
        <v>2020</v>
      </c>
      <c r="I7" s="69">
        <f t="shared" si="0"/>
        <v>2021</v>
      </c>
      <c r="J7" s="69">
        <f t="shared" si="0"/>
        <v>2022</v>
      </c>
      <c r="K7" s="69">
        <f t="shared" si="0"/>
        <v>2023</v>
      </c>
      <c r="L7" s="82">
        <f t="shared" si="0"/>
        <v>2024</v>
      </c>
      <c r="M7" s="128">
        <f t="shared" si="0"/>
        <v>2025</v>
      </c>
      <c r="N7" s="69">
        <f t="shared" si="0"/>
        <v>2026</v>
      </c>
      <c r="O7" s="69">
        <f t="shared" si="0"/>
        <v>2027</v>
      </c>
      <c r="P7" s="69">
        <f t="shared" si="0"/>
        <v>2028</v>
      </c>
      <c r="Q7" s="82">
        <f t="shared" si="0"/>
        <v>2029</v>
      </c>
      <c r="R7" s="128">
        <f t="shared" si="0"/>
        <v>2030</v>
      </c>
      <c r="S7" s="69">
        <f t="shared" si="0"/>
        <v>2031</v>
      </c>
      <c r="T7" s="69">
        <f t="shared" si="0"/>
        <v>2032</v>
      </c>
      <c r="U7" s="69">
        <f t="shared" si="0"/>
        <v>2033</v>
      </c>
      <c r="V7" s="69">
        <f t="shared" si="0"/>
        <v>2034</v>
      </c>
      <c r="W7" s="69">
        <f t="shared" si="0"/>
        <v>2035</v>
      </c>
      <c r="X7" s="69">
        <f t="shared" si="0"/>
        <v>2036</v>
      </c>
      <c r="Y7" s="69">
        <f t="shared" si="0"/>
        <v>2037</v>
      </c>
      <c r="Z7" s="69">
        <f t="shared" si="0"/>
        <v>2038</v>
      </c>
      <c r="AA7" s="82">
        <f t="shared" si="0"/>
        <v>2039</v>
      </c>
      <c r="AB7" s="139">
        <f t="shared" si="0"/>
        <v>2040</v>
      </c>
      <c r="AC7" s="27">
        <f t="shared" si="0"/>
        <v>2041</v>
      </c>
      <c r="AD7" s="27">
        <f t="shared" si="0"/>
        <v>2042</v>
      </c>
      <c r="AE7" s="27">
        <f t="shared" si="0"/>
        <v>2043</v>
      </c>
      <c r="AF7" s="27">
        <f t="shared" si="0"/>
        <v>2044</v>
      </c>
      <c r="AG7" s="27">
        <f t="shared" si="0"/>
        <v>2045</v>
      </c>
      <c r="AH7" s="27">
        <f t="shared" si="0"/>
        <v>2046</v>
      </c>
      <c r="AI7" s="27">
        <f t="shared" si="0"/>
        <v>2047</v>
      </c>
      <c r="AJ7" s="27">
        <f t="shared" si="0"/>
        <v>2048</v>
      </c>
      <c r="AK7" s="27">
        <f t="shared" si="0"/>
        <v>2049</v>
      </c>
      <c r="AL7" s="27">
        <f t="shared" si="0"/>
        <v>2050</v>
      </c>
      <c r="AM7" s="27">
        <f t="shared" si="0"/>
        <v>2051</v>
      </c>
      <c r="AN7" s="27">
        <f t="shared" si="0"/>
        <v>2052</v>
      </c>
      <c r="AO7" s="27">
        <f t="shared" si="0"/>
        <v>2053</v>
      </c>
      <c r="AP7" s="27">
        <f t="shared" si="0"/>
        <v>2054</v>
      </c>
      <c r="AQ7" s="27">
        <f t="shared" si="0"/>
        <v>2055</v>
      </c>
      <c r="AR7" s="27">
        <f t="shared" si="0"/>
        <v>2056</v>
      </c>
      <c r="AS7" s="27">
        <f t="shared" si="0"/>
        <v>2057</v>
      </c>
      <c r="AT7" s="27">
        <f t="shared" si="0"/>
        <v>2058</v>
      </c>
      <c r="AU7" s="27">
        <f t="shared" si="0"/>
        <v>2059</v>
      </c>
      <c r="AV7" s="27">
        <f t="shared" si="0"/>
        <v>2060</v>
      </c>
      <c r="AW7" s="27">
        <f t="shared" si="0"/>
        <v>2061</v>
      </c>
      <c r="AX7" s="27">
        <f t="shared" si="0"/>
        <v>2062</v>
      </c>
      <c r="AY7" s="27">
        <f t="shared" si="0"/>
        <v>2063</v>
      </c>
      <c r="AZ7" s="27">
        <f t="shared" si="0"/>
        <v>2064</v>
      </c>
      <c r="BA7" s="27">
        <f t="shared" si="0"/>
        <v>2065</v>
      </c>
      <c r="BB7" s="27">
        <f t="shared" si="0"/>
        <v>2066</v>
      </c>
      <c r="BC7" s="27">
        <f t="shared" si="0"/>
        <v>2067</v>
      </c>
      <c r="BD7" s="27">
        <f t="shared" si="0"/>
        <v>2068</v>
      </c>
      <c r="BE7" s="27">
        <f t="shared" si="0"/>
        <v>2069</v>
      </c>
      <c r="BF7" s="27">
        <f t="shared" si="0"/>
        <v>2070</v>
      </c>
      <c r="BG7" s="27">
        <f t="shared" si="0"/>
        <v>2071</v>
      </c>
      <c r="BH7" s="27">
        <f t="shared" si="0"/>
        <v>2072</v>
      </c>
      <c r="BI7" s="27">
        <f t="shared" si="0"/>
        <v>2073</v>
      </c>
      <c r="BJ7" s="27">
        <f t="shared" si="0"/>
        <v>2074</v>
      </c>
      <c r="BK7" s="27">
        <f t="shared" si="0"/>
        <v>2075</v>
      </c>
      <c r="BL7" s="27">
        <f t="shared" si="0"/>
        <v>2076</v>
      </c>
      <c r="BM7" s="27">
        <f t="shared" si="0"/>
        <v>2077</v>
      </c>
      <c r="BN7" s="27">
        <f t="shared" si="0"/>
        <v>2078</v>
      </c>
      <c r="BO7" s="27">
        <f t="shared" si="0"/>
        <v>2079</v>
      </c>
      <c r="BP7" s="27">
        <f t="shared" si="0"/>
        <v>2080</v>
      </c>
      <c r="BQ7" s="27">
        <f t="shared" si="0"/>
        <v>2081</v>
      </c>
      <c r="BR7" s="27">
        <f t="shared" ref="BR7:BV7" si="1">BQ7+1</f>
        <v>2082</v>
      </c>
      <c r="BS7" s="27">
        <f t="shared" si="1"/>
        <v>2083</v>
      </c>
      <c r="BT7" s="27">
        <f t="shared" si="1"/>
        <v>2084</v>
      </c>
      <c r="BU7" s="27">
        <f t="shared" si="1"/>
        <v>2085</v>
      </c>
      <c r="BV7" s="27">
        <f t="shared" si="1"/>
        <v>2086</v>
      </c>
    </row>
    <row r="8" spans="1:74" s="32" customFormat="1" ht="15" thickBot="1" x14ac:dyDescent="0.35">
      <c r="A8" s="27"/>
      <c r="B8" s="225"/>
      <c r="C8" s="226" t="str">
        <f>"FY "&amp;C7</f>
        <v>FY 2015</v>
      </c>
      <c r="D8" s="227" t="str">
        <f t="shared" ref="D8:AA8" si="2">"FY "&amp;D7</f>
        <v>FY 2016</v>
      </c>
      <c r="E8" s="227" t="str">
        <f t="shared" si="2"/>
        <v>FY 2017</v>
      </c>
      <c r="F8" s="227" t="str">
        <f t="shared" si="2"/>
        <v>FY 2018</v>
      </c>
      <c r="G8" s="227" t="str">
        <f t="shared" si="2"/>
        <v>FY 2019</v>
      </c>
      <c r="H8" s="227" t="str">
        <f t="shared" si="2"/>
        <v>FY 2020</v>
      </c>
      <c r="I8" s="227" t="str">
        <f t="shared" si="2"/>
        <v>FY 2021</v>
      </c>
      <c r="J8" s="227" t="str">
        <f t="shared" si="2"/>
        <v>FY 2022</v>
      </c>
      <c r="K8" s="227" t="str">
        <f t="shared" si="2"/>
        <v>FY 2023</v>
      </c>
      <c r="L8" s="228" t="str">
        <f t="shared" si="2"/>
        <v>FY 2024</v>
      </c>
      <c r="M8" s="229" t="str">
        <f t="shared" si="2"/>
        <v>FY 2025</v>
      </c>
      <c r="N8" s="227" t="str">
        <f t="shared" si="2"/>
        <v>FY 2026</v>
      </c>
      <c r="O8" s="227" t="str">
        <f t="shared" si="2"/>
        <v>FY 2027</v>
      </c>
      <c r="P8" s="227" t="str">
        <f t="shared" si="2"/>
        <v>FY 2028</v>
      </c>
      <c r="Q8" s="228" t="str">
        <f t="shared" si="2"/>
        <v>FY 2029</v>
      </c>
      <c r="R8" s="229" t="str">
        <f t="shared" si="2"/>
        <v>FY 2030</v>
      </c>
      <c r="S8" s="227" t="str">
        <f t="shared" si="2"/>
        <v>FY 2031</v>
      </c>
      <c r="T8" s="227" t="str">
        <f t="shared" si="2"/>
        <v>FY 2032</v>
      </c>
      <c r="U8" s="227" t="str">
        <f t="shared" si="2"/>
        <v>FY 2033</v>
      </c>
      <c r="V8" s="227" t="str">
        <f t="shared" si="2"/>
        <v>FY 2034</v>
      </c>
      <c r="W8" s="227" t="str">
        <f t="shared" si="2"/>
        <v>FY 2035</v>
      </c>
      <c r="X8" s="227" t="str">
        <f t="shared" si="2"/>
        <v>FY 2036</v>
      </c>
      <c r="Y8" s="227" t="str">
        <f t="shared" si="2"/>
        <v>FY 2037</v>
      </c>
      <c r="Z8" s="227" t="str">
        <f t="shared" si="2"/>
        <v>FY 2038</v>
      </c>
      <c r="AA8" s="228" t="str">
        <f t="shared" si="2"/>
        <v>FY 2039</v>
      </c>
      <c r="AB8" s="230" t="s">
        <v>575</v>
      </c>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row>
    <row r="9" spans="1:74" x14ac:dyDescent="0.3">
      <c r="A9" s="27"/>
      <c r="B9" s="99" t="s">
        <v>576</v>
      </c>
      <c r="C9" s="130">
        <f>'1. Raw Data - Bloomberg'!D5</f>
        <v>19162.7</v>
      </c>
      <c r="D9" s="83">
        <f>'1. Raw Data - Bloomberg'!E5</f>
        <v>21315.9</v>
      </c>
      <c r="E9" s="83">
        <f>'1. Raw Data - Bloomberg'!F5</f>
        <v>22386.799999999999</v>
      </c>
      <c r="F9" s="83">
        <f>'1. Raw Data - Bloomberg'!G5</f>
        <v>24719.5</v>
      </c>
      <c r="G9" s="83">
        <f>'1. Raw Data - Bloomberg'!H5</f>
        <v>26508.6</v>
      </c>
      <c r="H9" s="83">
        <f>'1. Raw Data - Bloomberg'!I5</f>
        <v>23518</v>
      </c>
      <c r="I9" s="83">
        <f>'1. Raw Data - Bloomberg'!J5</f>
        <v>29060.6</v>
      </c>
      <c r="J9" s="83">
        <f>'1. Raw Data - Bloomberg'!K5</f>
        <v>32250.3</v>
      </c>
      <c r="K9" s="83">
        <f>'1. Raw Data - Bloomberg'!L5</f>
        <v>35975.599999999999</v>
      </c>
      <c r="L9" s="84">
        <f>'1. Raw Data - Bloomberg'!M5</f>
        <v>36176.199999999997</v>
      </c>
      <c r="M9" s="83">
        <f t="shared" ref="M9:AB9" si="3">M10+M12+M11</f>
        <v>39113.904961185646</v>
      </c>
      <c r="N9" s="83">
        <f t="shared" si="3"/>
        <v>42309.723208522053</v>
      </c>
      <c r="O9" s="83">
        <f t="shared" si="3"/>
        <v>45786.613239490922</v>
      </c>
      <c r="P9" s="83">
        <f t="shared" si="3"/>
        <v>49569.619809935422</v>
      </c>
      <c r="Q9" s="84">
        <f t="shared" si="3"/>
        <v>53686.068012028067</v>
      </c>
      <c r="R9" s="83">
        <f t="shared" si="3"/>
        <v>58165.77586687373</v>
      </c>
      <c r="S9" s="83">
        <f t="shared" si="3"/>
        <v>63041.287243906816</v>
      </c>
      <c r="T9" s="83">
        <f t="shared" si="3"/>
        <v>68348.127101075923</v>
      </c>
      <c r="U9" s="83">
        <f t="shared" si="3"/>
        <v>74125.081240312356</v>
      </c>
      <c r="V9" s="83">
        <f t="shared" si="3"/>
        <v>80414.502993906863</v>
      </c>
      <c r="W9" s="83">
        <f t="shared" si="3"/>
        <v>87262.649501335633</v>
      </c>
      <c r="X9" s="83">
        <f t="shared" si="3"/>
        <v>94720.050505178195</v>
      </c>
      <c r="Y9" s="83">
        <f t="shared" si="3"/>
        <v>102841.91289170668</v>
      </c>
      <c r="Z9" s="83">
        <f t="shared" si="3"/>
        <v>111688.56452943353</v>
      </c>
      <c r="AA9" s="84">
        <f t="shared" si="3"/>
        <v>121325.94132063264</v>
      </c>
      <c r="AB9" s="100">
        <f t="shared" si="3"/>
        <v>131826.12178019516</v>
      </c>
    </row>
    <row r="10" spans="1:74" x14ac:dyDescent="0.3">
      <c r="A10" s="27"/>
      <c r="B10" s="101" t="s">
        <v>258</v>
      </c>
      <c r="C10" s="130">
        <f>'1. Raw Data - Bloomberg'!D260</f>
        <v>15197.3</v>
      </c>
      <c r="D10" s="83">
        <f>'1. Raw Data - Bloomberg'!E260</f>
        <v>16844.099999999999</v>
      </c>
      <c r="E10" s="83">
        <f>'1. Raw Data - Bloomberg'!F260</f>
        <v>17650.7</v>
      </c>
      <c r="F10" s="83">
        <f>'1. Raw Data - Bloomberg'!G260</f>
        <v>19690.3</v>
      </c>
      <c r="G10" s="83">
        <f>'1. Raw Data - Bloomberg'!H260</f>
        <v>21544.400000000001</v>
      </c>
      <c r="H10" s="83">
        <f>'1. Raw Data - Bloomberg'!I260</f>
        <v>19164.599999999999</v>
      </c>
      <c r="I10" s="83">
        <f>'1. Raw Data - Bloomberg'!J260</f>
        <v>24607</v>
      </c>
      <c r="J10" s="83">
        <f>'1. Raw Data - Bloomberg'!K260</f>
        <v>26576.1</v>
      </c>
      <c r="K10" s="83">
        <f>'1. Raw Data - Bloomberg'!L260</f>
        <v>29462.3</v>
      </c>
      <c r="L10" s="84">
        <f>'1. Raw Data - Bloomberg'!M260</f>
        <v>29765.9</v>
      </c>
      <c r="M10" s="83">
        <f>L10*(1+'3. Historical &amp; Forecast Ratio '!M10)</f>
        <v>32208.072392155966</v>
      </c>
      <c r="N10" s="83">
        <f>M10*(1+'3. Historical &amp; Forecast Ratio '!N10)</f>
        <v>34850.615207951356</v>
      </c>
      <c r="O10" s="83">
        <f>N10*(1+'3. Historical &amp; Forecast Ratio '!O10)</f>
        <v>37709.968034860991</v>
      </c>
      <c r="P10" s="83">
        <f>O10*(1+'3. Historical &amp; Forecast Ratio '!P10)</f>
        <v>40803.919262400603</v>
      </c>
      <c r="Q10" s="84">
        <f>P10*(1+'3. Historical &amp; Forecast Ratio '!Q10)</f>
        <v>44151.716745910111</v>
      </c>
      <c r="R10" s="83">
        <f>Q10*(1+'3. Historical &amp; Forecast Ratio '!R10)</f>
        <v>47774.187549855291</v>
      </c>
      <c r="S10" s="83">
        <f>R10*(1+'3. Historical &amp; Forecast Ratio '!S10)</f>
        <v>51693.8675155858</v>
      </c>
      <c r="T10" s="83">
        <f>S10*(1+'3. Historical &amp; Forecast Ratio '!T10)</f>
        <v>55935.141459606697</v>
      </c>
      <c r="U10" s="83">
        <f>T10*(1+'3. Historical &amp; Forecast Ratio '!U10)</f>
        <v>60524.394874554338</v>
      </c>
      <c r="V10" s="83">
        <f>U10*(1+'3. Historical &amp; Forecast Ratio '!V10)</f>
        <v>65490.178076627264</v>
      </c>
      <c r="W10" s="83">
        <f>V10*(1+'3. Historical &amp; Forecast Ratio '!W10)</f>
        <v>70863.383820653718</v>
      </c>
      <c r="X10" s="83">
        <f>W10*(1+'3. Historical &amp; Forecast Ratio '!X10)</f>
        <v>76677.439487761119</v>
      </c>
      <c r="Y10" s="83">
        <f>X10*(1+'3. Historical &amp; Forecast Ratio '!Y10)</f>
        <v>82968.515041271006</v>
      </c>
      <c r="Z10" s="83">
        <f>Y10*(1+'3. Historical &amp; Forecast Ratio '!Z10)</f>
        <v>89775.748044538806</v>
      </c>
      <c r="AA10" s="84">
        <f>Z10*(1+'3. Historical &amp; Forecast Ratio '!AA10)</f>
        <v>97141.487140602505</v>
      </c>
      <c r="AB10" s="100">
        <f>AA10*(1+'3. Historical &amp; Forecast Ratio '!AB10)</f>
        <v>105111.55550835733</v>
      </c>
    </row>
    <row r="11" spans="1:74" x14ac:dyDescent="0.3">
      <c r="A11" s="27"/>
      <c r="B11" s="101" t="s">
        <v>264</v>
      </c>
      <c r="C11" s="130">
        <f>'1. Raw Data - Bloomberg'!D268</f>
        <v>1861.9</v>
      </c>
      <c r="D11" s="83">
        <f>'1. Raw Data - Bloomberg'!E268</f>
        <v>2154.1999999999998</v>
      </c>
      <c r="E11" s="83">
        <f>'1. Raw Data - Bloomberg'!F268</f>
        <v>2355</v>
      </c>
      <c r="F11" s="83">
        <f>'1. Raw Data - Bloomberg'!G268</f>
        <v>2652.2</v>
      </c>
      <c r="G11" s="83">
        <f>'1. Raw Data - Bloomberg'!H268</f>
        <v>2875</v>
      </c>
      <c r="H11" s="83">
        <f>'1. Raw Data - Bloomberg'!I268</f>
        <v>2327.1</v>
      </c>
      <c r="I11" s="83">
        <f>'1. Raw Data - Bloomberg'!J268</f>
        <v>2683.6</v>
      </c>
      <c r="J11" s="83">
        <f>'1. Raw Data - Bloomberg'!K268</f>
        <v>3655.5</v>
      </c>
      <c r="K11" s="83">
        <f>'1. Raw Data - Bloomberg'!L268</f>
        <v>4512.7</v>
      </c>
      <c r="L11" s="84">
        <f>'1. Raw Data - Bloomberg'!M268</f>
        <v>4505.1000000000004</v>
      </c>
      <c r="M11" s="83">
        <f>L11*(1+'3. Historical &amp; Forecast Ratio '!M11)</f>
        <v>5014.6790600469285</v>
      </c>
      <c r="N11" s="83">
        <f>M11*(1+'3. Historical &amp; Forecast Ratio '!N11)</f>
        <v>5581.8974218714666</v>
      </c>
      <c r="O11" s="83">
        <f>N11*(1+'3. Historical &amp; Forecast Ratio '!O11)</f>
        <v>6213.2747590039689</v>
      </c>
      <c r="P11" s="83">
        <f>O11*(1+'3. Historical &amp; Forecast Ratio '!P11)</f>
        <v>6916.0681956660956</v>
      </c>
      <c r="Q11" s="84">
        <f>P11*(1+'3. Historical &amp; Forecast Ratio '!Q11)</f>
        <v>7698.3557209969395</v>
      </c>
      <c r="R11" s="83">
        <f>Q11*(1+'3. Historical &amp; Forecast Ratio '!R11)</f>
        <v>8569.1290383955584</v>
      </c>
      <c r="S11" s="83">
        <f>R11*(1+'3. Historical &amp; Forecast Ratio '!S11)</f>
        <v>9538.3969172010111</v>
      </c>
      <c r="T11" s="83">
        <f>S11*(1+'3. Historical &amp; Forecast Ratio '!T11)</f>
        <v>10617.300234646087</v>
      </c>
      <c r="U11" s="83">
        <f>T11*(1+'3. Historical &amp; Forecast Ratio '!U11)</f>
        <v>11818.240030390241</v>
      </c>
      <c r="V11" s="83">
        <f>U11*(1+'3. Historical &amp; Forecast Ratio '!V11)</f>
        <v>13155.020045505387</v>
      </c>
      <c r="W11" s="83">
        <f>V11*(1+'3. Historical &amp; Forecast Ratio '!W11)</f>
        <v>14643.005384274147</v>
      </c>
      <c r="X11" s="83">
        <f>W11*(1+'3. Historical &amp; Forecast Ratio '!X11)</f>
        <v>16299.299122477634</v>
      </c>
      <c r="Y11" s="83">
        <f>X11*(1+'3. Historical &amp; Forecast Ratio '!Y11)</f>
        <v>18142.938892128892</v>
      </c>
      <c r="Z11" s="83">
        <f>Y11*(1+'3. Historical &amp; Forecast Ratio '!Z11)</f>
        <v>20195.115702219657</v>
      </c>
      <c r="AA11" s="84">
        <f>Z11*(1+'3. Historical &amp; Forecast Ratio '!AA11)</f>
        <v>22479.417510631469</v>
      </c>
      <c r="AB11" s="100">
        <f>AA11*(1+'3. Historical &amp; Forecast Ratio '!AB11)</f>
        <v>25022.10034685487</v>
      </c>
    </row>
    <row r="12" spans="1:74" x14ac:dyDescent="0.3">
      <c r="A12" s="27"/>
      <c r="B12" s="101" t="s">
        <v>265</v>
      </c>
      <c r="C12" s="130">
        <f>'1. Raw Data - Bloomberg'!D270</f>
        <v>2103.5</v>
      </c>
      <c r="D12" s="83">
        <f>'1. Raw Data - Bloomberg'!E270</f>
        <v>2317.6</v>
      </c>
      <c r="E12" s="83">
        <f>'1. Raw Data - Bloomberg'!F270</f>
        <v>2381.1</v>
      </c>
      <c r="F12" s="83">
        <f>'1. Raw Data - Bloomberg'!G270</f>
        <v>2377</v>
      </c>
      <c r="G12" s="83">
        <f>'1. Raw Data - Bloomberg'!H270</f>
        <v>2089.1999999999998</v>
      </c>
      <c r="H12" s="83">
        <f>'1. Raw Data - Bloomberg'!I270</f>
        <v>2026.3</v>
      </c>
      <c r="I12" s="83">
        <f>'1. Raw Data - Bloomberg'!J270</f>
        <v>1770</v>
      </c>
      <c r="J12" s="83">
        <f>'1. Raw Data - Bloomberg'!K270</f>
        <v>2018.7</v>
      </c>
      <c r="K12" s="83">
        <f>'1. Raw Data - Bloomberg'!L270</f>
        <v>2000.6</v>
      </c>
      <c r="L12" s="84">
        <f>'1. Raw Data - Bloomberg'!M270</f>
        <v>1905.2</v>
      </c>
      <c r="M12" s="83">
        <f>L12*(1+'3. Historical &amp; Forecast Ratio '!M12)</f>
        <v>1891.1535089827512</v>
      </c>
      <c r="N12" s="83">
        <f>M12*(1+'3. Historical &amp; Forecast Ratio '!N12)</f>
        <v>1877.2105786992299</v>
      </c>
      <c r="O12" s="83">
        <f>N12*(1+'3. Historical &amp; Forecast Ratio '!O12)</f>
        <v>1863.3704456259657</v>
      </c>
      <c r="P12" s="83">
        <f>O12*(1+'3. Historical &amp; Forecast Ratio '!P12)</f>
        <v>1849.6323518687266</v>
      </c>
      <c r="Q12" s="84">
        <f>P12*(1+'3. Historical &amp; Forecast Ratio '!Q12)</f>
        <v>1835.9955451210167</v>
      </c>
      <c r="R12" s="83">
        <f>Q12*(1+'3. Historical &amp; Forecast Ratio '!R12)</f>
        <v>1822.4592786228793</v>
      </c>
      <c r="S12" s="83">
        <f>R12*(1+'3. Historical &amp; Forecast Ratio '!S12)</f>
        <v>1809.022811120004</v>
      </c>
      <c r="T12" s="83">
        <f>S12*(1+'3. Historical &amp; Forecast Ratio '!T12)</f>
        <v>1795.6854068231346</v>
      </c>
      <c r="U12" s="83">
        <f>T12*(1+'3. Historical &amp; Forecast Ratio '!U12)</f>
        <v>1782.4463353677777</v>
      </c>
      <c r="V12" s="83">
        <f>U12*(1+'3. Historical &amp; Forecast Ratio '!V12)</f>
        <v>1769.3048717742065</v>
      </c>
      <c r="W12" s="83">
        <f>V12*(1+'3. Historical &amp; Forecast Ratio '!W12)</f>
        <v>1756.2602964077614</v>
      </c>
      <c r="X12" s="83">
        <f>W12*(1+'3. Historical &amp; Forecast Ratio '!X12)</f>
        <v>1743.3118949394418</v>
      </c>
      <c r="Y12" s="83">
        <f>X12*(1+'3. Historical &amp; Forecast Ratio '!Y12)</f>
        <v>1730.4589583067891</v>
      </c>
      <c r="Z12" s="83">
        <f>Y12*(1+'3. Historical &amp; Forecast Ratio '!Z12)</f>
        <v>1717.700782675058</v>
      </c>
      <c r="AA12" s="84">
        <f>Z12*(1+'3. Historical &amp; Forecast Ratio '!AA12)</f>
        <v>1705.0366693986741</v>
      </c>
      <c r="AB12" s="100">
        <f>AA12*(1+'3. Historical &amp; Forecast Ratio '!AB12)</f>
        <v>1692.4659249829758</v>
      </c>
    </row>
    <row r="13" spans="1:74" x14ac:dyDescent="0.3">
      <c r="A13" s="27"/>
      <c r="B13" s="99" t="s">
        <v>577</v>
      </c>
      <c r="C13" s="130">
        <f>'1. Raw Data - Bloomberg'!D9</f>
        <v>13198.6</v>
      </c>
      <c r="D13" s="83">
        <f>'1. Raw Data - Bloomberg'!E9</f>
        <v>14573.3</v>
      </c>
      <c r="E13" s="83">
        <f>'1. Raw Data - Bloomberg'!F9</f>
        <v>15552.2</v>
      </c>
      <c r="F13" s="83">
        <f>'1. Raw Data - Bloomberg'!G9</f>
        <v>17402.900000000001</v>
      </c>
      <c r="G13" s="83">
        <f>'1. Raw Data - Bloomberg'!H9</f>
        <v>19020.5</v>
      </c>
      <c r="H13" s="83">
        <f>'1. Raw Data - Bloomberg'!I9</f>
        <v>18458.900000000001</v>
      </c>
      <c r="I13" s="83">
        <f>'1. Raw Data - Bloomberg'!J9</f>
        <v>20652</v>
      </c>
      <c r="J13" s="83">
        <f>'1. Raw Data - Bloomberg'!K9</f>
        <v>23879.200000000001</v>
      </c>
      <c r="K13" s="83">
        <f>'1. Raw Data - Bloomberg'!L9</f>
        <v>26129.4</v>
      </c>
      <c r="L13" s="84">
        <f>'1. Raw Data - Bloomberg'!M9</f>
        <v>26467.1</v>
      </c>
      <c r="M13" s="83">
        <f>M9*'3. Historical &amp; Forecast Ratio '!M13</f>
        <v>28093.889937162097</v>
      </c>
      <c r="N13" s="83">
        <f>N9*'3. Historical &amp; Forecast Ratio '!N13</f>
        <v>30389.313168080582</v>
      </c>
      <c r="O13" s="83">
        <f>O9*'3. Historical &amp; Forecast Ratio '!O13</f>
        <v>32886.618562430413</v>
      </c>
      <c r="P13" s="83">
        <f>P9*'3. Historical &amp; Forecast Ratio '!P13</f>
        <v>35603.794725922504</v>
      </c>
      <c r="Q13" s="84">
        <f>Q9*'3. Historical &amp; Forecast Ratio '!Q13</f>
        <v>38560.46813494114</v>
      </c>
      <c r="R13" s="83">
        <f>R9*'3. Historical &amp; Forecast Ratio '!R13</f>
        <v>41778.055832962164</v>
      </c>
      <c r="S13" s="83">
        <f>S9*'3. Historical &amp; Forecast Ratio '!S13</f>
        <v>45279.932726861465</v>
      </c>
      <c r="T13" s="83">
        <f>T9*'3. Historical &amp; Forecast Ratio '!T13</f>
        <v>49091.614915315979</v>
      </c>
      <c r="U13" s="83">
        <f>U9*'3. Historical &amp; Forecast Ratio '!U13</f>
        <v>53240.960625512787</v>
      </c>
      <c r="V13" s="83">
        <f>V9*'3. Historical &amp; Forecast Ratio '!V13</f>
        <v>57758.390493208644</v>
      </c>
      <c r="W13" s="83">
        <f>W9*'3. Historical &amp; Forecast Ratio '!W13</f>
        <v>62677.129096377575</v>
      </c>
      <c r="X13" s="83">
        <f>X9*'3. Historical &amp; Forecast Ratio '!X13</f>
        <v>68033.46984596875</v>
      </c>
      <c r="Y13" s="83">
        <f>Y9*'3. Historical &amp; Forecast Ratio '!Y13</f>
        <v>73867.065550573941</v>
      </c>
      <c r="Z13" s="83">
        <f>Z9*'3. Historical &amp; Forecast Ratio '!Z13</f>
        <v>80221.247207182911</v>
      </c>
      <c r="AA13" s="84">
        <f>AA9*'3. Historical &amp; Forecast Ratio '!AA13</f>
        <v>87143.373830019118</v>
      </c>
      <c r="AB13" s="100">
        <f>AB9*'3. Historical &amp; Forecast Ratio '!AB13</f>
        <v>94685.216416281502</v>
      </c>
    </row>
    <row r="14" spans="1:74" x14ac:dyDescent="0.3">
      <c r="A14" s="27"/>
      <c r="B14" s="99"/>
      <c r="C14" s="130"/>
      <c r="D14" s="83"/>
      <c r="E14" s="83"/>
      <c r="F14" s="83"/>
      <c r="G14" s="83"/>
      <c r="H14" s="83"/>
      <c r="I14" s="83"/>
      <c r="J14" s="83"/>
      <c r="K14" s="83"/>
      <c r="L14" s="84"/>
      <c r="M14" s="83"/>
      <c r="N14" s="83"/>
      <c r="O14" s="83"/>
      <c r="P14" s="83"/>
      <c r="Q14" s="84"/>
      <c r="R14" s="83"/>
      <c r="S14" s="83"/>
      <c r="T14" s="83"/>
      <c r="U14" s="83"/>
      <c r="V14" s="83"/>
      <c r="W14" s="83"/>
      <c r="X14" s="83"/>
      <c r="Y14" s="83"/>
      <c r="Z14" s="83"/>
      <c r="AA14" s="84"/>
      <c r="AB14" s="100"/>
    </row>
    <row r="15" spans="1:74" ht="15" thickBot="1" x14ac:dyDescent="0.35">
      <c r="A15" s="27"/>
      <c r="B15" s="102" t="s">
        <v>31</v>
      </c>
      <c r="C15" s="131">
        <f t="shared" ref="C15:AB15" si="4">C9-C13</f>
        <v>5964.1</v>
      </c>
      <c r="D15" s="78">
        <f t="shared" si="4"/>
        <v>6742.6000000000022</v>
      </c>
      <c r="E15" s="78">
        <f t="shared" si="4"/>
        <v>6834.5999999999985</v>
      </c>
      <c r="F15" s="78">
        <f t="shared" si="4"/>
        <v>7316.5999999999985</v>
      </c>
      <c r="G15" s="78">
        <f t="shared" si="4"/>
        <v>7488.0999999999985</v>
      </c>
      <c r="H15" s="78">
        <f t="shared" si="4"/>
        <v>5059.0999999999985</v>
      </c>
      <c r="I15" s="78">
        <f t="shared" si="4"/>
        <v>8408.5999999999985</v>
      </c>
      <c r="J15" s="78">
        <f t="shared" si="4"/>
        <v>8371.0999999999985</v>
      </c>
      <c r="K15" s="78">
        <f t="shared" si="4"/>
        <v>9846.1999999999971</v>
      </c>
      <c r="L15" s="85">
        <f t="shared" si="4"/>
        <v>9709.0999999999985</v>
      </c>
      <c r="M15" s="78">
        <f t="shared" si="4"/>
        <v>11020.015024023549</v>
      </c>
      <c r="N15" s="78">
        <f t="shared" si="4"/>
        <v>11920.410040441471</v>
      </c>
      <c r="O15" s="78">
        <f t="shared" si="4"/>
        <v>12899.994677060509</v>
      </c>
      <c r="P15" s="78">
        <f t="shared" si="4"/>
        <v>13965.825084012919</v>
      </c>
      <c r="Q15" s="85">
        <f t="shared" si="4"/>
        <v>15125.599877086926</v>
      </c>
      <c r="R15" s="78">
        <f t="shared" si="4"/>
        <v>16387.720033911566</v>
      </c>
      <c r="S15" s="78">
        <f t="shared" si="4"/>
        <v>17761.354517045351</v>
      </c>
      <c r="T15" s="78">
        <f t="shared" si="4"/>
        <v>19256.512185759944</v>
      </c>
      <c r="U15" s="78">
        <f t="shared" si="4"/>
        <v>20884.120614799569</v>
      </c>
      <c r="V15" s="78">
        <f t="shared" si="4"/>
        <v>22656.112500698218</v>
      </c>
      <c r="W15" s="78">
        <f t="shared" si="4"/>
        <v>24585.520404958057</v>
      </c>
      <c r="X15" s="78">
        <f t="shared" si="4"/>
        <v>26686.580659209445</v>
      </c>
      <c r="Y15" s="78">
        <f t="shared" si="4"/>
        <v>28974.847341132743</v>
      </c>
      <c r="Z15" s="78">
        <f t="shared" si="4"/>
        <v>31467.317322250616</v>
      </c>
      <c r="AA15" s="85">
        <f t="shared" si="4"/>
        <v>34182.567490613525</v>
      </c>
      <c r="AB15" s="103">
        <f t="shared" si="4"/>
        <v>37140.905363913655</v>
      </c>
    </row>
    <row r="16" spans="1:74" x14ac:dyDescent="0.3">
      <c r="A16" s="27"/>
      <c r="B16" s="99"/>
      <c r="C16" s="130"/>
      <c r="D16" s="83"/>
      <c r="E16" s="83"/>
      <c r="F16" s="83"/>
      <c r="G16" s="83"/>
      <c r="H16" s="83"/>
      <c r="I16" s="83"/>
      <c r="J16" s="83"/>
      <c r="K16" s="83"/>
      <c r="L16" s="84"/>
      <c r="M16" s="83"/>
      <c r="N16" s="83"/>
      <c r="O16" s="83"/>
      <c r="P16" s="83"/>
      <c r="Q16" s="84"/>
      <c r="R16" s="83"/>
      <c r="S16" s="83"/>
      <c r="T16" s="83"/>
      <c r="U16" s="83"/>
      <c r="V16" s="83"/>
      <c r="W16" s="83"/>
      <c r="X16" s="83"/>
      <c r="Y16" s="83"/>
      <c r="Z16" s="83"/>
      <c r="AA16" s="84"/>
      <c r="AB16" s="100"/>
    </row>
    <row r="17" spans="1:28" x14ac:dyDescent="0.3">
      <c r="A17" s="27"/>
      <c r="B17" s="99" t="s">
        <v>578</v>
      </c>
      <c r="C17" s="130">
        <f>'1. Raw Data - Bloomberg'!D11</f>
        <v>0</v>
      </c>
      <c r="D17" s="83">
        <f>'1. Raw Data - Bloomberg'!E11</f>
        <v>318.2</v>
      </c>
      <c r="E17" s="83">
        <f>'1. Raw Data - Bloomberg'!F11</f>
        <v>391.4</v>
      </c>
      <c r="F17" s="83">
        <f>'1. Raw Data - Bloomberg'!G11</f>
        <v>301.2</v>
      </c>
      <c r="G17" s="83">
        <f>'1. Raw Data - Bloomberg'!H11</f>
        <v>298</v>
      </c>
      <c r="H17" s="83">
        <f>'1. Raw Data - Bloomberg'!I11</f>
        <v>322.5</v>
      </c>
      <c r="I17" s="83">
        <f>'1. Raw Data - Bloomberg'!J11</f>
        <v>385.3</v>
      </c>
      <c r="J17" s="83">
        <f>'1. Raw Data - Bloomberg'!K11</f>
        <v>234.1</v>
      </c>
      <c r="K17" s="83">
        <f>'1. Raw Data - Bloomberg'!L11</f>
        <v>298.39999999999998</v>
      </c>
      <c r="L17" s="84">
        <f>'1. Raw Data - Bloomberg'!M11</f>
        <v>301.2</v>
      </c>
      <c r="M17" s="83"/>
      <c r="N17" s="83"/>
      <c r="O17" s="83"/>
      <c r="P17" s="83"/>
      <c r="Q17" s="84"/>
      <c r="R17" s="83"/>
      <c r="S17" s="83"/>
      <c r="T17" s="83"/>
      <c r="U17" s="83"/>
      <c r="V17" s="83"/>
      <c r="W17" s="83"/>
      <c r="X17" s="83"/>
      <c r="Y17" s="83"/>
      <c r="Z17" s="83"/>
      <c r="AA17" s="84"/>
      <c r="AB17" s="100"/>
    </row>
    <row r="18" spans="1:28" x14ac:dyDescent="0.3">
      <c r="A18" s="27"/>
      <c r="B18" s="99"/>
      <c r="C18" s="130"/>
      <c r="D18" s="83"/>
      <c r="E18" s="83"/>
      <c r="F18" s="83"/>
      <c r="G18" s="83"/>
      <c r="H18" s="83"/>
      <c r="I18" s="83"/>
      <c r="J18" s="83"/>
      <c r="K18" s="83"/>
      <c r="L18" s="84"/>
      <c r="M18" s="83"/>
      <c r="N18" s="83"/>
      <c r="O18" s="83"/>
      <c r="P18" s="83"/>
      <c r="Q18" s="84"/>
      <c r="R18" s="83"/>
      <c r="S18" s="83"/>
      <c r="T18" s="83"/>
      <c r="U18" s="83"/>
      <c r="V18" s="83"/>
      <c r="W18" s="83"/>
      <c r="X18" s="83"/>
      <c r="Y18" s="83"/>
      <c r="Z18" s="83"/>
      <c r="AA18" s="84"/>
      <c r="AB18" s="100"/>
    </row>
    <row r="19" spans="1:28" x14ac:dyDescent="0.3">
      <c r="A19" s="27"/>
      <c r="B19" s="99" t="s">
        <v>579</v>
      </c>
      <c r="C19" s="130">
        <f>'1. Raw Data - Bloomberg'!D13</f>
        <v>1424.6</v>
      </c>
      <c r="D19" s="83">
        <f>'1. Raw Data - Bloomberg'!E13</f>
        <v>1657.5</v>
      </c>
      <c r="E19" s="83">
        <f>'1. Raw Data - Bloomberg'!F13</f>
        <v>1691</v>
      </c>
      <c r="F19" s="83">
        <f>'1. Raw Data - Bloomberg'!G13</f>
        <v>1968.5</v>
      </c>
      <c r="G19" s="83">
        <f>'1. Raw Data - Bloomberg'!H13</f>
        <v>2029</v>
      </c>
      <c r="H19" s="83">
        <f>'1. Raw Data - Bloomberg'!I13</f>
        <v>1922.2</v>
      </c>
      <c r="I19" s="83">
        <f>'1. Raw Data - Bloomberg'!J13</f>
        <v>2215.5</v>
      </c>
      <c r="J19" s="83">
        <f>'1. Raw Data - Bloomberg'!K13</f>
        <v>2448.6999999999998</v>
      </c>
      <c r="K19" s="83">
        <f>'1. Raw Data - Bloomberg'!L13</f>
        <v>2949.1</v>
      </c>
      <c r="L19" s="84">
        <f>'1. Raw Data - Bloomberg'!M13</f>
        <v>2523.3000000000002</v>
      </c>
      <c r="M19" s="83">
        <f>L19*(1+'3. Historical &amp; Forecast Ratio '!M17)</f>
        <v>2703.7751934970192</v>
      </c>
      <c r="N19" s="83">
        <f>M19*(1+'3. Historical &amp; Forecast Ratio '!N17)</f>
        <v>2897.1586006300654</v>
      </c>
      <c r="O19" s="83">
        <f>N19*(1+'3. Historical &amp; Forecast Ratio '!O17)</f>
        <v>3104.3734617406208</v>
      </c>
      <c r="P19" s="83">
        <f>O19*(1+'3. Historical &amp; Forecast Ratio '!P17)</f>
        <v>3326.4090505309546</v>
      </c>
      <c r="Q19" s="84">
        <f>P19*(1+'3. Historical &amp; Forecast Ratio '!Q17)</f>
        <v>3564.3253969997891</v>
      </c>
      <c r="R19" s="83">
        <f>Q19*(1+'3. Historical &amp; Forecast Ratio '!R17)</f>
        <v>3819.2583481787515</v>
      </c>
      <c r="S19" s="83">
        <f>R19*(1+'3. Historical &amp; Forecast Ratio '!S17)</f>
        <v>4092.4249908303054</v>
      </c>
      <c r="T19" s="83">
        <f>S19*(1+'3. Historical &amp; Forecast Ratio '!T17)</f>
        <v>4385.1294619958962</v>
      </c>
      <c r="U19" s="83">
        <f>T19*(1+'3. Historical &amp; Forecast Ratio '!U17)</f>
        <v>4698.7691751347174</v>
      </c>
      <c r="V19" s="83">
        <f>U19*(1+'3. Historical &amp; Forecast Ratio '!V17)</f>
        <v>5034.8414915775766</v>
      </c>
      <c r="W19" s="83">
        <f>V19*(1+'3. Historical &amp; Forecast Ratio '!W17)</f>
        <v>5394.9508691463489</v>
      </c>
      <c r="X19" s="83">
        <f>W19*(1+'3. Historical &amp; Forecast Ratio '!X17)</f>
        <v>5780.8165220675628</v>
      </c>
      <c r="Y19" s="83">
        <f>X19*(1+'3. Historical &amp; Forecast Ratio '!Y17)</f>
        <v>6194.2806287496487</v>
      </c>
      <c r="Z19" s="83">
        <f>Y19*(1+'3. Historical &amp; Forecast Ratio '!Z17)</f>
        <v>6637.3171266089721</v>
      </c>
      <c r="AA19" s="84">
        <f>Z19*(1+'3. Historical &amp; Forecast Ratio '!AA17)</f>
        <v>7112.0411359324107</v>
      </c>
      <c r="AB19" s="100">
        <f>AA19*(1+'3. Historical &amp; Forecast Ratio '!AB17)</f>
        <v>7620.7190577673737</v>
      </c>
    </row>
    <row r="20" spans="1:28" x14ac:dyDescent="0.3">
      <c r="A20" s="27"/>
      <c r="B20" s="99" t="s">
        <v>580</v>
      </c>
      <c r="C20" s="130">
        <f>'1. Raw Data - Bloomberg'!D17</f>
        <v>893.9</v>
      </c>
      <c r="D20" s="83">
        <f>'1. Raw Data - Bloomberg'!E17</f>
        <v>980.8</v>
      </c>
      <c r="E20" s="83">
        <f>'1. Raw Data - Bloomberg'!F17</f>
        <v>1011.4</v>
      </c>
      <c r="F20" s="83">
        <f>'1. Raw Data - Bloomberg'!G17</f>
        <v>1247</v>
      </c>
      <c r="G20" s="83">
        <f>'1. Raw Data - Bloomberg'!H17</f>
        <v>1377.3</v>
      </c>
      <c r="H20" s="83">
        <f>'1. Raw Data - Bloomberg'!I17</f>
        <v>1431.3</v>
      </c>
      <c r="I20" s="83">
        <f>'1. Raw Data - Bloomberg'!J17</f>
        <v>1441.7</v>
      </c>
      <c r="J20" s="83">
        <f>'1. Raw Data - Bloomberg'!K17</f>
        <v>1447.9</v>
      </c>
      <c r="K20" s="83">
        <f>'1. Raw Data - Bloomberg'!L17</f>
        <v>1362.6</v>
      </c>
      <c r="L20" s="84">
        <f>'1. Raw Data - Bloomberg'!M17</f>
        <v>1512.6</v>
      </c>
      <c r="M20" s="83">
        <f>L20*(1+'3. Historical &amp; Forecast Ratio '!M18)</f>
        <v>1608.027108128309</v>
      </c>
      <c r="N20" s="83">
        <f>M20*(1+'3. Historical &amp; Forecast Ratio '!N18)</f>
        <v>1709.4745342294675</v>
      </c>
      <c r="O20" s="83">
        <f>N20*(1+'3. Historical &amp; Forecast Ratio '!O18)</f>
        <v>1817.3220889170957</v>
      </c>
      <c r="P20" s="83">
        <f>O20*(1+'3. Historical &amp; Forecast Ratio '!P18)</f>
        <v>1931.9735443468567</v>
      </c>
      <c r="Q20" s="84">
        <f>P20*(1+'3. Historical &amp; Forecast Ratio '!Q18)</f>
        <v>2053.8581459053785</v>
      </c>
      <c r="R20" s="83">
        <f>Q20*(1+'3. Historical &amp; Forecast Ratio '!R18)</f>
        <v>2183.4322192688064</v>
      </c>
      <c r="S20" s="83">
        <f>R20*(1+'3. Historical &amp; Forecast Ratio '!S18)</f>
        <v>2321.180878847676</v>
      </c>
      <c r="T20" s="83">
        <f>S20*(1+'3. Historical &amp; Forecast Ratio '!T18)</f>
        <v>2467.619844014383</v>
      </c>
      <c r="U20" s="83">
        <f>T20*(1+'3. Historical &amp; Forecast Ratio '!U18)</f>
        <v>2623.2973699130489</v>
      </c>
      <c r="V20" s="83">
        <f>U20*(1+'3. Historical &amp; Forecast Ratio '!V18)</f>
        <v>2788.7963000805757</v>
      </c>
      <c r="W20" s="83">
        <f>V20*(1+'3. Historical &amp; Forecast Ratio '!W18)</f>
        <v>2964.7362485637291</v>
      </c>
      <c r="X20" s="83">
        <f>W20*(1+'3. Historical &amp; Forecast Ratio '!X18)</f>
        <v>3151.7759197019072</v>
      </c>
      <c r="Y20" s="83">
        <f>X20*(1+'3. Historical &amp; Forecast Ratio '!Y18)</f>
        <v>3350.6155742606766</v>
      </c>
      <c r="Z20" s="83">
        <f>Y20*(1+'3. Historical &amp; Forecast Ratio '!Z18)</f>
        <v>3561.9996511490608</v>
      </c>
      <c r="AA20" s="84">
        <f>Z20*(1+'3. Historical &amp; Forecast Ratio '!AA18)</f>
        <v>3786.7195545360769</v>
      </c>
      <c r="AB20" s="100">
        <f>AA20*(1+'3. Historical &amp; Forecast Ratio '!AB18)</f>
        <v>4025.6166168012473</v>
      </c>
    </row>
    <row r="21" spans="1:28" x14ac:dyDescent="0.3">
      <c r="A21" s="27"/>
      <c r="B21" s="99" t="s">
        <v>581</v>
      </c>
      <c r="C21" s="130">
        <f>'1. Raw Data - Bloomberg'!D18</f>
        <v>-10</v>
      </c>
      <c r="D21" s="83">
        <f>'1. Raw Data - Bloomberg'!E18</f>
        <v>250.6</v>
      </c>
      <c r="E21" s="83">
        <f>'1. Raw Data - Bloomberg'!F18</f>
        <v>172.4</v>
      </c>
      <c r="F21" s="83">
        <f>'1. Raw Data - Bloomberg'!G18</f>
        <v>-92.7</v>
      </c>
      <c r="G21" s="83">
        <f>'1. Raw Data - Bloomberg'!H18</f>
        <v>-190.7</v>
      </c>
      <c r="H21" s="83">
        <f>'1. Raw Data - Bloomberg'!I18</f>
        <v>-105.1</v>
      </c>
      <c r="I21" s="83">
        <f>'1. Raw Data - Bloomberg'!J18</f>
        <v>-81.2</v>
      </c>
      <c r="J21" s="83">
        <f>'1. Raw Data - Bloomberg'!K18</f>
        <v>-146.4</v>
      </c>
      <c r="K21" s="83">
        <f>'1. Raw Data - Bloomberg'!L18</f>
        <v>31.5</v>
      </c>
      <c r="L21" s="84">
        <f>'1. Raw Data - Bloomberg'!M18</f>
        <v>444.1</v>
      </c>
      <c r="M21" s="83">
        <f>L21*(1+'3. Historical &amp; Forecast Ratio '!M19)</f>
        <v>-288.30236938858155</v>
      </c>
      <c r="N21" s="83">
        <f>M21*(1+'3. Historical &amp; Forecast Ratio '!N19)</f>
        <v>187.16112631179942</v>
      </c>
      <c r="O21" s="83">
        <f>N21*(1+'3. Historical &amp; Forecast Ratio '!O19)</f>
        <v>-121.50190536619537</v>
      </c>
      <c r="P21" s="83">
        <f>O21*(1+'3. Historical &amp; Forecast Ratio '!P19)</f>
        <v>78.8770259002507</v>
      </c>
      <c r="Q21" s="84">
        <f>P21*(1+'3. Historical &amp; Forecast Ratio '!Q19)</f>
        <v>-51.205659665315899</v>
      </c>
      <c r="R21" s="83">
        <f>Q21*(1+'3. Historical &amp; Forecast Ratio '!R19)</f>
        <v>33.241866713838988</v>
      </c>
      <c r="S21" s="83">
        <f>R21*(1+'3. Historical &amp; Forecast Ratio '!S19)</f>
        <v>-21.580069661110564</v>
      </c>
      <c r="T21" s="83">
        <f>S21*(1+'3. Historical &amp; Forecast Ratio '!T19)</f>
        <v>14.009424037083583</v>
      </c>
      <c r="U21" s="83">
        <f>T21*(1+'3. Historical &amp; Forecast Ratio '!U19)</f>
        <v>-9.0946862050451358</v>
      </c>
      <c r="V21" s="83">
        <f>U21*(1+'3. Historical &amp; Forecast Ratio '!V19)</f>
        <v>5.9041197517679791</v>
      </c>
      <c r="W21" s="83">
        <f>V21*(1+'3. Historical &amp; Forecast Ratio '!W19)</f>
        <v>-3.8328568196096202</v>
      </c>
      <c r="X21" s="83">
        <f>W21*(1+'3. Historical &amp; Forecast Ratio '!X19)</f>
        <v>2.4882272069818434</v>
      </c>
      <c r="Y21" s="83">
        <f>X21*(1+'3. Historical &amp; Forecast Ratio '!Y19)</f>
        <v>-1.6153159183742356</v>
      </c>
      <c r="Z21" s="83">
        <f>Y21*(1+'3. Historical &amp; Forecast Ratio '!Z19)</f>
        <v>1.0486363579787992</v>
      </c>
      <c r="AA21" s="84">
        <f>Z21*(1+'3. Historical &amp; Forecast Ratio '!AA19)</f>
        <v>-0.68075736688200994</v>
      </c>
      <c r="AB21" s="100">
        <f>AA21*(1+'3. Historical &amp; Forecast Ratio '!AB19)</f>
        <v>0.4419364148858711</v>
      </c>
    </row>
    <row r="22" spans="1:28" x14ac:dyDescent="0.3">
      <c r="B22" s="104" t="s">
        <v>582</v>
      </c>
      <c r="C22" s="132">
        <f>C19+C21+C20</f>
        <v>2308.5</v>
      </c>
      <c r="D22" s="70">
        <f t="shared" ref="D22:L22" si="5">D19+D21+D20</f>
        <v>2888.8999999999996</v>
      </c>
      <c r="E22" s="70">
        <f t="shared" si="5"/>
        <v>2874.8</v>
      </c>
      <c r="F22" s="70">
        <f t="shared" si="5"/>
        <v>3122.8</v>
      </c>
      <c r="G22" s="70">
        <f t="shared" si="5"/>
        <v>3215.6</v>
      </c>
      <c r="H22" s="70">
        <f t="shared" si="5"/>
        <v>3248.4</v>
      </c>
      <c r="I22" s="70">
        <f t="shared" si="5"/>
        <v>3576</v>
      </c>
      <c r="J22" s="70">
        <f t="shared" si="5"/>
        <v>3750.2</v>
      </c>
      <c r="K22" s="70">
        <f t="shared" si="5"/>
        <v>4343.2</v>
      </c>
      <c r="L22" s="86">
        <f t="shared" si="5"/>
        <v>4480</v>
      </c>
      <c r="M22" s="70">
        <f t="shared" ref="M22" si="6">M19+M21+M20</f>
        <v>4023.4999322367466</v>
      </c>
      <c r="N22" s="70">
        <f t="shared" ref="N22" si="7">N19+N21+N20</f>
        <v>4793.7942611713324</v>
      </c>
      <c r="O22" s="70">
        <f t="shared" ref="O22" si="8">O19+O21+O20</f>
        <v>4800.1936452915215</v>
      </c>
      <c r="P22" s="70">
        <f t="shared" ref="P22" si="9">P19+P21+P20</f>
        <v>5337.2596207780625</v>
      </c>
      <c r="Q22" s="86">
        <f t="shared" ref="Q22" si="10">Q19+Q21+Q20</f>
        <v>5566.9778832398515</v>
      </c>
      <c r="R22" s="70">
        <f t="shared" ref="R22" si="11">R19+R21+R20</f>
        <v>6035.9324341613974</v>
      </c>
      <c r="S22" s="70">
        <f t="shared" ref="S22" si="12">S19+S21+S20</f>
        <v>6392.0258000168706</v>
      </c>
      <c r="T22" s="70">
        <f t="shared" ref="T22" si="13">T19+T21+T20</f>
        <v>6866.7587300473624</v>
      </c>
      <c r="U22" s="70">
        <f t="shared" ref="U22" si="14">U19+U21+U20</f>
        <v>7312.9718588427213</v>
      </c>
      <c r="V22" s="70">
        <f t="shared" ref="V22" si="15">V19+V21+V20</f>
        <v>7829.5419114099204</v>
      </c>
      <c r="W22" s="70">
        <f t="shared" ref="W22" si="16">W19+W21+W20</f>
        <v>8355.8542608904681</v>
      </c>
      <c r="X22" s="70">
        <f t="shared" ref="X22" si="17">X19+X21+X20</f>
        <v>8935.0806689764522</v>
      </c>
      <c r="Y22" s="70">
        <f t="shared" ref="Y22" si="18">Y19+Y21+Y20</f>
        <v>9543.2808870919507</v>
      </c>
      <c r="Z22" s="70">
        <f t="shared" ref="Z22" si="19">Z19+Z21+Z20</f>
        <v>10200.365414116011</v>
      </c>
      <c r="AA22" s="86">
        <f t="shared" ref="AA22" si="20">AA19+AA21+AA20</f>
        <v>10898.079933101606</v>
      </c>
      <c r="AB22" s="105">
        <f t="shared" ref="AB22" si="21">AB19+AB21+AB20</f>
        <v>11646.777610983507</v>
      </c>
    </row>
    <row r="23" spans="1:28" x14ac:dyDescent="0.3">
      <c r="A23" s="27"/>
      <c r="B23" s="106"/>
      <c r="C23" s="133"/>
      <c r="L23" s="88"/>
      <c r="Q23" s="88"/>
      <c r="AA23" s="88"/>
      <c r="AB23" s="107"/>
    </row>
    <row r="24" spans="1:28" ht="15" thickBot="1" x14ac:dyDescent="0.35">
      <c r="A24" s="27"/>
      <c r="B24" s="102" t="s">
        <v>94</v>
      </c>
      <c r="C24" s="131">
        <f t="shared" ref="C24:L24" si="22">C15+C17-C22</f>
        <v>3655.6000000000004</v>
      </c>
      <c r="D24" s="78">
        <f t="shared" si="22"/>
        <v>4171.9000000000024</v>
      </c>
      <c r="E24" s="78">
        <f t="shared" si="22"/>
        <v>4351.199999999998</v>
      </c>
      <c r="F24" s="78">
        <f t="shared" si="22"/>
        <v>4494.9999999999982</v>
      </c>
      <c r="G24" s="78">
        <f t="shared" si="22"/>
        <v>4570.4999999999982</v>
      </c>
      <c r="H24" s="78">
        <f t="shared" si="22"/>
        <v>2133.1999999999985</v>
      </c>
      <c r="I24" s="78">
        <f t="shared" si="22"/>
        <v>5217.8999999999978</v>
      </c>
      <c r="J24" s="78">
        <f t="shared" si="22"/>
        <v>4854.9999999999991</v>
      </c>
      <c r="K24" s="78">
        <f t="shared" si="22"/>
        <v>5801.3999999999969</v>
      </c>
      <c r="L24" s="85">
        <f t="shared" si="22"/>
        <v>5530.2999999999993</v>
      </c>
      <c r="M24" s="78">
        <f t="shared" ref="M24:AB24" si="23">M15-M22</f>
        <v>6996.5150917868023</v>
      </c>
      <c r="N24" s="78">
        <f t="shared" si="23"/>
        <v>7126.6157792701388</v>
      </c>
      <c r="O24" s="78">
        <f t="shared" si="23"/>
        <v>8099.8010317689877</v>
      </c>
      <c r="P24" s="78">
        <f t="shared" si="23"/>
        <v>8628.565463234856</v>
      </c>
      <c r="Q24" s="85">
        <f t="shared" si="23"/>
        <v>9558.6219938470749</v>
      </c>
      <c r="R24" s="78">
        <f t="shared" si="23"/>
        <v>10351.787599750169</v>
      </c>
      <c r="S24" s="78">
        <f t="shared" si="23"/>
        <v>11369.32871702848</v>
      </c>
      <c r="T24" s="78">
        <f t="shared" si="23"/>
        <v>12389.753455712582</v>
      </c>
      <c r="U24" s="78">
        <f t="shared" si="23"/>
        <v>13571.148755956849</v>
      </c>
      <c r="V24" s="78">
        <f t="shared" si="23"/>
        <v>14826.570589288298</v>
      </c>
      <c r="W24" s="78">
        <f t="shared" si="23"/>
        <v>16229.666144067589</v>
      </c>
      <c r="X24" s="78">
        <f t="shared" si="23"/>
        <v>17751.499990232995</v>
      </c>
      <c r="Y24" s="78">
        <f t="shared" si="23"/>
        <v>19431.566454040792</v>
      </c>
      <c r="Z24" s="78">
        <f t="shared" si="23"/>
        <v>21266.951908134604</v>
      </c>
      <c r="AA24" s="85">
        <f t="shared" si="23"/>
        <v>23284.487557511919</v>
      </c>
      <c r="AB24" s="103">
        <f t="shared" si="23"/>
        <v>25494.127752930148</v>
      </c>
    </row>
    <row r="25" spans="1:28" x14ac:dyDescent="0.3">
      <c r="A25" s="27"/>
      <c r="B25" s="99"/>
      <c r="C25" s="130"/>
      <c r="D25" s="83"/>
      <c r="E25" s="83"/>
      <c r="F25" s="83"/>
      <c r="G25" s="83"/>
      <c r="H25" s="83"/>
      <c r="I25" s="83"/>
      <c r="J25" s="83"/>
      <c r="K25" s="83"/>
      <c r="L25" s="84"/>
      <c r="M25" s="83"/>
      <c r="Q25" s="88"/>
      <c r="AA25" s="88"/>
      <c r="AB25" s="107"/>
    </row>
    <row r="26" spans="1:28" x14ac:dyDescent="0.3">
      <c r="A26" s="27"/>
      <c r="B26" s="99" t="s">
        <v>583</v>
      </c>
      <c r="C26" s="130">
        <f>'1. Raw Data - Bloomberg'!D23</f>
        <v>0</v>
      </c>
      <c r="D26" s="83">
        <f>'1. Raw Data - Bloomberg'!E23</f>
        <v>0</v>
      </c>
      <c r="E26" s="83">
        <f>'1. Raw Data - Bloomberg'!F23</f>
        <v>0</v>
      </c>
      <c r="F26" s="83">
        <f>'1. Raw Data - Bloomberg'!G23</f>
        <v>0</v>
      </c>
      <c r="G26" s="83">
        <f>'1. Raw Data - Bloomberg'!H23</f>
        <v>0</v>
      </c>
      <c r="H26" s="83">
        <f>'1. Raw Data - Bloomberg'!I23</f>
        <v>0</v>
      </c>
      <c r="I26" s="83">
        <f>'1. Raw Data - Bloomberg'!J23</f>
        <v>0</v>
      </c>
      <c r="J26" s="83">
        <f>'1. Raw Data - Bloomberg'!K23</f>
        <v>0</v>
      </c>
      <c r="K26" s="83">
        <f>'1. Raw Data - Bloomberg'!L23</f>
        <v>0</v>
      </c>
      <c r="L26" s="84">
        <f>'1. Raw Data - Bloomberg'!M23</f>
        <v>0</v>
      </c>
      <c r="M26" s="83">
        <f>AVERAGE($C26:$L26)</f>
        <v>0</v>
      </c>
      <c r="N26" s="83">
        <f t="shared" ref="N26:AB29" si="24">AVERAGE($C26:$L26)</f>
        <v>0</v>
      </c>
      <c r="O26" s="83">
        <f t="shared" si="24"/>
        <v>0</v>
      </c>
      <c r="P26" s="83">
        <f t="shared" si="24"/>
        <v>0</v>
      </c>
      <c r="Q26" s="84">
        <f t="shared" si="24"/>
        <v>0</v>
      </c>
      <c r="R26" s="83">
        <f t="shared" si="24"/>
        <v>0</v>
      </c>
      <c r="S26" s="83">
        <f t="shared" si="24"/>
        <v>0</v>
      </c>
      <c r="T26" s="83">
        <f t="shared" si="24"/>
        <v>0</v>
      </c>
      <c r="U26" s="83">
        <f t="shared" si="24"/>
        <v>0</v>
      </c>
      <c r="V26" s="83">
        <f t="shared" si="24"/>
        <v>0</v>
      </c>
      <c r="W26" s="83">
        <f t="shared" si="24"/>
        <v>0</v>
      </c>
      <c r="X26" s="83">
        <f t="shared" si="24"/>
        <v>0</v>
      </c>
      <c r="Y26" s="83">
        <f t="shared" si="24"/>
        <v>0</v>
      </c>
      <c r="Z26" s="83">
        <f t="shared" si="24"/>
        <v>0</v>
      </c>
      <c r="AA26" s="84">
        <f t="shared" si="24"/>
        <v>0</v>
      </c>
      <c r="AB26" s="100">
        <f t="shared" si="24"/>
        <v>0</v>
      </c>
    </row>
    <row r="27" spans="1:28" x14ac:dyDescent="0.3">
      <c r="A27" s="27"/>
      <c r="B27" s="99" t="s">
        <v>584</v>
      </c>
      <c r="C27" s="130">
        <f>'1. Raw Data - Bloomberg'!D22</f>
        <v>70.5</v>
      </c>
      <c r="D27" s="83">
        <f>'1. Raw Data - Bloomberg'!E22</f>
        <v>81.3</v>
      </c>
      <c r="E27" s="83">
        <f>'1. Raw Data - Bloomberg'!F22</f>
        <v>92.5</v>
      </c>
      <c r="F27" s="83">
        <f>'1. Raw Data - Bloomberg'!G22</f>
        <v>170.3</v>
      </c>
      <c r="G27" s="83">
        <f>'1. Raw Data - Bloomberg'!H22</f>
        <v>331</v>
      </c>
      <c r="H27" s="83">
        <f>'1. Raw Data - Bloomberg'!I22</f>
        <v>437</v>
      </c>
      <c r="I27" s="83">
        <f>'1. Raw Data - Bloomberg'!J22</f>
        <v>469.8</v>
      </c>
      <c r="J27" s="83">
        <f>'1. Raw Data - Bloomberg'!K22</f>
        <v>482.9</v>
      </c>
      <c r="K27" s="83">
        <f>'1. Raw Data - Bloomberg'!L22</f>
        <v>550.1</v>
      </c>
      <c r="L27" s="84">
        <f>'1. Raw Data - Bloomberg'!M22</f>
        <v>562</v>
      </c>
      <c r="M27" s="83">
        <f>AVERAGE($C27:$L27)</f>
        <v>324.73999999999995</v>
      </c>
      <c r="N27" s="83">
        <f t="shared" si="24"/>
        <v>324.73999999999995</v>
      </c>
      <c r="O27" s="83">
        <f t="shared" si="24"/>
        <v>324.73999999999995</v>
      </c>
      <c r="P27" s="83">
        <f t="shared" si="24"/>
        <v>324.73999999999995</v>
      </c>
      <c r="Q27" s="84">
        <f t="shared" si="24"/>
        <v>324.73999999999995</v>
      </c>
      <c r="R27" s="83">
        <f t="shared" si="24"/>
        <v>324.73999999999995</v>
      </c>
      <c r="S27" s="83">
        <f t="shared" si="24"/>
        <v>324.73999999999995</v>
      </c>
      <c r="T27" s="83">
        <f t="shared" si="24"/>
        <v>324.73999999999995</v>
      </c>
      <c r="U27" s="83">
        <f t="shared" si="24"/>
        <v>324.73999999999995</v>
      </c>
      <c r="V27" s="83">
        <f t="shared" si="24"/>
        <v>324.73999999999995</v>
      </c>
      <c r="W27" s="83">
        <f t="shared" si="24"/>
        <v>324.73999999999995</v>
      </c>
      <c r="X27" s="83">
        <f t="shared" si="24"/>
        <v>324.73999999999995</v>
      </c>
      <c r="Y27" s="83">
        <f t="shared" si="24"/>
        <v>324.73999999999995</v>
      </c>
      <c r="Z27" s="83">
        <f t="shared" si="24"/>
        <v>324.73999999999995</v>
      </c>
      <c r="AA27" s="84">
        <f t="shared" si="24"/>
        <v>324.73999999999995</v>
      </c>
      <c r="AB27" s="100">
        <f t="shared" si="24"/>
        <v>324.73999999999995</v>
      </c>
    </row>
    <row r="28" spans="1:28" x14ac:dyDescent="0.3">
      <c r="A28" s="27"/>
      <c r="B28" s="99" t="s">
        <v>585</v>
      </c>
      <c r="C28" s="130">
        <f>C27-C26</f>
        <v>70.5</v>
      </c>
      <c r="D28" s="83">
        <f t="shared" ref="D28:Q28" si="25">D27-D26</f>
        <v>81.3</v>
      </c>
      <c r="E28" s="83">
        <f t="shared" si="25"/>
        <v>92.5</v>
      </c>
      <c r="F28" s="83">
        <f t="shared" si="25"/>
        <v>170.3</v>
      </c>
      <c r="G28" s="83">
        <f t="shared" si="25"/>
        <v>331</v>
      </c>
      <c r="H28" s="83">
        <f t="shared" si="25"/>
        <v>437</v>
      </c>
      <c r="I28" s="83">
        <f t="shared" si="25"/>
        <v>469.8</v>
      </c>
      <c r="J28" s="83">
        <f t="shared" si="25"/>
        <v>482.9</v>
      </c>
      <c r="K28" s="83">
        <f t="shared" si="25"/>
        <v>550.1</v>
      </c>
      <c r="L28" s="84">
        <f t="shared" si="25"/>
        <v>562</v>
      </c>
      <c r="M28" s="83">
        <f t="shared" si="25"/>
        <v>324.73999999999995</v>
      </c>
      <c r="N28" s="83">
        <f t="shared" si="25"/>
        <v>324.73999999999995</v>
      </c>
      <c r="O28" s="83">
        <f t="shared" si="25"/>
        <v>324.73999999999995</v>
      </c>
      <c r="P28" s="83">
        <f t="shared" si="25"/>
        <v>324.73999999999995</v>
      </c>
      <c r="Q28" s="84">
        <f t="shared" si="25"/>
        <v>324.73999999999995</v>
      </c>
      <c r="R28" s="83">
        <f t="shared" ref="R28:AA28" si="26">R27-R26</f>
        <v>324.73999999999995</v>
      </c>
      <c r="S28" s="83">
        <f t="shared" si="26"/>
        <v>324.73999999999995</v>
      </c>
      <c r="T28" s="83">
        <f t="shared" si="26"/>
        <v>324.73999999999995</v>
      </c>
      <c r="U28" s="83">
        <f t="shared" si="26"/>
        <v>324.73999999999995</v>
      </c>
      <c r="V28" s="83">
        <f t="shared" si="26"/>
        <v>324.73999999999995</v>
      </c>
      <c r="W28" s="83">
        <f t="shared" si="26"/>
        <v>324.73999999999995</v>
      </c>
      <c r="X28" s="83">
        <f t="shared" si="26"/>
        <v>324.73999999999995</v>
      </c>
      <c r="Y28" s="83">
        <f t="shared" si="26"/>
        <v>324.73999999999995</v>
      </c>
      <c r="Z28" s="83">
        <f t="shared" si="26"/>
        <v>324.73999999999995</v>
      </c>
      <c r="AA28" s="84">
        <f t="shared" si="26"/>
        <v>324.73999999999995</v>
      </c>
      <c r="AB28" s="100">
        <f t="shared" ref="AB28" si="27">AB27-AB26</f>
        <v>324.73999999999995</v>
      </c>
    </row>
    <row r="29" spans="1:28" x14ac:dyDescent="0.3">
      <c r="A29" s="27"/>
      <c r="B29" s="99" t="s">
        <v>586</v>
      </c>
      <c r="C29" s="130">
        <f>'1. Raw Data - Bloomberg'!D25</f>
        <v>-43</v>
      </c>
      <c r="D29" s="83">
        <f>'1. Raw Data - Bloomberg'!E25</f>
        <v>-102.6</v>
      </c>
      <c r="E29" s="83">
        <f>'1. Raw Data - Bloomberg'!F25</f>
        <v>-181.8</v>
      </c>
      <c r="F29" s="83">
        <f>'1. Raw Data - Bloomberg'!G25</f>
        <v>-191.4</v>
      </c>
      <c r="G29" s="83">
        <f>'1. Raw Data - Bloomberg'!H25</f>
        <v>-96.5</v>
      </c>
      <c r="H29" s="83">
        <f>'1. Raw Data - Bloomberg'!I25</f>
        <v>-39.700000000000003</v>
      </c>
      <c r="I29" s="83">
        <f>'1. Raw Data - Bloomberg'!J25</f>
        <v>-90.1</v>
      </c>
      <c r="J29" s="83">
        <f>'1. Raw Data - Bloomberg'!K25</f>
        <v>-97</v>
      </c>
      <c r="K29" s="83">
        <f>'1. Raw Data - Bloomberg'!L25</f>
        <v>-81.2</v>
      </c>
      <c r="L29" s="84">
        <f>'1. Raw Data - Bloomberg'!M25</f>
        <v>-122.8</v>
      </c>
      <c r="M29" s="83">
        <f>AVERAGE($C29:$L29)</f>
        <v>-104.61000000000001</v>
      </c>
      <c r="N29" s="83">
        <f t="shared" si="24"/>
        <v>-104.61000000000001</v>
      </c>
      <c r="O29" s="83">
        <f t="shared" si="24"/>
        <v>-104.61000000000001</v>
      </c>
      <c r="P29" s="83">
        <f t="shared" si="24"/>
        <v>-104.61000000000001</v>
      </c>
      <c r="Q29" s="84">
        <f t="shared" si="24"/>
        <v>-104.61000000000001</v>
      </c>
      <c r="R29" s="83">
        <f t="shared" si="24"/>
        <v>-104.61000000000001</v>
      </c>
      <c r="S29" s="83">
        <f t="shared" si="24"/>
        <v>-104.61000000000001</v>
      </c>
      <c r="T29" s="83">
        <f t="shared" si="24"/>
        <v>-104.61000000000001</v>
      </c>
      <c r="U29" s="83">
        <f t="shared" si="24"/>
        <v>-104.61000000000001</v>
      </c>
      <c r="V29" s="83">
        <f t="shared" si="24"/>
        <v>-104.61000000000001</v>
      </c>
      <c r="W29" s="83">
        <f t="shared" si="24"/>
        <v>-104.61000000000001</v>
      </c>
      <c r="X29" s="83">
        <f t="shared" si="24"/>
        <v>-104.61000000000001</v>
      </c>
      <c r="Y29" s="83">
        <f t="shared" si="24"/>
        <v>-104.61000000000001</v>
      </c>
      <c r="Z29" s="83">
        <f t="shared" si="24"/>
        <v>-104.61000000000001</v>
      </c>
      <c r="AA29" s="84">
        <f t="shared" si="24"/>
        <v>-104.61000000000001</v>
      </c>
      <c r="AB29" s="100">
        <f t="shared" si="24"/>
        <v>-104.61000000000001</v>
      </c>
    </row>
    <row r="30" spans="1:28" x14ac:dyDescent="0.3">
      <c r="A30" s="27"/>
      <c r="B30" s="99"/>
      <c r="C30" s="130"/>
      <c r="D30" s="83"/>
      <c r="E30" s="83"/>
      <c r="F30" s="83"/>
      <c r="G30" s="83"/>
      <c r="H30" s="83"/>
      <c r="I30" s="83"/>
      <c r="J30" s="83"/>
      <c r="K30" s="83"/>
      <c r="L30" s="84"/>
      <c r="M30" s="83"/>
      <c r="N30" s="83"/>
      <c r="O30" s="83"/>
      <c r="P30" s="83"/>
      <c r="Q30" s="84"/>
      <c r="R30" s="83"/>
      <c r="S30" s="83"/>
      <c r="T30" s="83"/>
      <c r="U30" s="83"/>
      <c r="V30" s="83"/>
      <c r="W30" s="83"/>
      <c r="X30" s="83"/>
      <c r="Y30" s="83"/>
      <c r="Z30" s="83"/>
      <c r="AA30" s="84"/>
      <c r="AB30" s="100"/>
    </row>
    <row r="31" spans="1:28" x14ac:dyDescent="0.3">
      <c r="A31" s="27"/>
      <c r="B31" s="108" t="s">
        <v>587</v>
      </c>
      <c r="C31" s="134">
        <f>SUM(C28:C29)</f>
        <v>27.5</v>
      </c>
      <c r="D31" s="79">
        <f t="shared" ref="D31:AB31" si="28">SUM(D28:D29)</f>
        <v>-21.299999999999997</v>
      </c>
      <c r="E31" s="79">
        <f t="shared" si="28"/>
        <v>-89.300000000000011</v>
      </c>
      <c r="F31" s="79">
        <f t="shared" si="28"/>
        <v>-21.099999999999994</v>
      </c>
      <c r="G31" s="79">
        <f t="shared" si="28"/>
        <v>234.5</v>
      </c>
      <c r="H31" s="79">
        <f t="shared" si="28"/>
        <v>397.3</v>
      </c>
      <c r="I31" s="79">
        <f t="shared" si="28"/>
        <v>379.70000000000005</v>
      </c>
      <c r="J31" s="79">
        <f t="shared" si="28"/>
        <v>385.9</v>
      </c>
      <c r="K31" s="79">
        <f t="shared" si="28"/>
        <v>468.90000000000003</v>
      </c>
      <c r="L31" s="89">
        <f t="shared" si="28"/>
        <v>439.2</v>
      </c>
      <c r="M31" s="79">
        <f t="shared" si="28"/>
        <v>220.12999999999994</v>
      </c>
      <c r="N31" s="79">
        <f t="shared" si="28"/>
        <v>220.12999999999994</v>
      </c>
      <c r="O31" s="79">
        <f t="shared" si="28"/>
        <v>220.12999999999994</v>
      </c>
      <c r="P31" s="79">
        <f t="shared" si="28"/>
        <v>220.12999999999994</v>
      </c>
      <c r="Q31" s="89">
        <f t="shared" si="28"/>
        <v>220.12999999999994</v>
      </c>
      <c r="R31" s="79">
        <f t="shared" si="28"/>
        <v>220.12999999999994</v>
      </c>
      <c r="S31" s="79">
        <f t="shared" si="28"/>
        <v>220.12999999999994</v>
      </c>
      <c r="T31" s="79">
        <f t="shared" si="28"/>
        <v>220.12999999999994</v>
      </c>
      <c r="U31" s="79">
        <f t="shared" si="28"/>
        <v>220.12999999999994</v>
      </c>
      <c r="V31" s="79">
        <f t="shared" si="28"/>
        <v>220.12999999999994</v>
      </c>
      <c r="W31" s="79">
        <f t="shared" si="28"/>
        <v>220.12999999999994</v>
      </c>
      <c r="X31" s="79">
        <f t="shared" si="28"/>
        <v>220.12999999999994</v>
      </c>
      <c r="Y31" s="79">
        <f t="shared" si="28"/>
        <v>220.12999999999994</v>
      </c>
      <c r="Z31" s="79">
        <f t="shared" si="28"/>
        <v>220.12999999999994</v>
      </c>
      <c r="AA31" s="89">
        <f t="shared" si="28"/>
        <v>220.12999999999994</v>
      </c>
      <c r="AB31" s="109">
        <f t="shared" si="28"/>
        <v>220.12999999999994</v>
      </c>
    </row>
    <row r="32" spans="1:28" x14ac:dyDescent="0.3">
      <c r="A32" s="27"/>
      <c r="B32" s="110"/>
      <c r="C32" s="135"/>
      <c r="D32" s="90"/>
      <c r="E32" s="90"/>
      <c r="F32" s="90"/>
      <c r="G32" s="90"/>
      <c r="H32" s="90"/>
      <c r="I32" s="90"/>
      <c r="J32" s="90"/>
      <c r="K32" s="90"/>
      <c r="L32" s="92"/>
      <c r="M32" s="90"/>
      <c r="Q32" s="88"/>
      <c r="AA32" s="88"/>
      <c r="AB32" s="107"/>
    </row>
    <row r="33" spans="1:28" ht="15" thickBot="1" x14ac:dyDescent="0.35">
      <c r="A33" s="27"/>
      <c r="B33" s="102" t="s">
        <v>588</v>
      </c>
      <c r="C33" s="131">
        <f>C24-C31</f>
        <v>3628.1000000000004</v>
      </c>
      <c r="D33" s="78">
        <f t="shared" ref="D33:L33" si="29">D24-D31</f>
        <v>4193.2000000000025</v>
      </c>
      <c r="E33" s="78">
        <f t="shared" si="29"/>
        <v>4440.4999999999982</v>
      </c>
      <c r="F33" s="78">
        <f t="shared" si="29"/>
        <v>4516.0999999999985</v>
      </c>
      <c r="G33" s="78">
        <f t="shared" si="29"/>
        <v>4335.9999999999982</v>
      </c>
      <c r="H33" s="78">
        <f t="shared" si="29"/>
        <v>1735.8999999999985</v>
      </c>
      <c r="I33" s="78">
        <f t="shared" si="29"/>
        <v>4838.199999999998</v>
      </c>
      <c r="J33" s="78">
        <f t="shared" si="29"/>
        <v>4469.0999999999995</v>
      </c>
      <c r="K33" s="78">
        <f t="shared" si="29"/>
        <v>5332.4999999999973</v>
      </c>
      <c r="L33" s="85">
        <f t="shared" si="29"/>
        <v>5091.0999999999995</v>
      </c>
      <c r="M33" s="78">
        <f t="shared" ref="M33:AB33" si="30">M24-M28</f>
        <v>6671.7750917868025</v>
      </c>
      <c r="N33" s="78">
        <f t="shared" si="30"/>
        <v>6801.875779270139</v>
      </c>
      <c r="O33" s="78">
        <f t="shared" si="30"/>
        <v>7775.061031768988</v>
      </c>
      <c r="P33" s="78">
        <f t="shared" si="30"/>
        <v>8303.8254632348562</v>
      </c>
      <c r="Q33" s="85">
        <f t="shared" si="30"/>
        <v>9233.8819938470751</v>
      </c>
      <c r="R33" s="78">
        <f t="shared" si="30"/>
        <v>10027.047599750169</v>
      </c>
      <c r="S33" s="78">
        <f t="shared" si="30"/>
        <v>11044.58871702848</v>
      </c>
      <c r="T33" s="78">
        <f t="shared" si="30"/>
        <v>12065.013455712582</v>
      </c>
      <c r="U33" s="78">
        <f t="shared" si="30"/>
        <v>13246.408755956849</v>
      </c>
      <c r="V33" s="78">
        <f t="shared" si="30"/>
        <v>14501.830589288298</v>
      </c>
      <c r="W33" s="78">
        <f t="shared" si="30"/>
        <v>15904.926144067589</v>
      </c>
      <c r="X33" s="78">
        <f t="shared" si="30"/>
        <v>17426.759990232993</v>
      </c>
      <c r="Y33" s="78">
        <f t="shared" si="30"/>
        <v>19106.826454040791</v>
      </c>
      <c r="Z33" s="78">
        <f t="shared" si="30"/>
        <v>20942.211908134603</v>
      </c>
      <c r="AA33" s="85">
        <f t="shared" si="30"/>
        <v>22959.747557511917</v>
      </c>
      <c r="AB33" s="103">
        <f t="shared" si="30"/>
        <v>25169.387752930146</v>
      </c>
    </row>
    <row r="34" spans="1:28" x14ac:dyDescent="0.3">
      <c r="A34" s="27"/>
      <c r="B34" s="106"/>
      <c r="C34" s="133"/>
      <c r="L34" s="88"/>
      <c r="Q34" s="88"/>
      <c r="AA34" s="88"/>
      <c r="AB34" s="107"/>
    </row>
    <row r="35" spans="1:28" x14ac:dyDescent="0.3">
      <c r="A35" s="27"/>
      <c r="B35" s="99" t="s">
        <v>589</v>
      </c>
      <c r="C35" s="130">
        <f>'1. Raw Data - Bloomberg'!D27</f>
        <v>-274.89999999999998</v>
      </c>
      <c r="D35" s="83">
        <f>'1. Raw Data - Bloomberg'!E27</f>
        <v>-5.4</v>
      </c>
      <c r="E35" s="83">
        <f>'1. Raw Data - Bloomberg'!F27</f>
        <v>123</v>
      </c>
      <c r="F35" s="83">
        <f>'1. Raw Data - Bloomberg'!G27</f>
        <v>-1263.9000000000001</v>
      </c>
      <c r="G35" s="83">
        <f>'1. Raw Data - Bloomberg'!H27</f>
        <v>-130.19999999999999</v>
      </c>
      <c r="H35" s="83">
        <f>'1. Raw Data - Bloomberg'!I27</f>
        <v>571.5</v>
      </c>
      <c r="I35" s="83">
        <f>'1. Raw Data - Bloomberg'!J27</f>
        <v>-518.70000000000005</v>
      </c>
      <c r="J35" s="83">
        <f>'1. Raw Data - Bloomberg'!K27</f>
        <v>237.2</v>
      </c>
      <c r="K35" s="83">
        <f>'1. Raw Data - Bloomberg'!L27</f>
        <v>-69.400000000000006</v>
      </c>
      <c r="L35" s="84">
        <f>'1. Raw Data - Bloomberg'!M27</f>
        <v>121.5</v>
      </c>
      <c r="M35" s="83">
        <f>AVERAGE($C35:$L35)</f>
        <v>-120.93000000000002</v>
      </c>
      <c r="N35" s="83">
        <f t="shared" ref="N35:AB35" si="31">AVERAGE($C35:$L35)</f>
        <v>-120.93000000000002</v>
      </c>
      <c r="O35" s="83">
        <f t="shared" si="31"/>
        <v>-120.93000000000002</v>
      </c>
      <c r="P35" s="83">
        <f t="shared" si="31"/>
        <v>-120.93000000000002</v>
      </c>
      <c r="Q35" s="84">
        <f t="shared" si="31"/>
        <v>-120.93000000000002</v>
      </c>
      <c r="R35" s="83">
        <f t="shared" si="31"/>
        <v>-120.93000000000002</v>
      </c>
      <c r="S35" s="83">
        <f t="shared" si="31"/>
        <v>-120.93000000000002</v>
      </c>
      <c r="T35" s="83">
        <f t="shared" si="31"/>
        <v>-120.93000000000002</v>
      </c>
      <c r="U35" s="83">
        <f t="shared" si="31"/>
        <v>-120.93000000000002</v>
      </c>
      <c r="V35" s="83">
        <f t="shared" si="31"/>
        <v>-120.93000000000002</v>
      </c>
      <c r="W35" s="83">
        <f t="shared" si="31"/>
        <v>-120.93000000000002</v>
      </c>
      <c r="X35" s="83">
        <f t="shared" si="31"/>
        <v>-120.93000000000002</v>
      </c>
      <c r="Y35" s="83">
        <f t="shared" si="31"/>
        <v>-120.93000000000002</v>
      </c>
      <c r="Z35" s="83">
        <f t="shared" si="31"/>
        <v>-120.93000000000002</v>
      </c>
      <c r="AA35" s="84">
        <f t="shared" si="31"/>
        <v>-120.93000000000002</v>
      </c>
      <c r="AB35" s="100">
        <f t="shared" si="31"/>
        <v>-120.93000000000002</v>
      </c>
    </row>
    <row r="36" spans="1:28" x14ac:dyDescent="0.3">
      <c r="A36" s="27"/>
      <c r="B36" s="99"/>
      <c r="C36" s="130"/>
      <c r="D36" s="83"/>
      <c r="E36" s="83"/>
      <c r="F36" s="83"/>
      <c r="G36" s="83"/>
      <c r="H36" s="83"/>
      <c r="I36" s="83"/>
      <c r="J36" s="83"/>
      <c r="K36" s="83"/>
      <c r="L36" s="84"/>
      <c r="M36" s="83"/>
      <c r="Q36" s="88"/>
      <c r="AA36" s="88"/>
      <c r="AB36" s="107"/>
    </row>
    <row r="37" spans="1:28" ht="15" thickBot="1" x14ac:dyDescent="0.35">
      <c r="A37" s="27"/>
      <c r="B37" s="102" t="s">
        <v>590</v>
      </c>
      <c r="C37" s="131">
        <f t="shared" ref="C37:L37" si="32">C33-C35</f>
        <v>3903.0000000000005</v>
      </c>
      <c r="D37" s="78">
        <f t="shared" si="32"/>
        <v>4198.6000000000022</v>
      </c>
      <c r="E37" s="78">
        <f t="shared" si="32"/>
        <v>4317.4999999999982</v>
      </c>
      <c r="F37" s="78">
        <f t="shared" si="32"/>
        <v>5779.9999999999982</v>
      </c>
      <c r="G37" s="78">
        <f t="shared" si="32"/>
        <v>4466.199999999998</v>
      </c>
      <c r="H37" s="78">
        <f t="shared" si="32"/>
        <v>1164.3999999999985</v>
      </c>
      <c r="I37" s="78">
        <f t="shared" si="32"/>
        <v>5356.8999999999978</v>
      </c>
      <c r="J37" s="78">
        <f t="shared" si="32"/>
        <v>4231.8999999999996</v>
      </c>
      <c r="K37" s="78">
        <f t="shared" si="32"/>
        <v>5401.8999999999969</v>
      </c>
      <c r="L37" s="85">
        <f t="shared" si="32"/>
        <v>4969.5999999999995</v>
      </c>
      <c r="M37" s="78">
        <f t="shared" ref="M37:Q37" si="33">M33-M35</f>
        <v>6792.7050917868028</v>
      </c>
      <c r="N37" s="78">
        <f t="shared" si="33"/>
        <v>6922.8057792701393</v>
      </c>
      <c r="O37" s="78">
        <f t="shared" si="33"/>
        <v>7895.9910317689883</v>
      </c>
      <c r="P37" s="78">
        <f t="shared" si="33"/>
        <v>8424.7554632348565</v>
      </c>
      <c r="Q37" s="85">
        <f t="shared" si="33"/>
        <v>9354.8119938470754</v>
      </c>
      <c r="R37" s="78">
        <f t="shared" ref="R37:AA37" si="34">R33-R35</f>
        <v>10147.977599750169</v>
      </c>
      <c r="S37" s="78">
        <f t="shared" si="34"/>
        <v>11165.518717028481</v>
      </c>
      <c r="T37" s="78">
        <f t="shared" si="34"/>
        <v>12185.943455712582</v>
      </c>
      <c r="U37" s="78">
        <f t="shared" si="34"/>
        <v>13367.338755956849</v>
      </c>
      <c r="V37" s="78">
        <f t="shared" si="34"/>
        <v>14622.760589288298</v>
      </c>
      <c r="W37" s="78">
        <f t="shared" si="34"/>
        <v>16025.856144067589</v>
      </c>
      <c r="X37" s="78">
        <f t="shared" si="34"/>
        <v>17547.689990232993</v>
      </c>
      <c r="Y37" s="78">
        <f t="shared" si="34"/>
        <v>19227.756454040791</v>
      </c>
      <c r="Z37" s="78">
        <f t="shared" si="34"/>
        <v>21063.141908134603</v>
      </c>
      <c r="AA37" s="85">
        <f t="shared" si="34"/>
        <v>23080.677557511917</v>
      </c>
      <c r="AB37" s="103">
        <f t="shared" ref="AB37" si="35">AB33-AB35</f>
        <v>25290.317752930147</v>
      </c>
    </row>
    <row r="38" spans="1:28" x14ac:dyDescent="0.3">
      <c r="A38" s="27"/>
      <c r="B38" s="111"/>
      <c r="C38" s="136"/>
      <c r="D38" s="91"/>
      <c r="E38" s="91"/>
      <c r="F38" s="91"/>
      <c r="G38" s="91"/>
      <c r="H38" s="91"/>
      <c r="I38" s="91"/>
      <c r="J38" s="91"/>
      <c r="K38" s="91"/>
      <c r="L38" s="137"/>
      <c r="M38" s="83"/>
      <c r="Q38" s="88"/>
      <c r="AA38" s="88"/>
      <c r="AB38" s="107"/>
    </row>
    <row r="39" spans="1:28" x14ac:dyDescent="0.3">
      <c r="A39" s="33"/>
      <c r="B39" s="99" t="s">
        <v>591</v>
      </c>
      <c r="C39" s="130">
        <f>'1. Raw Data - Bloomberg'!D38</f>
        <v>1143.7</v>
      </c>
      <c r="D39" s="83">
        <f>'1. Raw Data - Bloomberg'!E38</f>
        <v>1379.7</v>
      </c>
      <c r="E39" s="83">
        <f>'1. Raw Data - Bloomberg'!F38</f>
        <v>1432.6</v>
      </c>
      <c r="F39" s="83">
        <f>'1. Raw Data - Bloomberg'!G38</f>
        <v>1262</v>
      </c>
      <c r="G39" s="83">
        <f>'1. Raw Data - Bloomberg'!H38</f>
        <v>871.6</v>
      </c>
      <c r="H39" s="83">
        <f>'1. Raw Data - Bloomberg'!I38</f>
        <v>239.7</v>
      </c>
      <c r="I39" s="83">
        <f>'1. Raw Data - Bloomberg'!J38</f>
        <v>1156.5999999999999</v>
      </c>
      <c r="J39" s="83">
        <f>'1. Raw Data - Bloomberg'!K38</f>
        <v>948.5</v>
      </c>
      <c r="K39" s="83">
        <f>'1. Raw Data - Bloomberg'!L38</f>
        <v>1277.2</v>
      </c>
      <c r="L39" s="84">
        <f>'1. Raw Data - Bloomberg'!M38</f>
        <v>1207.3</v>
      </c>
      <c r="M39" s="83">
        <f>M37*'3. Historical &amp; Forecast Ratio '!M22</f>
        <v>1493.1945162702768</v>
      </c>
      <c r="N39" s="83">
        <f>N37*'3. Historical &amp; Forecast Ratio '!N22</f>
        <v>1521.7936723484645</v>
      </c>
      <c r="O39" s="83">
        <f>O37*'3. Historical &amp; Forecast Ratio '!O22</f>
        <v>1735.7224183650442</v>
      </c>
      <c r="P39" s="83">
        <f>P37*'3. Historical &amp; Forecast Ratio '!P22</f>
        <v>1851.9571346959892</v>
      </c>
      <c r="Q39" s="84">
        <f>Q37*'3. Historical &amp; Forecast Ratio '!Q22</f>
        <v>2056.40518485655</v>
      </c>
      <c r="R39" s="83">
        <f>R37*'3. Historical &amp; Forecast Ratio '!R22</f>
        <v>2230.7614269169794</v>
      </c>
      <c r="S39" s="83">
        <f>S37*'3. Historical &amp; Forecast Ratio '!S22</f>
        <v>2454.4406233297054</v>
      </c>
      <c r="T39" s="83">
        <f>T37*'3. Historical &amp; Forecast Ratio '!T22</f>
        <v>2678.753706774467</v>
      </c>
      <c r="U39" s="83">
        <f>U37*'3. Historical &amp; Forecast Ratio '!U22</f>
        <v>2938.4518623745344</v>
      </c>
      <c r="V39" s="83">
        <f>V37*'3. Historical &amp; Forecast Ratio '!V22</f>
        <v>3214.4227711370977</v>
      </c>
      <c r="W39" s="83">
        <f>W37*'3. Historical &amp; Forecast Ratio '!W22</f>
        <v>3522.8557974336259</v>
      </c>
      <c r="X39" s="83">
        <f>X37*'3. Historical &amp; Forecast Ratio '!X22</f>
        <v>3857.3902609592519</v>
      </c>
      <c r="Y39" s="83">
        <f>Y37*'3. Historical &amp; Forecast Ratio '!Y22</f>
        <v>4226.7079329071594</v>
      </c>
      <c r="Z39" s="83">
        <f>Z37*'3. Historical &amp; Forecast Ratio '!Z22</f>
        <v>4630.168330239705</v>
      </c>
      <c r="AA39" s="84">
        <f>AA37*'3. Historical &amp; Forecast Ratio '!AA22</f>
        <v>5073.6695756673271</v>
      </c>
      <c r="AB39" s="100">
        <f>AB37*'3. Historical &amp; Forecast Ratio '!AB22</f>
        <v>5559.3998669349821</v>
      </c>
    </row>
    <row r="40" spans="1:28" x14ac:dyDescent="0.3">
      <c r="A40" s="27"/>
      <c r="B40" s="110"/>
      <c r="C40" s="135"/>
      <c r="D40" s="90"/>
      <c r="E40" s="90"/>
      <c r="F40" s="90"/>
      <c r="G40" s="90"/>
      <c r="H40" s="90"/>
      <c r="I40" s="90"/>
      <c r="J40" s="90"/>
      <c r="K40" s="90"/>
      <c r="L40" s="92"/>
      <c r="M40" s="90"/>
      <c r="N40" s="90"/>
      <c r="O40" s="90"/>
      <c r="P40" s="90"/>
      <c r="Q40" s="92"/>
      <c r="R40" s="90"/>
      <c r="S40" s="90"/>
      <c r="T40" s="90"/>
      <c r="U40" s="90"/>
      <c r="V40" s="90"/>
      <c r="W40" s="90"/>
      <c r="X40" s="90"/>
      <c r="Y40" s="90"/>
      <c r="Z40" s="90"/>
      <c r="AA40" s="92"/>
      <c r="AB40" s="112"/>
    </row>
    <row r="41" spans="1:28" ht="15" thickBot="1" x14ac:dyDescent="0.35">
      <c r="A41" s="27"/>
      <c r="B41" s="102" t="s">
        <v>592</v>
      </c>
      <c r="C41" s="131">
        <f t="shared" ref="C41:L41" si="36">C37-C39</f>
        <v>2759.3</v>
      </c>
      <c r="D41" s="78">
        <f t="shared" si="36"/>
        <v>2818.9000000000024</v>
      </c>
      <c r="E41" s="78">
        <f t="shared" si="36"/>
        <v>2884.8999999999983</v>
      </c>
      <c r="F41" s="78">
        <f t="shared" si="36"/>
        <v>4517.9999999999982</v>
      </c>
      <c r="G41" s="78">
        <f t="shared" si="36"/>
        <v>3594.5999999999981</v>
      </c>
      <c r="H41" s="78">
        <f t="shared" si="36"/>
        <v>924.69999999999845</v>
      </c>
      <c r="I41" s="78">
        <f t="shared" si="36"/>
        <v>4200.2999999999975</v>
      </c>
      <c r="J41" s="78">
        <f t="shared" si="36"/>
        <v>3283.3999999999996</v>
      </c>
      <c r="K41" s="78">
        <f t="shared" si="36"/>
        <v>4124.6999999999971</v>
      </c>
      <c r="L41" s="85">
        <f t="shared" si="36"/>
        <v>3762.2999999999993</v>
      </c>
      <c r="M41" s="78">
        <f t="shared" ref="M41:Q41" si="37">M37-M39</f>
        <v>5299.5105755165259</v>
      </c>
      <c r="N41" s="78">
        <f t="shared" si="37"/>
        <v>5401.0121069216748</v>
      </c>
      <c r="O41" s="78">
        <f t="shared" si="37"/>
        <v>6160.2686134039441</v>
      </c>
      <c r="P41" s="78">
        <f t="shared" si="37"/>
        <v>6572.7983285388673</v>
      </c>
      <c r="Q41" s="85">
        <f t="shared" si="37"/>
        <v>7298.406808990525</v>
      </c>
      <c r="R41" s="78">
        <f t="shared" ref="R41:AA41" si="38">R37-R39</f>
        <v>7917.2161728331903</v>
      </c>
      <c r="S41" s="78">
        <f t="shared" si="38"/>
        <v>8711.0780936987758</v>
      </c>
      <c r="T41" s="78">
        <f t="shared" si="38"/>
        <v>9507.1897489381154</v>
      </c>
      <c r="U41" s="78">
        <f t="shared" si="38"/>
        <v>10428.886893582316</v>
      </c>
      <c r="V41" s="78">
        <f t="shared" si="38"/>
        <v>11408.337818151202</v>
      </c>
      <c r="W41" s="78">
        <f t="shared" si="38"/>
        <v>12503.000346633964</v>
      </c>
      <c r="X41" s="78">
        <f t="shared" si="38"/>
        <v>13690.299729273742</v>
      </c>
      <c r="Y41" s="78">
        <f t="shared" si="38"/>
        <v>15001.048521133631</v>
      </c>
      <c r="Z41" s="78">
        <f t="shared" si="38"/>
        <v>16432.973577894896</v>
      </c>
      <c r="AA41" s="85">
        <f t="shared" si="38"/>
        <v>18007.007981844588</v>
      </c>
      <c r="AB41" s="103">
        <f t="shared" ref="AB41" si="39">AB37-AB39</f>
        <v>19730.917885995164</v>
      </c>
    </row>
    <row r="42" spans="1:28" x14ac:dyDescent="0.3">
      <c r="A42" s="27"/>
      <c r="B42" s="110"/>
      <c r="C42" s="135"/>
      <c r="D42" s="90"/>
      <c r="E42" s="90"/>
      <c r="F42" s="90"/>
      <c r="G42" s="90"/>
      <c r="H42" s="90"/>
      <c r="I42" s="90"/>
      <c r="J42" s="90"/>
      <c r="K42" s="90"/>
      <c r="L42" s="92"/>
      <c r="M42" s="90"/>
      <c r="Q42" s="88"/>
      <c r="AA42" s="88"/>
      <c r="AB42" s="107"/>
    </row>
    <row r="43" spans="1:28" x14ac:dyDescent="0.3">
      <c r="A43" s="33"/>
      <c r="B43" s="99" t="s">
        <v>593</v>
      </c>
      <c r="C43" s="130">
        <f>'1. Raw Data - Bloomberg'!D46</f>
        <v>1.9</v>
      </c>
      <c r="D43" s="83">
        <f>'1. Raw Data - Bloomberg'!E46</f>
        <v>1.2</v>
      </c>
      <c r="E43" s="83">
        <f>'1. Raw Data - Bloomberg'!F46</f>
        <v>0.2</v>
      </c>
      <c r="F43" s="83">
        <f>'1. Raw Data - Bloomberg'!G46</f>
        <v>-0.3</v>
      </c>
      <c r="G43" s="83">
        <f>'1. Raw Data - Bloomberg'!H46</f>
        <v>-4.5999999999999996</v>
      </c>
      <c r="H43" s="83">
        <f>'1. Raw Data - Bloomberg'!I46</f>
        <v>-3.6</v>
      </c>
      <c r="I43" s="83">
        <f>'1. Raw Data - Bloomberg'!J46</f>
        <v>1</v>
      </c>
      <c r="J43" s="83">
        <f>'1. Raw Data - Bloomberg'!K46</f>
        <v>1.8</v>
      </c>
      <c r="K43" s="83">
        <f>'1. Raw Data - Bloomberg'!L46</f>
        <v>0.2</v>
      </c>
      <c r="L43" s="84">
        <f>'1. Raw Data - Bloomberg'!M46</f>
        <v>1.4</v>
      </c>
      <c r="M43" s="83">
        <f>AVERAGE($C43:$L43)</f>
        <v>-7.9999999999999932E-2</v>
      </c>
      <c r="N43" s="83">
        <f t="shared" ref="N43:AB43" si="40">AVERAGE($C43:$L43)</f>
        <v>-7.9999999999999932E-2</v>
      </c>
      <c r="O43" s="83">
        <f t="shared" si="40"/>
        <v>-7.9999999999999932E-2</v>
      </c>
      <c r="P43" s="83">
        <f t="shared" si="40"/>
        <v>-7.9999999999999932E-2</v>
      </c>
      <c r="Q43" s="84">
        <f t="shared" si="40"/>
        <v>-7.9999999999999932E-2</v>
      </c>
      <c r="R43" s="83">
        <f t="shared" si="40"/>
        <v>-7.9999999999999932E-2</v>
      </c>
      <c r="S43" s="83">
        <f t="shared" si="40"/>
        <v>-7.9999999999999932E-2</v>
      </c>
      <c r="T43" s="83">
        <f t="shared" si="40"/>
        <v>-7.9999999999999932E-2</v>
      </c>
      <c r="U43" s="83">
        <f t="shared" si="40"/>
        <v>-7.9999999999999932E-2</v>
      </c>
      <c r="V43" s="83">
        <f t="shared" si="40"/>
        <v>-7.9999999999999932E-2</v>
      </c>
      <c r="W43" s="83">
        <f t="shared" si="40"/>
        <v>-7.9999999999999932E-2</v>
      </c>
      <c r="X43" s="83">
        <f t="shared" si="40"/>
        <v>-7.9999999999999932E-2</v>
      </c>
      <c r="Y43" s="83">
        <f t="shared" si="40"/>
        <v>-7.9999999999999932E-2</v>
      </c>
      <c r="Z43" s="83">
        <f t="shared" si="40"/>
        <v>-7.9999999999999932E-2</v>
      </c>
      <c r="AA43" s="84">
        <f t="shared" si="40"/>
        <v>-7.9999999999999932E-2</v>
      </c>
      <c r="AB43" s="100">
        <f t="shared" si="40"/>
        <v>-7.9999999999999932E-2</v>
      </c>
    </row>
    <row r="44" spans="1:28" x14ac:dyDescent="0.3">
      <c r="A44" s="33"/>
      <c r="B44" s="99"/>
      <c r="C44" s="130"/>
      <c r="D44" s="83"/>
      <c r="E44" s="83"/>
      <c r="F44" s="83"/>
      <c r="G44" s="83"/>
      <c r="H44" s="83"/>
      <c r="I44" s="83"/>
      <c r="J44" s="83"/>
      <c r="K44" s="83"/>
      <c r="L44" s="84"/>
      <c r="M44" s="83"/>
      <c r="N44" s="83"/>
      <c r="O44" s="83"/>
      <c r="P44" s="83"/>
      <c r="Q44" s="84"/>
      <c r="R44" s="83"/>
      <c r="S44" s="83"/>
      <c r="T44" s="83"/>
      <c r="U44" s="83"/>
      <c r="V44" s="83"/>
      <c r="W44" s="83"/>
      <c r="X44" s="83"/>
      <c r="Y44" s="83"/>
      <c r="Z44" s="83"/>
      <c r="AA44" s="84"/>
      <c r="AB44" s="100"/>
    </row>
    <row r="45" spans="1:28" ht="15" thickBot="1" x14ac:dyDescent="0.35">
      <c r="A45" s="27"/>
      <c r="B45" s="113" t="s">
        <v>72</v>
      </c>
      <c r="C45" s="138">
        <f>C41-C43</f>
        <v>2757.4</v>
      </c>
      <c r="D45" s="80">
        <f t="shared" ref="D45:AB45" si="41">D41-D43</f>
        <v>2817.7000000000025</v>
      </c>
      <c r="E45" s="80">
        <f t="shared" si="41"/>
        <v>2884.6999999999985</v>
      </c>
      <c r="F45" s="80">
        <f t="shared" si="41"/>
        <v>4518.2999999999984</v>
      </c>
      <c r="G45" s="80">
        <f t="shared" si="41"/>
        <v>3599.199999999998</v>
      </c>
      <c r="H45" s="80">
        <f t="shared" si="41"/>
        <v>928.29999999999848</v>
      </c>
      <c r="I45" s="80">
        <f t="shared" si="41"/>
        <v>4199.2999999999975</v>
      </c>
      <c r="J45" s="80">
        <f t="shared" si="41"/>
        <v>3281.5999999999995</v>
      </c>
      <c r="K45" s="80">
        <f t="shared" si="41"/>
        <v>4124.4999999999973</v>
      </c>
      <c r="L45" s="93">
        <f t="shared" si="41"/>
        <v>3760.8999999999992</v>
      </c>
      <c r="M45" s="80">
        <f t="shared" si="41"/>
        <v>5299.5905755165259</v>
      </c>
      <c r="N45" s="80">
        <f t="shared" si="41"/>
        <v>5401.0921069216747</v>
      </c>
      <c r="O45" s="80">
        <f t="shared" si="41"/>
        <v>6160.348613403944</v>
      </c>
      <c r="P45" s="80">
        <f t="shared" si="41"/>
        <v>6572.8783285388672</v>
      </c>
      <c r="Q45" s="93">
        <f t="shared" si="41"/>
        <v>7298.4868089905249</v>
      </c>
      <c r="R45" s="80">
        <f t="shared" si="41"/>
        <v>7917.2961728331902</v>
      </c>
      <c r="S45" s="80">
        <f t="shared" si="41"/>
        <v>8711.1580936987757</v>
      </c>
      <c r="T45" s="80">
        <f t="shared" si="41"/>
        <v>9507.2697489381153</v>
      </c>
      <c r="U45" s="80">
        <f t="shared" si="41"/>
        <v>10428.966893582316</v>
      </c>
      <c r="V45" s="80">
        <f t="shared" si="41"/>
        <v>11408.417818151202</v>
      </c>
      <c r="W45" s="80">
        <f t="shared" si="41"/>
        <v>12503.080346633964</v>
      </c>
      <c r="X45" s="80">
        <f t="shared" si="41"/>
        <v>13690.379729273742</v>
      </c>
      <c r="Y45" s="80">
        <f t="shared" si="41"/>
        <v>15001.128521133631</v>
      </c>
      <c r="Z45" s="80">
        <f t="shared" si="41"/>
        <v>16433.053577894898</v>
      </c>
      <c r="AA45" s="93">
        <f t="shared" si="41"/>
        <v>18007.08798184459</v>
      </c>
      <c r="AB45" s="114">
        <f t="shared" si="41"/>
        <v>19730.997885995166</v>
      </c>
    </row>
    <row r="46" spans="1:28" ht="15" thickTop="1" x14ac:dyDescent="0.3">
      <c r="A46" s="27"/>
      <c r="B46" s="110"/>
      <c r="C46" s="135"/>
      <c r="D46" s="90"/>
      <c r="E46" s="90"/>
      <c r="F46" s="90"/>
      <c r="G46" s="90"/>
      <c r="H46" s="90"/>
      <c r="I46" s="90"/>
      <c r="J46" s="90"/>
      <c r="K46" s="90"/>
      <c r="L46" s="92"/>
      <c r="M46" s="90"/>
      <c r="Q46" s="88"/>
      <c r="AA46" s="88"/>
      <c r="AB46" s="107"/>
    </row>
    <row r="47" spans="1:28" x14ac:dyDescent="0.3">
      <c r="A47" s="27"/>
      <c r="B47" s="99" t="s">
        <v>594</v>
      </c>
      <c r="C47" s="130">
        <f>C28*'3. Historical &amp; Forecast Ratio '!C22</f>
        <v>20.658685626441198</v>
      </c>
      <c r="D47" s="83">
        <f>D28*'3. Historical &amp; Forecast Ratio '!D22</f>
        <v>26.715955318439466</v>
      </c>
      <c r="E47" s="83">
        <f>E28*'3. Historical &amp; Forecast Ratio '!E22</f>
        <v>30.692646207295901</v>
      </c>
      <c r="F47" s="83">
        <f>F28*'3. Historical &amp; Forecast Ratio '!F22</f>
        <v>37.183148788927348</v>
      </c>
      <c r="G47" s="83">
        <f>G28*'3. Historical &amp; Forecast Ratio '!G22</f>
        <v>64.596211544489748</v>
      </c>
      <c r="H47" s="83">
        <f>H28*'3. Historical &amp; Forecast Ratio '!H22</f>
        <v>89.959549982823887</v>
      </c>
      <c r="I47" s="83">
        <f>I28*'3. Historical &amp; Forecast Ratio '!I22</f>
        <v>101.43379193190094</v>
      </c>
      <c r="J47" s="83">
        <f>J28*'3. Historical &amp; Forecast Ratio '!J22</f>
        <v>108.23286230771048</v>
      </c>
      <c r="K47" s="83">
        <f>K28*'3. Historical &amp; Forecast Ratio '!K22</f>
        <v>130.06307410355623</v>
      </c>
      <c r="L47" s="84">
        <f>L28*'3. Historical &amp; Forecast Ratio '!L22</f>
        <v>136.53062620734065</v>
      </c>
      <c r="M47" s="83">
        <f>M28*'3. Historical &amp; Forecast Ratio '!M22</f>
        <v>71.385402525410981</v>
      </c>
      <c r="N47" s="83">
        <f>N28*'3. Historical &amp; Forecast Ratio '!N22</f>
        <v>71.385402525410981</v>
      </c>
      <c r="O47" s="83">
        <f>O28*'3. Historical &amp; Forecast Ratio '!O22</f>
        <v>71.385402525410981</v>
      </c>
      <c r="P47" s="83">
        <f>P28*'3. Historical &amp; Forecast Ratio '!P22</f>
        <v>71.385402525410981</v>
      </c>
      <c r="Q47" s="84">
        <f>Q28*'3. Historical &amp; Forecast Ratio '!Q22</f>
        <v>71.385402525410981</v>
      </c>
      <c r="R47" s="83">
        <f>R28*'3. Historical &amp; Forecast Ratio '!R22</f>
        <v>71.385402525410981</v>
      </c>
      <c r="S47" s="83">
        <f>S28*'3. Historical &amp; Forecast Ratio '!S22</f>
        <v>71.385402525410981</v>
      </c>
      <c r="T47" s="83">
        <f>T28*'3. Historical &amp; Forecast Ratio '!T22</f>
        <v>71.385402525410981</v>
      </c>
      <c r="U47" s="83">
        <f>U28*'3. Historical &amp; Forecast Ratio '!U22</f>
        <v>71.385402525410981</v>
      </c>
      <c r="V47" s="83">
        <f>V28*'3. Historical &amp; Forecast Ratio '!V22</f>
        <v>71.385402525410981</v>
      </c>
      <c r="W47" s="83">
        <f>W28*'3. Historical &amp; Forecast Ratio '!W22</f>
        <v>71.385402525410981</v>
      </c>
      <c r="X47" s="83">
        <f>X28*'3. Historical &amp; Forecast Ratio '!X22</f>
        <v>71.385402525410981</v>
      </c>
      <c r="Y47" s="83">
        <f>Y28*'3. Historical &amp; Forecast Ratio '!Y22</f>
        <v>71.385402525410981</v>
      </c>
      <c r="Z47" s="83">
        <f>Z28*'3. Historical &amp; Forecast Ratio '!Z22</f>
        <v>71.385402525410981</v>
      </c>
      <c r="AA47" s="84">
        <f>AA28*'3. Historical &amp; Forecast Ratio '!AA22</f>
        <v>71.385402525410981</v>
      </c>
      <c r="AB47" s="100">
        <f>AB28*'3. Historical &amp; Forecast Ratio '!AB22</f>
        <v>71.385402525410981</v>
      </c>
    </row>
    <row r="48" spans="1:28" x14ac:dyDescent="0.3">
      <c r="A48" s="27"/>
      <c r="B48" s="99" t="s">
        <v>595</v>
      </c>
      <c r="C48" s="130">
        <f>C39+C47</f>
        <v>1164.3586856264412</v>
      </c>
      <c r="D48" s="83">
        <f t="shared" ref="D48:AB48" si="42">D39+D47</f>
        <v>1406.4159553184395</v>
      </c>
      <c r="E48" s="83">
        <f t="shared" si="42"/>
        <v>1463.2926462072958</v>
      </c>
      <c r="F48" s="83">
        <f t="shared" si="42"/>
        <v>1299.1831487889274</v>
      </c>
      <c r="G48" s="83">
        <f t="shared" si="42"/>
        <v>936.19621154448976</v>
      </c>
      <c r="H48" s="83">
        <f t="shared" si="42"/>
        <v>329.65954998282388</v>
      </c>
      <c r="I48" s="83">
        <f t="shared" si="42"/>
        <v>1258.0337919319009</v>
      </c>
      <c r="J48" s="83">
        <f t="shared" si="42"/>
        <v>1056.7328623077105</v>
      </c>
      <c r="K48" s="83">
        <f t="shared" si="42"/>
        <v>1407.2630741035564</v>
      </c>
      <c r="L48" s="84">
        <f t="shared" si="42"/>
        <v>1343.8306262073406</v>
      </c>
      <c r="M48" s="83">
        <f t="shared" si="42"/>
        <v>1564.5799187956877</v>
      </c>
      <c r="N48" s="83">
        <f t="shared" si="42"/>
        <v>1593.1790748738754</v>
      </c>
      <c r="O48" s="83">
        <f t="shared" si="42"/>
        <v>1807.1078208904551</v>
      </c>
      <c r="P48" s="83">
        <f t="shared" si="42"/>
        <v>1923.3425372214001</v>
      </c>
      <c r="Q48" s="84">
        <f t="shared" si="42"/>
        <v>2127.7905873819609</v>
      </c>
      <c r="R48" s="83">
        <f t="shared" si="42"/>
        <v>2302.1468294423903</v>
      </c>
      <c r="S48" s="83">
        <f t="shared" si="42"/>
        <v>2525.8260258551163</v>
      </c>
      <c r="T48" s="83">
        <f t="shared" si="42"/>
        <v>2750.1391092998779</v>
      </c>
      <c r="U48" s="83">
        <f t="shared" si="42"/>
        <v>3009.8372648999452</v>
      </c>
      <c r="V48" s="83">
        <f t="shared" si="42"/>
        <v>3285.8081736625086</v>
      </c>
      <c r="W48" s="83">
        <f t="shared" si="42"/>
        <v>3594.2411999590367</v>
      </c>
      <c r="X48" s="83">
        <f t="shared" si="42"/>
        <v>3928.7756634846628</v>
      </c>
      <c r="Y48" s="83">
        <f t="shared" si="42"/>
        <v>4298.0933354325707</v>
      </c>
      <c r="Z48" s="83">
        <f t="shared" si="42"/>
        <v>4701.5537327651164</v>
      </c>
      <c r="AA48" s="84">
        <f t="shared" si="42"/>
        <v>5145.0549781927384</v>
      </c>
      <c r="AB48" s="100">
        <f t="shared" si="42"/>
        <v>5630.7852694603935</v>
      </c>
    </row>
    <row r="49" spans="1:74" x14ac:dyDescent="0.3">
      <c r="A49" s="27"/>
      <c r="B49" s="110"/>
      <c r="C49" s="135"/>
      <c r="D49" s="90"/>
      <c r="E49" s="90"/>
      <c r="F49" s="90"/>
      <c r="G49" s="90"/>
      <c r="H49" s="90"/>
      <c r="I49" s="90"/>
      <c r="J49" s="90"/>
      <c r="K49" s="90"/>
      <c r="L49" s="92"/>
      <c r="M49" s="90"/>
      <c r="Q49" s="88"/>
      <c r="AA49" s="88"/>
      <c r="AB49" s="107"/>
    </row>
    <row r="50" spans="1:74" ht="15" thickBot="1" x14ac:dyDescent="0.35">
      <c r="A50" s="27"/>
      <c r="B50" s="113" t="s">
        <v>596</v>
      </c>
      <c r="C50" s="138">
        <f>C24+C48</f>
        <v>4819.9586856264414</v>
      </c>
      <c r="D50" s="80">
        <f t="shared" ref="D50:AB50" si="43">D24+D48</f>
        <v>5578.3159553184414</v>
      </c>
      <c r="E50" s="80">
        <f t="shared" si="43"/>
        <v>5814.4926462072935</v>
      </c>
      <c r="F50" s="80">
        <f t="shared" si="43"/>
        <v>5794.1831487889258</v>
      </c>
      <c r="G50" s="80">
        <f t="shared" si="43"/>
        <v>5506.6962115444876</v>
      </c>
      <c r="H50" s="80">
        <f t="shared" si="43"/>
        <v>2462.8595499828225</v>
      </c>
      <c r="I50" s="80">
        <f t="shared" si="43"/>
        <v>6475.9337919318987</v>
      </c>
      <c r="J50" s="80">
        <f t="shared" si="43"/>
        <v>5911.7328623077101</v>
      </c>
      <c r="K50" s="80">
        <f t="shared" si="43"/>
        <v>7208.6630741035533</v>
      </c>
      <c r="L50" s="93">
        <f t="shared" si="43"/>
        <v>6874.1306262073394</v>
      </c>
      <c r="M50" s="80">
        <f t="shared" si="43"/>
        <v>8561.0950105824904</v>
      </c>
      <c r="N50" s="80">
        <f t="shared" si="43"/>
        <v>8719.7948541440146</v>
      </c>
      <c r="O50" s="80">
        <f t="shared" si="43"/>
        <v>9906.9088526594423</v>
      </c>
      <c r="P50" s="80">
        <f t="shared" si="43"/>
        <v>10551.908000456257</v>
      </c>
      <c r="Q50" s="93">
        <f t="shared" si="43"/>
        <v>11686.412581229037</v>
      </c>
      <c r="R50" s="80">
        <f t="shared" si="43"/>
        <v>12653.934429192559</v>
      </c>
      <c r="S50" s="80">
        <f t="shared" si="43"/>
        <v>13895.154742883597</v>
      </c>
      <c r="T50" s="80">
        <f t="shared" si="43"/>
        <v>15139.89256501246</v>
      </c>
      <c r="U50" s="80">
        <f t="shared" si="43"/>
        <v>16580.986020856795</v>
      </c>
      <c r="V50" s="80">
        <f t="shared" si="43"/>
        <v>18112.378762950808</v>
      </c>
      <c r="W50" s="80">
        <f t="shared" si="43"/>
        <v>19823.907344026626</v>
      </c>
      <c r="X50" s="80">
        <f t="shared" si="43"/>
        <v>21680.275653717657</v>
      </c>
      <c r="Y50" s="80">
        <f t="shared" si="43"/>
        <v>23729.659789473364</v>
      </c>
      <c r="Z50" s="80">
        <f t="shared" si="43"/>
        <v>25968.505640899719</v>
      </c>
      <c r="AA50" s="93">
        <f t="shared" si="43"/>
        <v>28429.542535704655</v>
      </c>
      <c r="AB50" s="114">
        <f t="shared" si="43"/>
        <v>31124.913022390541</v>
      </c>
    </row>
    <row r="51" spans="1:74" ht="15.6" thickTop="1" thickBot="1" x14ac:dyDescent="0.35">
      <c r="A51" s="27"/>
      <c r="B51" s="110"/>
      <c r="C51" s="135"/>
      <c r="D51" s="90"/>
      <c r="E51" s="90"/>
      <c r="F51" s="90"/>
      <c r="G51" s="90"/>
      <c r="H51" s="90"/>
      <c r="I51" s="90"/>
      <c r="J51" s="90"/>
      <c r="K51" s="90"/>
      <c r="L51" s="92"/>
      <c r="M51" s="90"/>
      <c r="Q51" s="88"/>
      <c r="AA51" s="88"/>
      <c r="AB51" s="107"/>
    </row>
    <row r="52" spans="1:74" x14ac:dyDescent="0.3">
      <c r="B52" s="311" t="s">
        <v>597</v>
      </c>
      <c r="C52" s="312"/>
      <c r="D52" s="312"/>
      <c r="E52" s="312"/>
      <c r="F52" s="312"/>
      <c r="G52" s="312"/>
      <c r="H52" s="312"/>
      <c r="I52" s="312"/>
      <c r="J52" s="312"/>
      <c r="K52" s="312"/>
      <c r="L52" s="312"/>
      <c r="M52" s="312"/>
      <c r="N52" s="312"/>
      <c r="O52" s="312"/>
      <c r="P52" s="312"/>
      <c r="Q52" s="312"/>
      <c r="R52" s="312"/>
      <c r="S52" s="312"/>
      <c r="T52" s="312"/>
      <c r="U52" s="312"/>
      <c r="V52" s="312"/>
      <c r="W52" s="312"/>
      <c r="X52" s="312"/>
      <c r="Y52" s="312"/>
      <c r="Z52" s="312"/>
      <c r="AA52" s="312"/>
      <c r="AB52" s="313"/>
    </row>
    <row r="53" spans="1:74" x14ac:dyDescent="0.3">
      <c r="A53" s="27"/>
      <c r="B53" s="223" t="s">
        <v>570</v>
      </c>
      <c r="C53" s="314" t="s">
        <v>571</v>
      </c>
      <c r="D53" s="315"/>
      <c r="E53" s="315"/>
      <c r="F53" s="315"/>
      <c r="G53" s="315"/>
      <c r="H53" s="315"/>
      <c r="I53" s="315"/>
      <c r="J53" s="315"/>
      <c r="K53" s="315"/>
      <c r="L53" s="316"/>
      <c r="M53" s="308" t="s">
        <v>572</v>
      </c>
      <c r="N53" s="309"/>
      <c r="O53" s="309"/>
      <c r="P53" s="309"/>
      <c r="Q53" s="310"/>
      <c r="R53" s="308" t="s">
        <v>573</v>
      </c>
      <c r="S53" s="309"/>
      <c r="T53" s="309"/>
      <c r="U53" s="309"/>
      <c r="V53" s="309"/>
      <c r="W53" s="309"/>
      <c r="X53" s="309"/>
      <c r="Y53" s="309"/>
      <c r="Z53" s="309"/>
      <c r="AA53" s="310"/>
      <c r="AB53" s="224" t="s">
        <v>574</v>
      </c>
    </row>
    <row r="54" spans="1:74" ht="14.4" hidden="1" customHeight="1" x14ac:dyDescent="0.3">
      <c r="A54" s="27"/>
      <c r="B54" s="127"/>
      <c r="C54" s="129">
        <f>2015</f>
        <v>2015</v>
      </c>
      <c r="D54" s="69">
        <f>C54+1</f>
        <v>2016</v>
      </c>
      <c r="E54" s="69">
        <f>D54+1</f>
        <v>2017</v>
      </c>
      <c r="F54" s="69">
        <f t="shared" ref="F54" si="44">E54+1</f>
        <v>2018</v>
      </c>
      <c r="G54" s="69">
        <f t="shared" ref="G54" si="45">F54+1</f>
        <v>2019</v>
      </c>
      <c r="H54" s="69">
        <f t="shared" ref="H54" si="46">G54+1</f>
        <v>2020</v>
      </c>
      <c r="I54" s="69">
        <f t="shared" ref="I54" si="47">H54+1</f>
        <v>2021</v>
      </c>
      <c r="J54" s="69">
        <f t="shared" ref="J54" si="48">I54+1</f>
        <v>2022</v>
      </c>
      <c r="K54" s="69">
        <f t="shared" ref="K54" si="49">J54+1</f>
        <v>2023</v>
      </c>
      <c r="L54" s="82">
        <f t="shared" ref="L54" si="50">K54+1</f>
        <v>2024</v>
      </c>
      <c r="M54" s="128">
        <f t="shared" ref="M54" si="51">L54+1</f>
        <v>2025</v>
      </c>
      <c r="N54" s="69">
        <f t="shared" ref="N54" si="52">M54+1</f>
        <v>2026</v>
      </c>
      <c r="O54" s="69">
        <f t="shared" ref="O54" si="53">N54+1</f>
        <v>2027</v>
      </c>
      <c r="P54" s="69">
        <f t="shared" ref="P54" si="54">O54+1</f>
        <v>2028</v>
      </c>
      <c r="Q54" s="82">
        <f t="shared" ref="Q54" si="55">P54+1</f>
        <v>2029</v>
      </c>
      <c r="R54" s="128">
        <f t="shared" ref="R54" si="56">Q54+1</f>
        <v>2030</v>
      </c>
      <c r="S54" s="69">
        <f t="shared" ref="S54" si="57">R54+1</f>
        <v>2031</v>
      </c>
      <c r="T54" s="69">
        <f t="shared" ref="T54" si="58">S54+1</f>
        <v>2032</v>
      </c>
      <c r="U54" s="69">
        <f t="shared" ref="U54" si="59">T54+1</f>
        <v>2033</v>
      </c>
      <c r="V54" s="69">
        <f t="shared" ref="V54" si="60">U54+1</f>
        <v>2034</v>
      </c>
      <c r="W54" s="69">
        <f t="shared" ref="W54" si="61">V54+1</f>
        <v>2035</v>
      </c>
      <c r="X54" s="69">
        <f t="shared" ref="X54" si="62">W54+1</f>
        <v>2036</v>
      </c>
      <c r="Y54" s="69">
        <f t="shared" ref="Y54" si="63">X54+1</f>
        <v>2037</v>
      </c>
      <c r="Z54" s="69">
        <f t="shared" ref="Z54" si="64">Y54+1</f>
        <v>2038</v>
      </c>
      <c r="AA54" s="82">
        <f t="shared" ref="AA54" si="65">Z54+1</f>
        <v>2039</v>
      </c>
      <c r="AB54" s="139">
        <f t="shared" ref="AB54" si="66">AA54+1</f>
        <v>2040</v>
      </c>
      <c r="AC54" s="27">
        <f t="shared" ref="AC54" si="67">AB54+1</f>
        <v>2041</v>
      </c>
      <c r="AD54" s="27">
        <f t="shared" ref="AD54" si="68">AC54+1</f>
        <v>2042</v>
      </c>
      <c r="AE54" s="27">
        <f t="shared" ref="AE54" si="69">AD54+1</f>
        <v>2043</v>
      </c>
      <c r="AF54" s="27">
        <f t="shared" ref="AF54" si="70">AE54+1</f>
        <v>2044</v>
      </c>
      <c r="AG54" s="27">
        <f t="shared" ref="AG54" si="71">AF54+1</f>
        <v>2045</v>
      </c>
      <c r="AH54" s="27">
        <f t="shared" ref="AH54" si="72">AG54+1</f>
        <v>2046</v>
      </c>
      <c r="AI54" s="27">
        <f t="shared" ref="AI54" si="73">AH54+1</f>
        <v>2047</v>
      </c>
      <c r="AJ54" s="27">
        <f t="shared" ref="AJ54" si="74">AI54+1</f>
        <v>2048</v>
      </c>
      <c r="AK54" s="27">
        <f t="shared" ref="AK54" si="75">AJ54+1</f>
        <v>2049</v>
      </c>
      <c r="AL54" s="27">
        <f t="shared" ref="AL54" si="76">AK54+1</f>
        <v>2050</v>
      </c>
      <c r="AM54" s="27">
        <f t="shared" ref="AM54" si="77">AL54+1</f>
        <v>2051</v>
      </c>
      <c r="AN54" s="27">
        <f t="shared" ref="AN54" si="78">AM54+1</f>
        <v>2052</v>
      </c>
      <c r="AO54" s="27">
        <f t="shared" ref="AO54" si="79">AN54+1</f>
        <v>2053</v>
      </c>
      <c r="AP54" s="27">
        <f t="shared" ref="AP54" si="80">AO54+1</f>
        <v>2054</v>
      </c>
      <c r="AQ54" s="27">
        <f t="shared" ref="AQ54" si="81">AP54+1</f>
        <v>2055</v>
      </c>
      <c r="AR54" s="27">
        <f t="shared" ref="AR54" si="82">AQ54+1</f>
        <v>2056</v>
      </c>
      <c r="AS54" s="27">
        <f t="shared" ref="AS54" si="83">AR54+1</f>
        <v>2057</v>
      </c>
      <c r="AT54" s="27">
        <f t="shared" ref="AT54" si="84">AS54+1</f>
        <v>2058</v>
      </c>
      <c r="AU54" s="27">
        <f t="shared" ref="AU54" si="85">AT54+1</f>
        <v>2059</v>
      </c>
      <c r="AV54" s="27">
        <f t="shared" ref="AV54" si="86">AU54+1</f>
        <v>2060</v>
      </c>
      <c r="AW54" s="27">
        <f t="shared" ref="AW54" si="87">AV54+1</f>
        <v>2061</v>
      </c>
      <c r="AX54" s="27">
        <f t="shared" ref="AX54" si="88">AW54+1</f>
        <v>2062</v>
      </c>
      <c r="AY54" s="27">
        <f t="shared" ref="AY54" si="89">AX54+1</f>
        <v>2063</v>
      </c>
      <c r="AZ54" s="27">
        <f t="shared" ref="AZ54" si="90">AY54+1</f>
        <v>2064</v>
      </c>
      <c r="BA54" s="27">
        <f t="shared" ref="BA54" si="91">AZ54+1</f>
        <v>2065</v>
      </c>
      <c r="BB54" s="27">
        <f t="shared" ref="BB54" si="92">BA54+1</f>
        <v>2066</v>
      </c>
      <c r="BC54" s="27">
        <f t="shared" ref="BC54" si="93">BB54+1</f>
        <v>2067</v>
      </c>
      <c r="BD54" s="27">
        <f t="shared" ref="BD54" si="94">BC54+1</f>
        <v>2068</v>
      </c>
      <c r="BE54" s="27">
        <f t="shared" ref="BE54" si="95">BD54+1</f>
        <v>2069</v>
      </c>
      <c r="BF54" s="27">
        <f t="shared" ref="BF54" si="96">BE54+1</f>
        <v>2070</v>
      </c>
      <c r="BG54" s="27">
        <f t="shared" ref="BG54" si="97">BF54+1</f>
        <v>2071</v>
      </c>
      <c r="BH54" s="27">
        <f t="shared" ref="BH54" si="98">BG54+1</f>
        <v>2072</v>
      </c>
      <c r="BI54" s="27">
        <f t="shared" ref="BI54" si="99">BH54+1</f>
        <v>2073</v>
      </c>
      <c r="BJ54" s="27">
        <f t="shared" ref="BJ54" si="100">BI54+1</f>
        <v>2074</v>
      </c>
      <c r="BK54" s="27">
        <f t="shared" ref="BK54" si="101">BJ54+1</f>
        <v>2075</v>
      </c>
      <c r="BL54" s="27">
        <f t="shared" ref="BL54" si="102">BK54+1</f>
        <v>2076</v>
      </c>
      <c r="BM54" s="27">
        <f t="shared" ref="BM54" si="103">BL54+1</f>
        <v>2077</v>
      </c>
      <c r="BN54" s="27">
        <f t="shared" ref="BN54" si="104">BM54+1</f>
        <v>2078</v>
      </c>
      <c r="BO54" s="27">
        <f t="shared" ref="BO54" si="105">BN54+1</f>
        <v>2079</v>
      </c>
      <c r="BP54" s="27">
        <f t="shared" ref="BP54" si="106">BO54+1</f>
        <v>2080</v>
      </c>
      <c r="BQ54" s="27">
        <f t="shared" ref="BQ54" si="107">BP54+1</f>
        <v>2081</v>
      </c>
      <c r="BR54" s="27">
        <f t="shared" ref="BR54" si="108">BQ54+1</f>
        <v>2082</v>
      </c>
      <c r="BS54" s="27">
        <f t="shared" ref="BS54" si="109">BR54+1</f>
        <v>2083</v>
      </c>
      <c r="BT54" s="27">
        <f t="shared" ref="BT54" si="110">BS54+1</f>
        <v>2084</v>
      </c>
      <c r="BU54" s="27">
        <f t="shared" ref="BU54" si="111">BT54+1</f>
        <v>2085</v>
      </c>
      <c r="BV54" s="27">
        <f t="shared" ref="BV54" si="112">BU54+1</f>
        <v>2086</v>
      </c>
    </row>
    <row r="55" spans="1:74" ht="15" thickBot="1" x14ac:dyDescent="0.35">
      <c r="A55" s="27"/>
      <c r="B55" s="225"/>
      <c r="C55" s="226" t="str">
        <f>"FY "&amp;C54</f>
        <v>FY 2015</v>
      </c>
      <c r="D55" s="227" t="str">
        <f t="shared" ref="D55:AA55" si="113">"FY "&amp;D54</f>
        <v>FY 2016</v>
      </c>
      <c r="E55" s="227" t="str">
        <f t="shared" si="113"/>
        <v>FY 2017</v>
      </c>
      <c r="F55" s="227" t="str">
        <f t="shared" si="113"/>
        <v>FY 2018</v>
      </c>
      <c r="G55" s="227" t="str">
        <f t="shared" si="113"/>
        <v>FY 2019</v>
      </c>
      <c r="H55" s="227" t="str">
        <f t="shared" si="113"/>
        <v>FY 2020</v>
      </c>
      <c r="I55" s="227" t="str">
        <f t="shared" si="113"/>
        <v>FY 2021</v>
      </c>
      <c r="J55" s="227" t="str">
        <f t="shared" si="113"/>
        <v>FY 2022</v>
      </c>
      <c r="K55" s="227" t="str">
        <f t="shared" si="113"/>
        <v>FY 2023</v>
      </c>
      <c r="L55" s="228" t="str">
        <f t="shared" si="113"/>
        <v>FY 2024</v>
      </c>
      <c r="M55" s="229" t="str">
        <f t="shared" si="113"/>
        <v>FY 2025</v>
      </c>
      <c r="N55" s="227" t="str">
        <f t="shared" si="113"/>
        <v>FY 2026</v>
      </c>
      <c r="O55" s="227" t="str">
        <f t="shared" si="113"/>
        <v>FY 2027</v>
      </c>
      <c r="P55" s="227" t="str">
        <f t="shared" si="113"/>
        <v>FY 2028</v>
      </c>
      <c r="Q55" s="228" t="str">
        <f t="shared" si="113"/>
        <v>FY 2029</v>
      </c>
      <c r="R55" s="229" t="str">
        <f t="shared" si="113"/>
        <v>FY 2030</v>
      </c>
      <c r="S55" s="227" t="str">
        <f t="shared" si="113"/>
        <v>FY 2031</v>
      </c>
      <c r="T55" s="227" t="str">
        <f t="shared" si="113"/>
        <v>FY 2032</v>
      </c>
      <c r="U55" s="227" t="str">
        <f t="shared" si="113"/>
        <v>FY 2033</v>
      </c>
      <c r="V55" s="227" t="str">
        <f t="shared" si="113"/>
        <v>FY 2034</v>
      </c>
      <c r="W55" s="227" t="str">
        <f t="shared" si="113"/>
        <v>FY 2035</v>
      </c>
      <c r="X55" s="227" t="str">
        <f t="shared" si="113"/>
        <v>FY 2036</v>
      </c>
      <c r="Y55" s="227" t="str">
        <f t="shared" si="113"/>
        <v>FY 2037</v>
      </c>
      <c r="Z55" s="227" t="str">
        <f t="shared" si="113"/>
        <v>FY 2038</v>
      </c>
      <c r="AA55" s="228" t="str">
        <f t="shared" si="113"/>
        <v>FY 2039</v>
      </c>
      <c r="AB55" s="230" t="s">
        <v>575</v>
      </c>
    </row>
    <row r="56" spans="1:74" x14ac:dyDescent="0.3">
      <c r="B56" s="115" t="s">
        <v>598</v>
      </c>
      <c r="C56" s="133"/>
      <c r="L56" s="88"/>
      <c r="Q56" s="88"/>
      <c r="AA56" s="88"/>
      <c r="AB56" s="107"/>
    </row>
    <row r="57" spans="1:74" x14ac:dyDescent="0.3">
      <c r="B57" s="106" t="s">
        <v>599</v>
      </c>
      <c r="C57" s="130">
        <f>'1. Raw Data - Bloomberg'!D104</f>
        <v>3971</v>
      </c>
      <c r="D57" s="83">
        <f>'1. Raw Data - Bloomberg'!E104</f>
        <v>4760.5</v>
      </c>
      <c r="E57" s="83">
        <f>'1. Raw Data - Bloomberg'!F104</f>
        <v>5283.4</v>
      </c>
      <c r="F57" s="83">
        <f>'1. Raw Data - Bloomberg'!G104</f>
        <v>12494.2</v>
      </c>
      <c r="G57" s="83">
        <f>'1. Raw Data - Bloomberg'!H104</f>
        <v>5653.9</v>
      </c>
      <c r="H57" s="83">
        <f>'1. Raw Data - Bloomberg'!I104</f>
        <v>7806.4</v>
      </c>
      <c r="I57" s="83">
        <f>'1. Raw Data - Bloomberg'!J104</f>
        <v>9756.4</v>
      </c>
      <c r="J57" s="83">
        <f>'1. Raw Data - Bloomberg'!K104</f>
        <v>7018.7</v>
      </c>
      <c r="K57" s="83">
        <f>'1. Raw Data - Bloomberg'!L104</f>
        <v>7303.4</v>
      </c>
      <c r="L57" s="84">
        <f>'1. Raw Data - Bloomberg'!M104</f>
        <v>6847.4</v>
      </c>
      <c r="Q57" s="88"/>
      <c r="AA57" s="88"/>
      <c r="AB57" s="107"/>
    </row>
    <row r="58" spans="1:74" x14ac:dyDescent="0.3">
      <c r="B58" s="106" t="s">
        <v>600</v>
      </c>
      <c r="C58" s="130">
        <f>'1. Raw Data - Bloomberg'!D137</f>
        <v>3648.1</v>
      </c>
      <c r="D58" s="83">
        <f>'1. Raw Data - Bloomberg'!E137</f>
        <v>4546.8999999999996</v>
      </c>
      <c r="E58" s="83">
        <f>'1. Raw Data - Bloomberg'!F137</f>
        <v>4220.7</v>
      </c>
      <c r="F58" s="83">
        <f>'1. Raw Data - Bloomberg'!G137</f>
        <v>5684.2</v>
      </c>
      <c r="G58" s="83">
        <f>'1. Raw Data - Bloomberg'!H137</f>
        <v>6168.7</v>
      </c>
      <c r="H58" s="83">
        <f>'1. Raw Data - Bloomberg'!I137</f>
        <v>7346.8</v>
      </c>
      <c r="I58" s="83">
        <f>'1. Raw Data - Bloomberg'!J137</f>
        <v>8151.4</v>
      </c>
      <c r="J58" s="83">
        <f>'1. Raw Data - Bloomberg'!K137</f>
        <v>9151.7999999999993</v>
      </c>
      <c r="K58" s="83">
        <f>'1. Raw Data - Bloomberg'!L137</f>
        <v>9345.2999999999993</v>
      </c>
      <c r="L58" s="84">
        <f>'1. Raw Data - Bloomberg'!M137</f>
        <v>9070</v>
      </c>
      <c r="Q58" s="88"/>
      <c r="AA58" s="88"/>
      <c r="AB58" s="107"/>
    </row>
    <row r="59" spans="1:74" x14ac:dyDescent="0.3">
      <c r="B59" s="116" t="s">
        <v>601</v>
      </c>
      <c r="C59" s="140">
        <f>C57-C58</f>
        <v>322.90000000000009</v>
      </c>
      <c r="D59" s="77">
        <f t="shared" ref="D59:L59" si="114">D57-D58</f>
        <v>213.60000000000036</v>
      </c>
      <c r="E59" s="77">
        <f t="shared" si="114"/>
        <v>1062.6999999999998</v>
      </c>
      <c r="F59" s="77">
        <f t="shared" si="114"/>
        <v>6810.0000000000009</v>
      </c>
      <c r="G59" s="77">
        <f t="shared" si="114"/>
        <v>-514.80000000000018</v>
      </c>
      <c r="H59" s="77">
        <f t="shared" si="114"/>
        <v>459.59999999999945</v>
      </c>
      <c r="I59" s="77">
        <f t="shared" si="114"/>
        <v>1605</v>
      </c>
      <c r="J59" s="77">
        <f t="shared" si="114"/>
        <v>-2133.0999999999995</v>
      </c>
      <c r="K59" s="77">
        <f t="shared" si="114"/>
        <v>-2041.8999999999996</v>
      </c>
      <c r="L59" s="94">
        <f t="shared" si="114"/>
        <v>-2222.6000000000004</v>
      </c>
      <c r="M59" s="77">
        <f>M9*'3. Historical &amp; Forecast Ratio '!M29</f>
        <v>863.81394697973712</v>
      </c>
      <c r="N59" s="77">
        <f>N9*'3. Historical &amp; Forecast Ratio '!N29</f>
        <v>934.39223305986582</v>
      </c>
      <c r="O59" s="77">
        <f>O9*'3. Historical &amp; Forecast Ratio '!O29</f>
        <v>1011.1778698774145</v>
      </c>
      <c r="P59" s="77">
        <f>P9*'3. Historical &amp; Forecast Ratio '!P29</f>
        <v>1094.723960207918</v>
      </c>
      <c r="Q59" s="94">
        <f>Q9*'3. Historical &amp; Forecast Ratio '!Q29</f>
        <v>1185.6339670843959</v>
      </c>
      <c r="R59" s="77">
        <f>R9*'3. Historical &amp; Forecast Ratio '!R29</f>
        <v>1284.5664088145265</v>
      </c>
      <c r="S59" s="77">
        <f>S9*'3. Historical &amp; Forecast Ratio '!S29</f>
        <v>1392.240002906419</v>
      </c>
      <c r="T59" s="77">
        <f>T9*'3. Historical &amp; Forecast Ratio '!T29</f>
        <v>1509.4393029394801</v>
      </c>
      <c r="U59" s="77">
        <f>U9*'3. Historical &amp; Forecast Ratio '!U29</f>
        <v>1637.0208768448915</v>
      </c>
      <c r="V59" s="77">
        <f>V9*'3. Historical &amp; Forecast Ratio '!V29</f>
        <v>1775.9200799437378</v>
      </c>
      <c r="W59" s="77">
        <f>W9*'3. Historical &amp; Forecast Ratio '!W29</f>
        <v>1927.1584814776108</v>
      </c>
      <c r="X59" s="77">
        <f>X9*'3. Historical &amp; Forecast Ratio '!X29</f>
        <v>2091.8520093095258</v>
      </c>
      <c r="Y59" s="77">
        <f>Y9*'3. Historical &amp; Forecast Ratio '!Y29</f>
        <v>2271.2198840306892</v>
      </c>
      <c r="Z59" s="77">
        <f>Z9*'3. Historical &amp; Forecast Ratio '!Z29</f>
        <v>2466.5944209459603</v>
      </c>
      <c r="AA59" s="94">
        <f>AA9*'3. Historical &amp; Forecast Ratio '!AA29</f>
        <v>2679.431786399442</v>
      </c>
      <c r="AB59" s="117">
        <f>AB9*'3. Historical &amp; Forecast Ratio '!AB29</f>
        <v>2911.3238037210299</v>
      </c>
    </row>
    <row r="60" spans="1:74" x14ac:dyDescent="0.3">
      <c r="B60" s="106"/>
      <c r="C60" s="130"/>
      <c r="D60" s="83"/>
      <c r="E60" s="83"/>
      <c r="F60" s="83"/>
      <c r="G60" s="83"/>
      <c r="H60" s="83"/>
      <c r="I60" s="83"/>
      <c r="J60" s="83"/>
      <c r="K60" s="83"/>
      <c r="L60" s="84"/>
      <c r="Q60" s="88"/>
      <c r="AA60" s="88"/>
      <c r="AB60" s="107"/>
    </row>
    <row r="61" spans="1:74" x14ac:dyDescent="0.3">
      <c r="B61" s="106" t="s">
        <v>602</v>
      </c>
      <c r="C61" s="130">
        <f>'1. Raw Data - Bloomberg'!D105</f>
        <v>4088.3</v>
      </c>
      <c r="D61" s="83">
        <f>'1. Raw Data - Bloomberg'!E105</f>
        <v>4533.8</v>
      </c>
      <c r="E61" s="83">
        <f>'1. Raw Data - Bloomberg'!F105</f>
        <v>4919.5</v>
      </c>
      <c r="F61" s="83">
        <f>'1. Raw Data - Bloomberg'!G105</f>
        <v>5929.1</v>
      </c>
      <c r="G61" s="83">
        <f>'1. Raw Data - Bloomberg'!H105</f>
        <v>6431.7</v>
      </c>
      <c r="H61" s="83">
        <f>'1. Raw Data - Bloomberg'!I105</f>
        <v>14375.5</v>
      </c>
      <c r="I61" s="83">
        <f>'1. Raw Data - Bloomberg'!J105</f>
        <v>14605.5</v>
      </c>
      <c r="J61" s="83">
        <f>'1. Raw Data - Bloomberg'!K105</f>
        <v>14576.1</v>
      </c>
      <c r="K61" s="83">
        <f>'1. Raw Data - Bloomberg'!L105</f>
        <v>15799.7</v>
      </c>
      <c r="L61" s="84">
        <f>'1. Raw Data - Bloomberg'!M105</f>
        <v>17951.7</v>
      </c>
      <c r="Q61" s="88"/>
      <c r="AA61" s="88"/>
      <c r="AB61" s="107"/>
    </row>
    <row r="62" spans="1:74" x14ac:dyDescent="0.3">
      <c r="B62" s="106" t="s">
        <v>603</v>
      </c>
      <c r="C62" s="130">
        <f>'1. Raw Data - Bloomberg'!D140+'1. Raw Data - Bloomberg'!D143</f>
        <v>600.9</v>
      </c>
      <c r="D62" s="83">
        <f>'1. Raw Data - Bloomberg'!E140+'1. Raw Data - Bloomberg'!E143</f>
        <v>689.7</v>
      </c>
      <c r="E62" s="83">
        <f>'1. Raw Data - Bloomberg'!F140+'1. Raw Data - Bloomberg'!F143</f>
        <v>755.3</v>
      </c>
      <c r="F62" s="83">
        <f>'1. Raw Data - Bloomberg'!G140+'1. Raw Data - Bloomberg'!G143</f>
        <v>8206.2000000000007</v>
      </c>
      <c r="G62" s="83">
        <f>'1. Raw Data - Bloomberg'!H140+'1. Raw Data - Bloomberg'!H143</f>
        <v>8114.9</v>
      </c>
      <c r="H62" s="83">
        <f>'1. Raw Data - Bloomberg'!I140+'1. Raw Data - Bloomberg'!I143</f>
        <v>15167.5</v>
      </c>
      <c r="I62" s="83">
        <f>'1. Raw Data - Bloomberg'!J140+'1. Raw Data - Bloomberg'!J143</f>
        <v>14938.8</v>
      </c>
      <c r="J62" s="83">
        <f>'1. Raw Data - Bloomberg'!K140+'1. Raw Data - Bloomberg'!K143</f>
        <v>14405.4</v>
      </c>
      <c r="K62" s="83">
        <f>'1. Raw Data - Bloomberg'!L140+'1. Raw Data - Bloomberg'!L143</f>
        <v>14540.400000000001</v>
      </c>
      <c r="L62" s="84">
        <f>'1. Raw Data - Bloomberg'!M140+'1. Raw Data - Bloomberg'!M143</f>
        <v>15391.400000000001</v>
      </c>
      <c r="Q62" s="88"/>
      <c r="AA62" s="88"/>
      <c r="AB62" s="107"/>
    </row>
    <row r="63" spans="1:74" x14ac:dyDescent="0.3">
      <c r="B63" s="116" t="s">
        <v>604</v>
      </c>
      <c r="C63" s="140">
        <f>C61-C62</f>
        <v>3487.4</v>
      </c>
      <c r="D63" s="77">
        <f t="shared" ref="D63:L63" si="115">D61-D62</f>
        <v>3844.1000000000004</v>
      </c>
      <c r="E63" s="77">
        <f t="shared" si="115"/>
        <v>4164.2</v>
      </c>
      <c r="F63" s="77">
        <f t="shared" si="115"/>
        <v>-2277.1000000000004</v>
      </c>
      <c r="G63" s="77">
        <f t="shared" si="115"/>
        <v>-1683.1999999999998</v>
      </c>
      <c r="H63" s="77">
        <f t="shared" si="115"/>
        <v>-792</v>
      </c>
      <c r="I63" s="77">
        <f t="shared" si="115"/>
        <v>-333.29999999999927</v>
      </c>
      <c r="J63" s="77">
        <f t="shared" si="115"/>
        <v>170.70000000000073</v>
      </c>
      <c r="K63" s="77">
        <f t="shared" si="115"/>
        <v>1259.2999999999993</v>
      </c>
      <c r="L63" s="94">
        <f t="shared" si="115"/>
        <v>2560.2999999999993</v>
      </c>
      <c r="M63" s="77">
        <f>M9*'3. Historical &amp; Forecast Ratio '!M30</f>
        <v>1793.9624863127033</v>
      </c>
      <c r="N63" s="77">
        <f>N9*'3. Historical &amp; Forecast Ratio '!N30</f>
        <v>1940.5389545657299</v>
      </c>
      <c r="O63" s="77">
        <f>O9*'3. Historical &amp; Forecast Ratio '!O30</f>
        <v>2100.0068034236338</v>
      </c>
      <c r="P63" s="77">
        <f>P9*'3. Historical &amp; Forecast Ratio '!P30</f>
        <v>2273.5147126847137</v>
      </c>
      <c r="Q63" s="94">
        <f>Q9*'3. Historical &amp; Forecast Ratio '!Q30</f>
        <v>2462.3159499616304</v>
      </c>
      <c r="R63" s="77">
        <f>R9*'3. Historical &amp; Forecast Ratio '!R30</f>
        <v>2667.7781212587265</v>
      </c>
      <c r="S63" s="77">
        <f>S9*'3. Historical &amp; Forecast Ratio '!S30</f>
        <v>2891.3938538394455</v>
      </c>
      <c r="T63" s="77">
        <f>T9*'3. Historical &amp; Forecast Ratio '!T30</f>
        <v>3134.7925028385112</v>
      </c>
      <c r="U63" s="77">
        <f>U9*'3. Historical &amp; Forecast Ratio '!U30</f>
        <v>3399.7529822696324</v>
      </c>
      <c r="V63" s="77">
        <f>V9*'3. Historical &amp; Forecast Ratio '!V30</f>
        <v>3688.2178312215378</v>
      </c>
      <c r="W63" s="77">
        <f>W9*'3. Historical &amp; Forecast Ratio '!W30</f>
        <v>4002.3086372224166</v>
      </c>
      <c r="X63" s="77">
        <f>X9*'3. Historical &amp; Forecast Ratio '!X30</f>
        <v>4344.3429510951964</v>
      </c>
      <c r="Y63" s="77">
        <f>Y9*'3. Historical &amp; Forecast Ratio '!Y30</f>
        <v>4716.8528412451315</v>
      </c>
      <c r="Z63" s="77">
        <f>Z9*'3. Historical &amp; Forecast Ratio '!Z30</f>
        <v>5122.6052503515048</v>
      </c>
      <c r="AA63" s="94">
        <f>AA9*'3. Historical &amp; Forecast Ratio '!AA30</f>
        <v>5564.6243340259316</v>
      </c>
      <c r="AB63" s="117">
        <f>AB9*'3. Historical &amp; Forecast Ratio '!AB30</f>
        <v>6046.215979315798</v>
      </c>
    </row>
    <row r="64" spans="1:74" x14ac:dyDescent="0.3">
      <c r="B64" s="106"/>
      <c r="C64" s="130"/>
      <c r="D64" s="83"/>
      <c r="E64" s="83"/>
      <c r="F64" s="83"/>
      <c r="G64" s="83"/>
      <c r="H64" s="83"/>
      <c r="I64" s="83"/>
      <c r="J64" s="83"/>
      <c r="K64" s="83"/>
      <c r="L64" s="84"/>
      <c r="Q64" s="88"/>
      <c r="AA64" s="88"/>
      <c r="AB64" s="107"/>
    </row>
    <row r="65" spans="2:29" x14ac:dyDescent="0.3">
      <c r="B65" s="106" t="s">
        <v>605</v>
      </c>
      <c r="C65" s="130">
        <f>'1. Raw Data - Bloomberg'!D111</f>
        <v>2095.8000000000002</v>
      </c>
      <c r="D65" s="83">
        <f>'1. Raw Data - Bloomberg'!E111</f>
        <v>2235.9</v>
      </c>
      <c r="E65" s="83">
        <f>'1. Raw Data - Bloomberg'!F111</f>
        <v>1980.6</v>
      </c>
      <c r="F65" s="83">
        <f>'1. Raw Data - Bloomberg'!G111</f>
        <v>4583.8</v>
      </c>
      <c r="G65" s="83">
        <f>'1. Raw Data - Bloomberg'!H111</f>
        <v>4272.6000000000004</v>
      </c>
      <c r="H65" s="83">
        <f>'1. Raw Data - Bloomberg'!I111</f>
        <v>4149.3</v>
      </c>
      <c r="I65" s="83">
        <f>'1. Raw Data - Bloomberg'!J111</f>
        <v>4027.2</v>
      </c>
      <c r="J65" s="83">
        <f>'1. Raw Data - Bloomberg'!K111</f>
        <v>3439.4</v>
      </c>
      <c r="K65" s="83">
        <f>'1. Raw Data - Bloomberg'!L111</f>
        <v>3338.8</v>
      </c>
      <c r="L65" s="84">
        <f>'1. Raw Data - Bloomberg'!M111</f>
        <v>3416.6</v>
      </c>
      <c r="M65" s="83">
        <f>M9*'3. Historical &amp; Forecast Ratio '!M31</f>
        <v>4921.5164453896477</v>
      </c>
      <c r="N65" s="83">
        <f>N9*'3. Historical &amp; Forecast Ratio '!N31</f>
        <v>5323.6310406045786</v>
      </c>
      <c r="O65" s="83">
        <f>O9*'3. Historical &amp; Forecast Ratio '!O31</f>
        <v>5761.1115602102054</v>
      </c>
      <c r="P65" s="83">
        <f>P9*'3. Historical &amp; Forecast Ratio '!P31</f>
        <v>6237.1092665996657</v>
      </c>
      <c r="Q65" s="84">
        <f>Q9*'3. Historical &amp; Forecast Ratio '!Q31</f>
        <v>6755.062346030053</v>
      </c>
      <c r="R65" s="83">
        <f>R9*'3. Historical &amp; Forecast Ratio '!R31</f>
        <v>7318.7226581375298</v>
      </c>
      <c r="S65" s="83">
        <f>S9*'3. Historical &amp; Forecast Ratio '!S31</f>
        <v>7932.1850430761806</v>
      </c>
      <c r="T65" s="83">
        <f>T9*'3. Historical &amp; Forecast Ratio '!T31</f>
        <v>8599.9194371752783</v>
      </c>
      <c r="U65" s="83">
        <f>U9*'3. Historical &amp; Forecast Ratio '!U31</f>
        <v>9326.8060732380181</v>
      </c>
      <c r="V65" s="83">
        <f>V9*'3. Historical &amp; Forecast Ratio '!V31</f>
        <v>10118.174069428202</v>
      </c>
      <c r="W65" s="83">
        <f>W9*'3. Historical &amp; Forecast Ratio '!W31</f>
        <v>10979.843741382294</v>
      </c>
      <c r="X65" s="83">
        <f>X9*'3. Historical &amp; Forecast Ratio '!X31</f>
        <v>11918.17300604398</v>
      </c>
      <c r="Y65" s="83">
        <f>Y9*'3. Historical &amp; Forecast Ratio '!Y31</f>
        <v>12940.108283080557</v>
      </c>
      <c r="Z65" s="83">
        <f>Z9*'3. Historical &amp; Forecast Ratio '!Z31</f>
        <v>14053.240340974326</v>
      </c>
      <c r="AA65" s="84">
        <f>AA9*'3. Historical &amp; Forecast Ratio '!AA31</f>
        <v>15265.865580396732</v>
      </c>
      <c r="AB65" s="100">
        <f>AB9*'3. Historical &amp; Forecast Ratio '!AB31</f>
        <v>16587.053297720711</v>
      </c>
    </row>
    <row r="66" spans="2:29" x14ac:dyDescent="0.3">
      <c r="B66" s="106"/>
      <c r="C66" s="133"/>
      <c r="L66" s="88"/>
      <c r="Q66" s="88"/>
      <c r="AA66" s="88"/>
      <c r="AB66" s="107"/>
    </row>
    <row r="67" spans="2:29" ht="15" thickBot="1" x14ac:dyDescent="0.35">
      <c r="B67" s="102" t="s">
        <v>606</v>
      </c>
      <c r="C67" s="131">
        <f>C59+C63+C65</f>
        <v>5906.1</v>
      </c>
      <c r="D67" s="78">
        <f t="shared" ref="D67:AB67" si="116">D59+D63+D65</f>
        <v>6293.6</v>
      </c>
      <c r="E67" s="78">
        <f t="shared" si="116"/>
        <v>7207.5</v>
      </c>
      <c r="F67" s="78">
        <f t="shared" si="116"/>
        <v>9116.7000000000007</v>
      </c>
      <c r="G67" s="78">
        <f t="shared" si="116"/>
        <v>2074.6000000000004</v>
      </c>
      <c r="H67" s="78">
        <f t="shared" si="116"/>
        <v>3816.8999999999996</v>
      </c>
      <c r="I67" s="78">
        <f t="shared" si="116"/>
        <v>5298.9000000000005</v>
      </c>
      <c r="J67" s="78">
        <f t="shared" si="116"/>
        <v>1477.0000000000014</v>
      </c>
      <c r="K67" s="78">
        <f t="shared" si="116"/>
        <v>2556.1999999999998</v>
      </c>
      <c r="L67" s="85">
        <f t="shared" si="116"/>
        <v>3754.2999999999988</v>
      </c>
      <c r="M67" s="78">
        <f t="shared" si="116"/>
        <v>7579.2928786820885</v>
      </c>
      <c r="N67" s="78">
        <f t="shared" si="116"/>
        <v>8198.5622282301738</v>
      </c>
      <c r="O67" s="78">
        <f t="shared" si="116"/>
        <v>8872.2962335112534</v>
      </c>
      <c r="P67" s="78">
        <f t="shared" si="116"/>
        <v>9605.3479394922979</v>
      </c>
      <c r="Q67" s="85">
        <f t="shared" si="116"/>
        <v>10403.01226307608</v>
      </c>
      <c r="R67" s="78">
        <f t="shared" si="116"/>
        <v>11271.067188210782</v>
      </c>
      <c r="S67" s="78">
        <f t="shared" si="116"/>
        <v>12215.818899822045</v>
      </c>
      <c r="T67" s="78">
        <f t="shared" si="116"/>
        <v>13244.15124295327</v>
      </c>
      <c r="U67" s="78">
        <f t="shared" si="116"/>
        <v>14363.579932352543</v>
      </c>
      <c r="V67" s="78">
        <f t="shared" si="116"/>
        <v>15582.311980593477</v>
      </c>
      <c r="W67" s="78">
        <f t="shared" si="116"/>
        <v>16909.310860082322</v>
      </c>
      <c r="X67" s="78">
        <f t="shared" si="116"/>
        <v>18354.367966448703</v>
      </c>
      <c r="Y67" s="78">
        <f t="shared" si="116"/>
        <v>19928.181008356376</v>
      </c>
      <c r="Z67" s="78">
        <f t="shared" si="116"/>
        <v>21642.440012271793</v>
      </c>
      <c r="AA67" s="85">
        <f t="shared" si="116"/>
        <v>23509.921700822106</v>
      </c>
      <c r="AB67" s="103">
        <f t="shared" si="116"/>
        <v>25544.593080757539</v>
      </c>
    </row>
    <row r="68" spans="2:29" x14ac:dyDescent="0.3">
      <c r="B68" s="106"/>
      <c r="C68" s="133"/>
      <c r="L68" s="88"/>
      <c r="Q68" s="88"/>
      <c r="AA68" s="88"/>
      <c r="AB68" s="107"/>
    </row>
    <row r="69" spans="2:29" x14ac:dyDescent="0.3">
      <c r="B69" s="106" t="s">
        <v>607</v>
      </c>
      <c r="C69" s="130">
        <f>'1. Raw Data - Bloomberg'!D118-'1. Raw Data - Bloomberg'!D105-'1. Raw Data - Bloomberg'!D111</f>
        <v>2261.1999999999989</v>
      </c>
      <c r="D69" s="83">
        <f>'1. Raw Data - Bloomberg'!E118-'1. Raw Data - Bloomberg'!E105-'1. Raw Data - Bloomberg'!E111</f>
        <v>2799.2999999999997</v>
      </c>
      <c r="E69" s="83">
        <f>'1. Raw Data - Bloomberg'!F118-'1. Raw Data - Bloomberg'!F105-'1. Raw Data - Bloomberg'!F111</f>
        <v>2182.1000000000008</v>
      </c>
      <c r="F69" s="83">
        <f>'1. Raw Data - Bloomberg'!G118-'1. Raw Data - Bloomberg'!G105-'1. Raw Data - Bloomberg'!G111</f>
        <v>1149.3000000000002</v>
      </c>
      <c r="G69" s="83">
        <f>'1. Raw Data - Bloomberg'!H118-'1. Raw Data - Bloomberg'!H105-'1. Raw Data - Bloomberg'!H111</f>
        <v>2861.4000000000005</v>
      </c>
      <c r="H69" s="83">
        <f>'1. Raw Data - Bloomberg'!I118-'1. Raw Data - Bloomberg'!I105-'1. Raw Data - Bloomberg'!I111</f>
        <v>3043.2999999999984</v>
      </c>
      <c r="I69" s="83">
        <f>'1. Raw Data - Bloomberg'!J118-'1. Raw Data - Bloomberg'!J105-'1. Raw Data - Bloomberg'!J111</f>
        <v>3003.5000000000009</v>
      </c>
      <c r="J69" s="83">
        <f>'1. Raw Data - Bloomberg'!K118-'1. Raw Data - Bloomberg'!K105-'1. Raw Data - Bloomberg'!K111</f>
        <v>2944.2000000000003</v>
      </c>
      <c r="K69" s="83">
        <f>'1. Raw Data - Bloomberg'!L118-'1. Raw Data - Bloomberg'!L105-'1. Raw Data - Bloomberg'!L111</f>
        <v>3003.5999999999976</v>
      </c>
      <c r="L69" s="84">
        <f>'1. Raw Data - Bloomberg'!M118-'1. Raw Data - Bloomberg'!M105-'1. Raw Data - Bloomberg'!M111</f>
        <v>3123.6000000000008</v>
      </c>
      <c r="M69" s="71">
        <f>M9*'3. Historical &amp; Forecast Ratio '!M32</f>
        <v>3892.2846888522354</v>
      </c>
      <c r="N69" s="71">
        <f>N9*'3. Historical &amp; Forecast Ratio '!N32</f>
        <v>4210.3054654738962</v>
      </c>
      <c r="O69" s="71">
        <f>O9*'3. Historical &amp; Forecast Ratio '!O32</f>
        <v>4556.2961264879905</v>
      </c>
      <c r="P69" s="71">
        <f>P9*'3. Historical &amp; Forecast Ratio '!P32</f>
        <v>4932.7489139706086</v>
      </c>
      <c r="Q69" s="88">
        <f>Q9*'3. Historical &amp; Forecast Ratio '!Q32</f>
        <v>5342.3829897643245</v>
      </c>
      <c r="R69" s="71">
        <f>R9*'3. Historical &amp; Forecast Ratio '!R32</f>
        <v>5788.1655908942712</v>
      </c>
      <c r="S69" s="71">
        <f>S9*'3. Historical &amp; Forecast Ratio '!S32</f>
        <v>6273.3352077346835</v>
      </c>
      <c r="T69" s="71">
        <f>T9*'3. Historical &amp; Forecast Ratio '!T32</f>
        <v>6801.426983351249</v>
      </c>
      <c r="U69" s="71">
        <f>U9*'3. Historical &amp; Forecast Ratio '!U32</f>
        <v>7376.3005523969596</v>
      </c>
      <c r="V69" s="71">
        <f>V9*'3. Historical &amp; Forecast Ratio '!V32</f>
        <v>8002.1705599439638</v>
      </c>
      <c r="W69" s="71">
        <f>W9*'3. Historical &amp; Forecast Ratio '!W32</f>
        <v>8683.6401249064165</v>
      </c>
      <c r="X69" s="71">
        <f>X9*'3. Historical &amp; Forecast Ratio '!X32</f>
        <v>9425.7375394880528</v>
      </c>
      <c r="Y69" s="71">
        <f>Y9*'3. Historical &amp; Forecast Ratio '!Y32</f>
        <v>10233.956525636846</v>
      </c>
      <c r="Z69" s="71">
        <f>Z9*'3. Historical &amp; Forecast Ratio '!Z32</f>
        <v>11114.3004020998</v>
      </c>
      <c r="AA69" s="88">
        <f>AA9*'3. Historical &amp; Forecast Ratio '!AA32</f>
        <v>12073.330551667028</v>
      </c>
      <c r="AB69" s="107">
        <f>AB9*'3. Historical &amp; Forecast Ratio '!AB32</f>
        <v>13118.219617933803</v>
      </c>
    </row>
    <row r="70" spans="2:29" x14ac:dyDescent="0.3">
      <c r="B70" s="106" t="s">
        <v>608</v>
      </c>
      <c r="C70" s="130">
        <f t="shared" ref="C70:AB70" si="117">C95-(C67+C69)</f>
        <v>600.90000000000146</v>
      </c>
      <c r="D70" s="83">
        <f t="shared" si="117"/>
        <v>689.70000000000255</v>
      </c>
      <c r="E70" s="83">
        <f t="shared" si="117"/>
        <v>755.30000000000109</v>
      </c>
      <c r="F70" s="83">
        <f t="shared" si="117"/>
        <v>8206.2000000000007</v>
      </c>
      <c r="G70" s="83">
        <f t="shared" si="117"/>
        <v>8114.9000000000005</v>
      </c>
      <c r="H70" s="83">
        <f t="shared" si="117"/>
        <v>15167.5</v>
      </c>
      <c r="I70" s="83">
        <f t="shared" si="117"/>
        <v>14938.799999999996</v>
      </c>
      <c r="J70" s="83">
        <f t="shared" si="117"/>
        <v>14405.399999999994</v>
      </c>
      <c r="K70" s="83">
        <f t="shared" si="117"/>
        <v>14540.399999999996</v>
      </c>
      <c r="L70" s="84">
        <f t="shared" si="117"/>
        <v>15391.399999999992</v>
      </c>
      <c r="M70" s="83">
        <f t="shared" si="117"/>
        <v>12427.866508764757</v>
      </c>
      <c r="N70" s="83">
        <f t="shared" si="117"/>
        <v>14853.892501806222</v>
      </c>
      <c r="O70" s="83">
        <f t="shared" si="117"/>
        <v>17303.203593996092</v>
      </c>
      <c r="P70" s="83">
        <f t="shared" si="117"/>
        <v>19877.639930441946</v>
      </c>
      <c r="Q70" s="84">
        <f t="shared" si="117"/>
        <v>21948.072898609156</v>
      </c>
      <c r="R70" s="83">
        <f t="shared" si="117"/>
        <v>24153.402896359661</v>
      </c>
      <c r="S70" s="83">
        <f t="shared" si="117"/>
        <v>26320.972918241248</v>
      </c>
      <c r="T70" s="83">
        <f t="shared" si="117"/>
        <v>28680.131102328822</v>
      </c>
      <c r="U70" s="83">
        <f t="shared" si="117"/>
        <v>31267.458907870587</v>
      </c>
      <c r="V70" s="83">
        <f t="shared" si="117"/>
        <v>34090.274791093732</v>
      </c>
      <c r="W70" s="83">
        <f t="shared" si="117"/>
        <v>37150.965353511798</v>
      </c>
      <c r="X70" s="83">
        <f t="shared" si="117"/>
        <v>40598.299161198382</v>
      </c>
      <c r="Y70" s="83">
        <f t="shared" si="117"/>
        <v>44296.155685156387</v>
      </c>
      <c r="Z70" s="83">
        <f t="shared" si="117"/>
        <v>48263.004038161314</v>
      </c>
      <c r="AA70" s="84">
        <f t="shared" si="117"/>
        <v>52521.811749446199</v>
      </c>
      <c r="AB70" s="100">
        <f t="shared" si="117"/>
        <v>57169.051851866985</v>
      </c>
    </row>
    <row r="71" spans="2:29" x14ac:dyDescent="0.3">
      <c r="B71" s="106"/>
      <c r="C71" s="133"/>
      <c r="L71" s="88"/>
      <c r="Q71" s="88"/>
      <c r="AA71" s="88"/>
      <c r="AB71" s="107"/>
    </row>
    <row r="72" spans="2:29" ht="15" thickBot="1" x14ac:dyDescent="0.35">
      <c r="B72" s="113" t="s">
        <v>106</v>
      </c>
      <c r="C72" s="138">
        <f t="shared" ref="C72:L72" si="118">C67+C69+C70</f>
        <v>8768.2000000000007</v>
      </c>
      <c r="D72" s="80">
        <f t="shared" si="118"/>
        <v>9782.6000000000022</v>
      </c>
      <c r="E72" s="80">
        <f t="shared" si="118"/>
        <v>10144.900000000001</v>
      </c>
      <c r="F72" s="80">
        <f t="shared" si="118"/>
        <v>18472.2</v>
      </c>
      <c r="G72" s="80">
        <f t="shared" si="118"/>
        <v>13050.900000000001</v>
      </c>
      <c r="H72" s="80">
        <f t="shared" si="118"/>
        <v>22027.699999999997</v>
      </c>
      <c r="I72" s="80">
        <f t="shared" si="118"/>
        <v>23241.199999999997</v>
      </c>
      <c r="J72" s="80">
        <f t="shared" si="118"/>
        <v>18826.599999999995</v>
      </c>
      <c r="K72" s="80">
        <f t="shared" si="118"/>
        <v>20100.199999999993</v>
      </c>
      <c r="L72" s="93">
        <f t="shared" si="118"/>
        <v>22269.299999999992</v>
      </c>
      <c r="M72" s="80">
        <f t="shared" ref="M72:AB72" si="119">M67+M69+M70</f>
        <v>23899.444076299082</v>
      </c>
      <c r="N72" s="80">
        <f t="shared" si="119"/>
        <v>27262.760195510291</v>
      </c>
      <c r="O72" s="80">
        <f t="shared" si="119"/>
        <v>30731.795953995337</v>
      </c>
      <c r="P72" s="80">
        <f t="shared" si="119"/>
        <v>34415.736783904853</v>
      </c>
      <c r="Q72" s="93">
        <f t="shared" si="119"/>
        <v>37693.468151449561</v>
      </c>
      <c r="R72" s="80">
        <f t="shared" si="119"/>
        <v>41212.635675464713</v>
      </c>
      <c r="S72" s="80">
        <f t="shared" si="119"/>
        <v>44810.127025797978</v>
      </c>
      <c r="T72" s="80">
        <f t="shared" si="119"/>
        <v>48725.70932863334</v>
      </c>
      <c r="U72" s="80">
        <f t="shared" si="119"/>
        <v>53007.339392620088</v>
      </c>
      <c r="V72" s="80">
        <f t="shared" si="119"/>
        <v>57674.757331631175</v>
      </c>
      <c r="W72" s="80">
        <f t="shared" si="119"/>
        <v>62743.916338500538</v>
      </c>
      <c r="X72" s="80">
        <f t="shared" si="119"/>
        <v>68378.404667135139</v>
      </c>
      <c r="Y72" s="80">
        <f t="shared" si="119"/>
        <v>74458.293219149607</v>
      </c>
      <c r="Z72" s="80">
        <f t="shared" si="119"/>
        <v>81019.744452532905</v>
      </c>
      <c r="AA72" s="93">
        <f t="shared" si="119"/>
        <v>88105.06400193533</v>
      </c>
      <c r="AB72" s="114">
        <f t="shared" si="119"/>
        <v>95831.864550558326</v>
      </c>
    </row>
    <row r="73" spans="2:29" ht="15" thickTop="1" x14ac:dyDescent="0.3">
      <c r="B73" s="106"/>
      <c r="C73" s="133"/>
      <c r="L73" s="88"/>
      <c r="Q73" s="88"/>
      <c r="AA73" s="88"/>
      <c r="AB73" s="107"/>
    </row>
    <row r="74" spans="2:29" x14ac:dyDescent="0.3">
      <c r="B74" s="115" t="s">
        <v>609</v>
      </c>
      <c r="C74" s="133"/>
      <c r="L74" s="88"/>
      <c r="Q74" s="88"/>
      <c r="AA74" s="88"/>
      <c r="AB74" s="107"/>
    </row>
    <row r="75" spans="2:29" x14ac:dyDescent="0.3">
      <c r="B75" s="118" t="s">
        <v>610</v>
      </c>
      <c r="C75" s="133"/>
      <c r="L75" s="88"/>
      <c r="Q75" s="88"/>
      <c r="AA75" s="88"/>
      <c r="AB75" s="107"/>
    </row>
    <row r="76" spans="2:29" x14ac:dyDescent="0.3">
      <c r="B76" s="101" t="s">
        <v>611</v>
      </c>
      <c r="C76" s="130">
        <v>5206.6000000000004</v>
      </c>
      <c r="D76" s="83">
        <f>C81</f>
        <v>5974.8</v>
      </c>
      <c r="E76" s="83">
        <f t="shared" ref="E76:AB76" si="120">D81</f>
        <v>5949.8000000000038</v>
      </c>
      <c r="F76" s="83">
        <f t="shared" si="120"/>
        <v>5563.2000000000025</v>
      </c>
      <c r="G76" s="83">
        <f t="shared" si="120"/>
        <v>1457.3999999999996</v>
      </c>
      <c r="H76" s="83">
        <f t="shared" si="120"/>
        <v>-5771.2000000000007</v>
      </c>
      <c r="I76" s="83">
        <f t="shared" si="120"/>
        <v>-7815.6000000000022</v>
      </c>
      <c r="J76" s="83">
        <f t="shared" si="120"/>
        <v>-6315.7000000000044</v>
      </c>
      <c r="K76" s="83">
        <f t="shared" si="120"/>
        <v>-8449.8000000000047</v>
      </c>
      <c r="L76" s="84">
        <f t="shared" si="120"/>
        <v>-7255.8000000000065</v>
      </c>
      <c r="M76" s="83">
        <f t="shared" si="120"/>
        <v>-7343.8000000000065</v>
      </c>
      <c r="N76" s="83">
        <f t="shared" si="120"/>
        <v>-5442.9729237009142</v>
      </c>
      <c r="O76" s="83">
        <f t="shared" si="120"/>
        <v>-3505.7393044897112</v>
      </c>
      <c r="P76" s="83">
        <f t="shared" si="120"/>
        <v>-1296.175758804668</v>
      </c>
      <c r="Q76" s="84">
        <f t="shared" si="120"/>
        <v>1061.3538379208503</v>
      </c>
      <c r="R76" s="83">
        <f t="shared" si="120"/>
        <v>3679.1444958860311</v>
      </c>
      <c r="S76" s="83">
        <f t="shared" si="120"/>
        <v>6518.8895356942776</v>
      </c>
      <c r="T76" s="83">
        <f t="shared" si="120"/>
        <v>9643.3767630161383</v>
      </c>
      <c r="U76" s="83">
        <f t="shared" si="120"/>
        <v>13053.413111992262</v>
      </c>
      <c r="V76" s="83">
        <f t="shared" si="120"/>
        <v>16794.043553332569</v>
      </c>
      <c r="W76" s="83">
        <f t="shared" si="120"/>
        <v>20885.983197814759</v>
      </c>
      <c r="X76" s="83">
        <f t="shared" si="120"/>
        <v>25370.556113596209</v>
      </c>
      <c r="Y76" s="83">
        <f t="shared" si="120"/>
        <v>30280.989263456897</v>
      </c>
      <c r="Z76" s="83">
        <f t="shared" si="120"/>
        <v>35661.561449421082</v>
      </c>
      <c r="AA76" s="84">
        <f t="shared" si="120"/>
        <v>41555.736142699374</v>
      </c>
      <c r="AB76" s="100">
        <f t="shared" si="120"/>
        <v>48014.485087018242</v>
      </c>
    </row>
    <row r="77" spans="2:29" x14ac:dyDescent="0.3">
      <c r="B77" s="119" t="s">
        <v>612</v>
      </c>
      <c r="C77" s="130">
        <f>'2. Integrated Finance'!C45</f>
        <v>2757.4</v>
      </c>
      <c r="D77" s="83">
        <f>'2. Integrated Finance'!D45</f>
        <v>2817.7000000000025</v>
      </c>
      <c r="E77" s="83">
        <f>'2. Integrated Finance'!E45</f>
        <v>2884.6999999999985</v>
      </c>
      <c r="F77" s="83">
        <f>'2. Integrated Finance'!F45</f>
        <v>4518.2999999999984</v>
      </c>
      <c r="G77" s="83">
        <f>'2. Integrated Finance'!G45</f>
        <v>3599.199999999998</v>
      </c>
      <c r="H77" s="83">
        <f>'2. Integrated Finance'!H45</f>
        <v>928.29999999999848</v>
      </c>
      <c r="I77" s="83">
        <f>'2. Integrated Finance'!I45</f>
        <v>4199.2999999999975</v>
      </c>
      <c r="J77" s="83">
        <f>'2. Integrated Finance'!J45</f>
        <v>3281.5999999999995</v>
      </c>
      <c r="K77" s="83">
        <f>'2. Integrated Finance'!K45</f>
        <v>4124.4999999999973</v>
      </c>
      <c r="L77" s="84">
        <f>'2. Integrated Finance'!L45</f>
        <v>3760.8999999999992</v>
      </c>
      <c r="M77" s="83">
        <f>'2. Integrated Finance'!M41</f>
        <v>5299.5105755165259</v>
      </c>
      <c r="N77" s="83">
        <f>'2. Integrated Finance'!N41</f>
        <v>5401.0121069216748</v>
      </c>
      <c r="O77" s="83">
        <f>'2. Integrated Finance'!O41</f>
        <v>6160.2686134039441</v>
      </c>
      <c r="P77" s="83">
        <f>'2. Integrated Finance'!P41</f>
        <v>6572.7983285388673</v>
      </c>
      <c r="Q77" s="84">
        <f>'2. Integrated Finance'!Q41</f>
        <v>7298.406808990525</v>
      </c>
      <c r="R77" s="83">
        <f>'2. Integrated Finance'!R41</f>
        <v>7917.2161728331903</v>
      </c>
      <c r="S77" s="83">
        <f>'2. Integrated Finance'!S41</f>
        <v>8711.0780936987758</v>
      </c>
      <c r="T77" s="83">
        <f>'2. Integrated Finance'!T41</f>
        <v>9507.1897489381154</v>
      </c>
      <c r="U77" s="83">
        <f>'2. Integrated Finance'!U41</f>
        <v>10428.886893582316</v>
      </c>
      <c r="V77" s="83">
        <f>'2. Integrated Finance'!V41</f>
        <v>11408.337818151202</v>
      </c>
      <c r="W77" s="83">
        <f>'2. Integrated Finance'!W41</f>
        <v>12503.000346633964</v>
      </c>
      <c r="X77" s="83">
        <f>'2. Integrated Finance'!X41</f>
        <v>13690.299729273742</v>
      </c>
      <c r="Y77" s="83">
        <f>'2. Integrated Finance'!Y41</f>
        <v>15001.048521133631</v>
      </c>
      <c r="Z77" s="83">
        <f>'2. Integrated Finance'!Z41</f>
        <v>16432.973577894896</v>
      </c>
      <c r="AA77" s="84">
        <f>'2. Integrated Finance'!AA41</f>
        <v>18007.007981844588</v>
      </c>
      <c r="AB77" s="100">
        <f>'2. Integrated Finance'!AB41</f>
        <v>19730.917885995164</v>
      </c>
    </row>
    <row r="78" spans="2:29" x14ac:dyDescent="0.3">
      <c r="B78" s="119" t="s">
        <v>613</v>
      </c>
      <c r="C78" s="130">
        <v>-1016.2</v>
      </c>
      <c r="D78" s="83">
        <v>-1246.2</v>
      </c>
      <c r="E78" s="83">
        <v>-1515.9</v>
      </c>
      <c r="F78" s="83">
        <v>-1760.5</v>
      </c>
      <c r="G78" s="83">
        <v>-1801.6</v>
      </c>
      <c r="H78" s="83">
        <v>-1436.6</v>
      </c>
      <c r="I78" s="83">
        <v>-2697.2</v>
      </c>
      <c r="J78" s="83">
        <v>-2293.5</v>
      </c>
      <c r="K78" s="83">
        <v>-2474.6</v>
      </c>
      <c r="L78" s="84">
        <v>-2625</v>
      </c>
      <c r="M78" s="83">
        <f>-M77*'3. Historical &amp; Forecast Ratio '!M35</f>
        <v>-3398.683499217434</v>
      </c>
      <c r="N78" s="83">
        <f>-N77*'3. Historical &amp; Forecast Ratio '!N35</f>
        <v>-3463.7784877104718</v>
      </c>
      <c r="O78" s="83">
        <f>-O77*'3. Historical &amp; Forecast Ratio '!O35</f>
        <v>-3950.7050677189009</v>
      </c>
      <c r="P78" s="83">
        <f>-P77*'3. Historical &amp; Forecast Ratio '!P35</f>
        <v>-4215.2687318133494</v>
      </c>
      <c r="Q78" s="84">
        <f>-Q77*'3. Historical &amp; Forecast Ratio '!Q35</f>
        <v>-4680.6161510253432</v>
      </c>
      <c r="R78" s="83">
        <f>-R77*'3. Historical &amp; Forecast Ratio '!R35</f>
        <v>-5077.4711330249447</v>
      </c>
      <c r="S78" s="83">
        <f>-S77*'3. Historical &amp; Forecast Ratio '!S35</f>
        <v>-5586.5908663769151</v>
      </c>
      <c r="T78" s="83">
        <f>-T77*'3. Historical &amp; Forecast Ratio '!T35</f>
        <v>-6097.1533999619915</v>
      </c>
      <c r="U78" s="83">
        <f>-U77*'3. Historical &amp; Forecast Ratio '!U35</f>
        <v>-6688.2564522420116</v>
      </c>
      <c r="V78" s="83">
        <f>-V77*'3. Historical &amp; Forecast Ratio '!V35</f>
        <v>-7316.3981736690102</v>
      </c>
      <c r="W78" s="83">
        <f>-W77*'3. Historical &amp; Forecast Ratio '!W35</f>
        <v>-8018.4274308525155</v>
      </c>
      <c r="X78" s="83">
        <f>-X77*'3. Historical &amp; Forecast Ratio '!X35</f>
        <v>-8779.866579413052</v>
      </c>
      <c r="Y78" s="83">
        <f>-Y77*'3. Historical &amp; Forecast Ratio '!Y35</f>
        <v>-9620.4763351694492</v>
      </c>
      <c r="Z78" s="83">
        <f>-Z77*'3. Historical &amp; Forecast Ratio '!Z35</f>
        <v>-10538.798884616604</v>
      </c>
      <c r="AA78" s="84">
        <f>-AA77*'3. Historical &amp; Forecast Ratio '!AA35</f>
        <v>-11548.259037525717</v>
      </c>
      <c r="AB78" s="100">
        <f>-AB77*'3. Historical &amp; Forecast Ratio '!AB35</f>
        <v>-12653.837385164548</v>
      </c>
    </row>
    <row r="79" spans="2:29" x14ac:dyDescent="0.3">
      <c r="B79" s="119" t="s">
        <v>614</v>
      </c>
      <c r="C79" s="130">
        <v>-973</v>
      </c>
      <c r="D79" s="83">
        <v>-1596.5</v>
      </c>
      <c r="E79" s="83">
        <v>-1755.4</v>
      </c>
      <c r="F79" s="83">
        <v>-6863.6</v>
      </c>
      <c r="G79" s="83">
        <v>-9521.7999999999993</v>
      </c>
      <c r="H79" s="83">
        <v>-1548.6</v>
      </c>
      <c r="I79" s="83">
        <v>0</v>
      </c>
      <c r="J79" s="83">
        <v>-3122.2</v>
      </c>
      <c r="K79" s="83">
        <v>-455.9</v>
      </c>
      <c r="L79" s="84">
        <v>-1223.9000000000001</v>
      </c>
      <c r="M79" s="83">
        <v>0</v>
      </c>
      <c r="N79" s="83">
        <v>0</v>
      </c>
      <c r="O79" s="83">
        <v>0</v>
      </c>
      <c r="P79" s="83">
        <v>0</v>
      </c>
      <c r="Q79" s="84">
        <v>0</v>
      </c>
      <c r="R79" s="83">
        <v>0</v>
      </c>
      <c r="S79" s="83">
        <v>0</v>
      </c>
      <c r="T79" s="83">
        <v>0</v>
      </c>
      <c r="U79" s="83">
        <v>0</v>
      </c>
      <c r="V79" s="83">
        <v>0</v>
      </c>
      <c r="W79" s="83">
        <v>0</v>
      </c>
      <c r="X79" s="83">
        <v>0</v>
      </c>
      <c r="Y79" s="83">
        <v>0</v>
      </c>
      <c r="Z79" s="83">
        <v>0</v>
      </c>
      <c r="AA79" s="84">
        <v>0</v>
      </c>
      <c r="AB79" s="100">
        <v>0</v>
      </c>
      <c r="AC79" s="30" t="s">
        <v>615</v>
      </c>
    </row>
    <row r="80" spans="2:29" x14ac:dyDescent="0.3">
      <c r="B80" s="119" t="s">
        <v>616</v>
      </c>
      <c r="C80" s="130">
        <v>0</v>
      </c>
      <c r="D80" s="83">
        <v>0</v>
      </c>
      <c r="E80" s="83">
        <v>0</v>
      </c>
      <c r="F80" s="83">
        <v>0</v>
      </c>
      <c r="G80" s="83">
        <v>495.6</v>
      </c>
      <c r="H80" s="83">
        <v>12.5</v>
      </c>
      <c r="I80" s="83">
        <v>-2.2000000000000002</v>
      </c>
      <c r="J80" s="83">
        <v>0</v>
      </c>
      <c r="K80" s="83">
        <v>0</v>
      </c>
      <c r="L80" s="84">
        <v>0</v>
      </c>
      <c r="M80" s="83">
        <v>0</v>
      </c>
      <c r="N80" s="83">
        <v>0</v>
      </c>
      <c r="O80" s="83">
        <v>0</v>
      </c>
      <c r="P80" s="83">
        <v>0</v>
      </c>
      <c r="Q80" s="84">
        <v>0</v>
      </c>
      <c r="R80" s="83">
        <v>0</v>
      </c>
      <c r="S80" s="83">
        <v>0</v>
      </c>
      <c r="T80" s="83">
        <v>0</v>
      </c>
      <c r="U80" s="83">
        <v>0</v>
      </c>
      <c r="V80" s="83">
        <v>0</v>
      </c>
      <c r="W80" s="83">
        <v>0</v>
      </c>
      <c r="X80" s="83">
        <v>0</v>
      </c>
      <c r="Y80" s="83">
        <v>0</v>
      </c>
      <c r="Z80" s="83">
        <v>0</v>
      </c>
      <c r="AA80" s="84">
        <v>0</v>
      </c>
      <c r="AB80" s="100">
        <v>0</v>
      </c>
      <c r="AC80" s="30" t="s">
        <v>617</v>
      </c>
    </row>
    <row r="81" spans="2:28" x14ac:dyDescent="0.3">
      <c r="B81" s="120" t="s">
        <v>618</v>
      </c>
      <c r="C81" s="141">
        <f>SUM(C76:C80)</f>
        <v>5974.8</v>
      </c>
      <c r="D81" s="81">
        <f t="shared" ref="D81:AB81" si="121">SUM(D76:D80)</f>
        <v>5949.8000000000038</v>
      </c>
      <c r="E81" s="81">
        <f t="shared" si="121"/>
        <v>5563.2000000000025</v>
      </c>
      <c r="F81" s="81">
        <f t="shared" si="121"/>
        <v>1457.3999999999996</v>
      </c>
      <c r="G81" s="81">
        <f t="shared" si="121"/>
        <v>-5771.2000000000007</v>
      </c>
      <c r="H81" s="81">
        <f t="shared" si="121"/>
        <v>-7815.6000000000022</v>
      </c>
      <c r="I81" s="81">
        <f t="shared" si="121"/>
        <v>-6315.7000000000044</v>
      </c>
      <c r="J81" s="81">
        <f t="shared" si="121"/>
        <v>-8449.8000000000047</v>
      </c>
      <c r="K81" s="81">
        <f t="shared" si="121"/>
        <v>-7255.8000000000065</v>
      </c>
      <c r="L81" s="95">
        <f t="shared" si="121"/>
        <v>-7343.8000000000065</v>
      </c>
      <c r="M81" s="81">
        <f t="shared" si="121"/>
        <v>-5442.9729237009142</v>
      </c>
      <c r="N81" s="81">
        <f t="shared" si="121"/>
        <v>-3505.7393044897112</v>
      </c>
      <c r="O81" s="81">
        <f t="shared" si="121"/>
        <v>-1296.175758804668</v>
      </c>
      <c r="P81" s="81">
        <f t="shared" si="121"/>
        <v>1061.3538379208503</v>
      </c>
      <c r="Q81" s="95">
        <f t="shared" si="121"/>
        <v>3679.1444958860311</v>
      </c>
      <c r="R81" s="81">
        <f t="shared" si="121"/>
        <v>6518.8895356942776</v>
      </c>
      <c r="S81" s="81">
        <f t="shared" si="121"/>
        <v>9643.3767630161383</v>
      </c>
      <c r="T81" s="81">
        <f t="shared" si="121"/>
        <v>13053.413111992262</v>
      </c>
      <c r="U81" s="81">
        <f t="shared" si="121"/>
        <v>16794.043553332569</v>
      </c>
      <c r="V81" s="81">
        <f t="shared" si="121"/>
        <v>20885.983197814759</v>
      </c>
      <c r="W81" s="81">
        <f t="shared" si="121"/>
        <v>25370.556113596209</v>
      </c>
      <c r="X81" s="81">
        <f t="shared" si="121"/>
        <v>30280.989263456897</v>
      </c>
      <c r="Y81" s="81">
        <f t="shared" si="121"/>
        <v>35661.561449421082</v>
      </c>
      <c r="Z81" s="81">
        <f t="shared" si="121"/>
        <v>41555.736142699374</v>
      </c>
      <c r="AA81" s="95">
        <f t="shared" si="121"/>
        <v>48014.485087018242</v>
      </c>
      <c r="AB81" s="121">
        <f t="shared" si="121"/>
        <v>55091.565587848861</v>
      </c>
    </row>
    <row r="82" spans="2:28" x14ac:dyDescent="0.3">
      <c r="B82" s="119"/>
      <c r="C82" s="133"/>
      <c r="L82" s="88"/>
      <c r="Q82" s="88"/>
      <c r="AA82" s="88"/>
      <c r="AB82" s="107"/>
    </row>
    <row r="83" spans="2:28" x14ac:dyDescent="0.3">
      <c r="B83" s="118" t="s">
        <v>619</v>
      </c>
      <c r="C83" s="133"/>
      <c r="L83" s="88"/>
      <c r="Q83" s="88"/>
      <c r="AA83" s="88"/>
      <c r="AB83" s="107"/>
    </row>
    <row r="84" spans="2:28" x14ac:dyDescent="0.3">
      <c r="B84" s="99" t="s">
        <v>620</v>
      </c>
      <c r="C84" s="130">
        <f>'1. Raw Data - Bloomberg'!D138</f>
        <v>2347.5</v>
      </c>
      <c r="D84" s="83">
        <f>'1. Raw Data - Bloomberg'!E138</f>
        <v>3202.2</v>
      </c>
      <c r="E84" s="83">
        <f>'1. Raw Data - Bloomberg'!F138</f>
        <v>3932.6</v>
      </c>
      <c r="F84" s="83">
        <f>'1. Raw Data - Bloomberg'!G138</f>
        <v>9090.2000000000007</v>
      </c>
      <c r="G84" s="83">
        <f>'1. Raw Data - Bloomberg'!H138</f>
        <v>11167</v>
      </c>
      <c r="H84" s="83">
        <f>'1. Raw Data - Bloomberg'!I138</f>
        <v>22321.3</v>
      </c>
      <c r="I84" s="83">
        <f>'1. Raw Data - Bloomberg'!J138</f>
        <v>21354.9</v>
      </c>
      <c r="J84" s="83">
        <f>'1. Raw Data - Bloomberg'!K138</f>
        <v>20635.099999999999</v>
      </c>
      <c r="K84" s="83">
        <f>'1. Raw Data - Bloomberg'!L138</f>
        <v>21472.400000000001</v>
      </c>
      <c r="L84" s="84">
        <f>'1. Raw Data - Bloomberg'!M138</f>
        <v>23091.1</v>
      </c>
      <c r="M84" s="96">
        <f>L84*(1+'3. Historical &amp; Forecast Ratio '!M34)</f>
        <v>24014.743999999999</v>
      </c>
      <c r="N84" s="96">
        <f>M84*(1+'3. Historical &amp; Forecast Ratio '!N34)</f>
        <v>24975.333760000001</v>
      </c>
      <c r="O84" s="96">
        <f>N84*(1+'3. Historical &amp; Forecast Ratio '!O34)</f>
        <v>25724.593772800003</v>
      </c>
      <c r="P84" s="96">
        <f>O84*(1+'3. Historical &amp; Forecast Ratio '!P34)</f>
        <v>26496.331585984004</v>
      </c>
      <c r="Q84" s="97">
        <f>P84*(1+'3. Historical &amp; Forecast Ratio '!Q34)</f>
        <v>27291.221533563526</v>
      </c>
      <c r="R84" s="96">
        <f>Q84*(1+'3. Historical &amp; Forecast Ratio '!R34)</f>
        <v>28109.958179570433</v>
      </c>
      <c r="S84" s="96">
        <f>R84*(1+'3. Historical &amp; Forecast Ratio '!S34)</f>
        <v>28672.157343161842</v>
      </c>
      <c r="T84" s="96">
        <f>S84*(1+'3. Historical &amp; Forecast Ratio '!T34)</f>
        <v>29245.600490025077</v>
      </c>
      <c r="U84" s="96">
        <f>T84*(1+'3. Historical &amp; Forecast Ratio '!U34)</f>
        <v>29830.512499825578</v>
      </c>
      <c r="V84" s="96">
        <f>U84*(1+'3. Historical &amp; Forecast Ratio '!V34)</f>
        <v>30427.122749822091</v>
      </c>
      <c r="W84" s="96">
        <f>V84*(1+'3. Historical &amp; Forecast Ratio '!W34)</f>
        <v>31035.665204818531</v>
      </c>
      <c r="X84" s="96">
        <f>W84*(1+'3. Historical &amp; Forecast Ratio '!X34)</f>
        <v>31656.378508914902</v>
      </c>
      <c r="Y84" s="96">
        <f>X84*(1+'3. Historical &amp; Forecast Ratio '!Y34)</f>
        <v>32289.5060790932</v>
      </c>
      <c r="Z84" s="96">
        <f>Y84*(1+'3. Historical &amp; Forecast Ratio '!Z34)</f>
        <v>32935.296200675068</v>
      </c>
      <c r="AA84" s="97">
        <f>Z84*(1+'3. Historical &amp; Forecast Ratio '!AA34)</f>
        <v>33594.002124688566</v>
      </c>
      <c r="AB84" s="122">
        <f>AA84*(1+'3. Historical &amp; Forecast Ratio '!AB34)</f>
        <v>34265.882167182339</v>
      </c>
    </row>
    <row r="85" spans="2:28" x14ac:dyDescent="0.3">
      <c r="B85" s="106" t="s">
        <v>621</v>
      </c>
      <c r="C85" s="130">
        <f>'1. Raw Data - Bloomberg'!D143</f>
        <v>600.9</v>
      </c>
      <c r="D85" s="83">
        <f>'1. Raw Data - Bloomberg'!E143</f>
        <v>689.7</v>
      </c>
      <c r="E85" s="83">
        <f>'1. Raw Data - Bloomberg'!F143</f>
        <v>755.3</v>
      </c>
      <c r="F85" s="83">
        <f>'1. Raw Data - Bloomberg'!G143</f>
        <v>8206.2000000000007</v>
      </c>
      <c r="G85" s="83">
        <f>'1. Raw Data - Bloomberg'!H143</f>
        <v>8114.9</v>
      </c>
      <c r="H85" s="83">
        <f>'1. Raw Data - Bloomberg'!I143</f>
        <v>7505.8</v>
      </c>
      <c r="I85" s="83">
        <f>'1. Raw Data - Bloomberg'!J143</f>
        <v>7200.8</v>
      </c>
      <c r="J85" s="83">
        <f>'1. Raw Data - Bloomberg'!K143</f>
        <v>6890.2</v>
      </c>
      <c r="K85" s="83">
        <f>'1. Raw Data - Bloomberg'!L143</f>
        <v>6615.6</v>
      </c>
      <c r="L85" s="84">
        <f>'1. Raw Data - Bloomberg'!M143</f>
        <v>6619.8</v>
      </c>
      <c r="M85" s="96">
        <f>AVERAGE(C85:L85)</f>
        <v>5319.92</v>
      </c>
      <c r="N85" s="96">
        <f t="shared" ref="N85:AB85" si="122">AVERAGE(D85:M85)</f>
        <v>5791.8219999999992</v>
      </c>
      <c r="O85" s="96">
        <f t="shared" si="122"/>
        <v>6302.0342000000001</v>
      </c>
      <c r="P85" s="96">
        <f t="shared" si="122"/>
        <v>6856.7076199999992</v>
      </c>
      <c r="Q85" s="97">
        <f t="shared" si="122"/>
        <v>6721.758382</v>
      </c>
      <c r="R85" s="96">
        <f t="shared" si="122"/>
        <v>6582.4442202000009</v>
      </c>
      <c r="S85" s="96">
        <f t="shared" si="122"/>
        <v>6490.1086422200005</v>
      </c>
      <c r="T85" s="96">
        <f t="shared" si="122"/>
        <v>6419.0395064419999</v>
      </c>
      <c r="U85" s="96">
        <f t="shared" si="122"/>
        <v>6371.9234570862009</v>
      </c>
      <c r="V85" s="96">
        <f t="shared" si="122"/>
        <v>6347.5558027948209</v>
      </c>
      <c r="W85" s="96">
        <f t="shared" si="122"/>
        <v>6320.3313830743027</v>
      </c>
      <c r="X85" s="96">
        <f t="shared" si="122"/>
        <v>6420.3725213817324</v>
      </c>
      <c r="Y85" s="96">
        <f t="shared" si="122"/>
        <v>6483.2275735199064</v>
      </c>
      <c r="Z85" s="96">
        <f t="shared" si="122"/>
        <v>6501.3469108718964</v>
      </c>
      <c r="AA85" s="97">
        <f t="shared" si="122"/>
        <v>6465.8108399590856</v>
      </c>
      <c r="AB85" s="122">
        <f t="shared" si="122"/>
        <v>6440.2160857549943</v>
      </c>
    </row>
    <row r="86" spans="2:28" ht="15" thickBot="1" x14ac:dyDescent="0.35">
      <c r="B86" s="102" t="s">
        <v>166</v>
      </c>
      <c r="C86" s="131">
        <f>C84+C85</f>
        <v>2948.4</v>
      </c>
      <c r="D86" s="78">
        <f t="shared" ref="D86:M86" si="123">D84+D85</f>
        <v>3891.8999999999996</v>
      </c>
      <c r="E86" s="78">
        <f t="shared" si="123"/>
        <v>4687.8999999999996</v>
      </c>
      <c r="F86" s="78">
        <f t="shared" si="123"/>
        <v>17296.400000000001</v>
      </c>
      <c r="G86" s="78">
        <f t="shared" si="123"/>
        <v>19281.900000000001</v>
      </c>
      <c r="H86" s="78">
        <f t="shared" si="123"/>
        <v>29827.1</v>
      </c>
      <c r="I86" s="78">
        <f t="shared" si="123"/>
        <v>28555.7</v>
      </c>
      <c r="J86" s="78">
        <f t="shared" si="123"/>
        <v>27525.3</v>
      </c>
      <c r="K86" s="78">
        <f t="shared" si="123"/>
        <v>28088</v>
      </c>
      <c r="L86" s="85">
        <f t="shared" si="123"/>
        <v>29710.899999999998</v>
      </c>
      <c r="M86" s="78">
        <f t="shared" si="123"/>
        <v>29334.663999999997</v>
      </c>
      <c r="N86" s="78">
        <f t="shared" ref="N86:AB86" si="124">N84+N85</f>
        <v>30767.155760000001</v>
      </c>
      <c r="O86" s="78">
        <f t="shared" si="124"/>
        <v>32026.627972800001</v>
      </c>
      <c r="P86" s="78">
        <f t="shared" si="124"/>
        <v>33353.039205984001</v>
      </c>
      <c r="Q86" s="85">
        <f t="shared" si="124"/>
        <v>34012.979915563526</v>
      </c>
      <c r="R86" s="78">
        <f t="shared" si="124"/>
        <v>34692.402399770435</v>
      </c>
      <c r="S86" s="78">
        <f t="shared" si="124"/>
        <v>35162.26598538184</v>
      </c>
      <c r="T86" s="78">
        <f t="shared" si="124"/>
        <v>35664.639996467078</v>
      </c>
      <c r="U86" s="78">
        <f t="shared" si="124"/>
        <v>36202.435956911781</v>
      </c>
      <c r="V86" s="78">
        <f t="shared" si="124"/>
        <v>36774.678552616911</v>
      </c>
      <c r="W86" s="78">
        <f t="shared" si="124"/>
        <v>37355.996587892834</v>
      </c>
      <c r="X86" s="78">
        <f t="shared" si="124"/>
        <v>38076.751030296633</v>
      </c>
      <c r="Y86" s="78">
        <f t="shared" si="124"/>
        <v>38772.733652613104</v>
      </c>
      <c r="Z86" s="78">
        <f t="shared" si="124"/>
        <v>39436.64311154696</v>
      </c>
      <c r="AA86" s="85">
        <f t="shared" si="124"/>
        <v>40059.812964647652</v>
      </c>
      <c r="AB86" s="103">
        <f t="shared" si="124"/>
        <v>40706.098252937336</v>
      </c>
    </row>
    <row r="87" spans="2:28" x14ac:dyDescent="0.3">
      <c r="B87" s="106"/>
      <c r="C87" s="133"/>
      <c r="L87" s="88"/>
      <c r="Q87" s="88"/>
      <c r="AA87" s="88"/>
      <c r="AB87" s="107"/>
    </row>
    <row r="88" spans="2:28" x14ac:dyDescent="0.3">
      <c r="B88" s="123" t="s">
        <v>622</v>
      </c>
      <c r="C88" s="133"/>
      <c r="L88" s="88"/>
      <c r="Q88" s="88"/>
      <c r="AA88" s="88"/>
      <c r="AB88" s="107"/>
    </row>
    <row r="89" spans="2:28" x14ac:dyDescent="0.3">
      <c r="B89" s="106" t="s">
        <v>623</v>
      </c>
      <c r="C89" s="130">
        <f>'1. Raw Data - Bloomberg'!D155</f>
        <v>42.6</v>
      </c>
      <c r="D89" s="83">
        <f>'1. Raw Data - Bloomberg'!E155</f>
        <v>42.6</v>
      </c>
      <c r="E89" s="83">
        <f>'1. Raw Data - Bloomberg'!F155</f>
        <v>42.5</v>
      </c>
      <c r="F89" s="83">
        <f>'1. Raw Data - Bloomberg'!G155</f>
        <v>42.4</v>
      </c>
      <c r="G89" s="83">
        <f>'1. Raw Data - Bloomberg'!H155</f>
        <v>42.3</v>
      </c>
      <c r="H89" s="83">
        <f>'1. Raw Data - Bloomberg'!I155</f>
        <v>375.1</v>
      </c>
      <c r="I89" s="83">
        <f>'1. Raw Data - Bloomberg'!J155</f>
        <v>847.3</v>
      </c>
      <c r="J89" s="83">
        <f>'1. Raw Data - Bloomberg'!K155</f>
        <v>206.4</v>
      </c>
      <c r="K89" s="83">
        <f>'1. Raw Data - Bloomberg'!L155</f>
        <v>39.200000000000003</v>
      </c>
      <c r="L89" s="84">
        <f>'1. Raw Data - Bloomberg'!M155</f>
        <v>323.7</v>
      </c>
      <c r="M89" s="83">
        <f>L89*(1+'3. Historical &amp; Forecast Ratio '!M36)</f>
        <v>320.46299999999997</v>
      </c>
      <c r="N89" s="83">
        <f>M89*(1+'3. Historical &amp; Forecast Ratio '!N36)</f>
        <v>314.05373999999995</v>
      </c>
      <c r="O89" s="83">
        <f>N89*(1+'3. Historical &amp; Forecast Ratio '!O36)</f>
        <v>314.05373999999995</v>
      </c>
      <c r="P89" s="83">
        <f>O89*(1+'3. Historical &amp; Forecast Ratio '!P36)</f>
        <v>314.05373999999995</v>
      </c>
      <c r="Q89" s="84">
        <f>P89*(1+'3. Historical &amp; Forecast Ratio '!Q36)</f>
        <v>314.05373999999995</v>
      </c>
      <c r="R89" s="83">
        <f>Q89*(1+'3. Historical &amp; Forecast Ratio '!R36)</f>
        <v>314.05373999999995</v>
      </c>
      <c r="S89" s="83">
        <f>R89*(1+'3. Historical &amp; Forecast Ratio '!S36)</f>
        <v>317.19427739999998</v>
      </c>
      <c r="T89" s="83">
        <f>S89*(1+'3. Historical &amp; Forecast Ratio '!T36)</f>
        <v>320.36622017399998</v>
      </c>
      <c r="U89" s="83">
        <f>T89*(1+'3. Historical &amp; Forecast Ratio '!U36)</f>
        <v>323.56988237574001</v>
      </c>
      <c r="V89" s="83">
        <f>U89*(1+'3. Historical &amp; Forecast Ratio '!V36)</f>
        <v>326.8055811994974</v>
      </c>
      <c r="W89" s="83">
        <f>V89*(1+'3. Historical &amp; Forecast Ratio '!W36)</f>
        <v>330.07363701149239</v>
      </c>
      <c r="X89" s="83">
        <f>W89*(1+'3. Historical &amp; Forecast Ratio '!X36)</f>
        <v>333.37437338160731</v>
      </c>
      <c r="Y89" s="83">
        <f>X89*(1+'3. Historical &amp; Forecast Ratio '!Y36)</f>
        <v>336.70811711542336</v>
      </c>
      <c r="Z89" s="83">
        <f>Y89*(1+'3. Historical &amp; Forecast Ratio '!Z36)</f>
        <v>340.07519828657757</v>
      </c>
      <c r="AA89" s="84">
        <f>Z89*(1+'3. Historical &amp; Forecast Ratio '!AA36)</f>
        <v>343.47595026944333</v>
      </c>
      <c r="AB89" s="100">
        <f>AA89*(1+'3. Historical &amp; Forecast Ratio '!AB36)</f>
        <v>346.91070977213775</v>
      </c>
    </row>
    <row r="90" spans="2:28" x14ac:dyDescent="0.3">
      <c r="B90" s="106" t="s">
        <v>624</v>
      </c>
      <c r="C90" s="130">
        <f>'1. Raw Data - Bloomberg'!D160</f>
        <v>-199.4</v>
      </c>
      <c r="D90" s="83">
        <f>'1. Raw Data - Bloomberg'!E160</f>
        <v>-108.4</v>
      </c>
      <c r="E90" s="83">
        <f>'1. Raw Data - Bloomberg'!F160</f>
        <v>-155.6</v>
      </c>
      <c r="F90" s="83">
        <f>'1. Raw Data - Bloomberg'!G160</f>
        <v>-330.3</v>
      </c>
      <c r="G90" s="83">
        <f>'1. Raw Data - Bloomberg'!H160</f>
        <v>-503.3</v>
      </c>
      <c r="H90" s="83">
        <f>'1. Raw Data - Bloomberg'!I160</f>
        <v>-364.6</v>
      </c>
      <c r="I90" s="83">
        <f>'1. Raw Data - Bloomberg'!J160</f>
        <v>147.19999999999999</v>
      </c>
      <c r="J90" s="83">
        <f>'1. Raw Data - Bloomberg'!K160</f>
        <v>-463.2</v>
      </c>
      <c r="K90" s="83">
        <f>'1. Raw Data - Bloomberg'!L160</f>
        <v>-778.2</v>
      </c>
      <c r="L90" s="84">
        <f>'1. Raw Data - Bloomberg'!M160</f>
        <v>-428.8</v>
      </c>
      <c r="M90" s="83">
        <f>AVERAGE(C90:L90)</f>
        <v>-318.46000000000004</v>
      </c>
      <c r="N90" s="83">
        <f>M90</f>
        <v>-318.46000000000004</v>
      </c>
      <c r="O90" s="83">
        <f t="shared" ref="O90:AB90" si="125">N90</f>
        <v>-318.46000000000004</v>
      </c>
      <c r="P90" s="83">
        <f t="shared" si="125"/>
        <v>-318.46000000000004</v>
      </c>
      <c r="Q90" s="84">
        <f t="shared" si="125"/>
        <v>-318.46000000000004</v>
      </c>
      <c r="R90" s="83">
        <f t="shared" si="125"/>
        <v>-318.46000000000004</v>
      </c>
      <c r="S90" s="83">
        <f t="shared" si="125"/>
        <v>-318.46000000000004</v>
      </c>
      <c r="T90" s="83">
        <f t="shared" si="125"/>
        <v>-318.46000000000004</v>
      </c>
      <c r="U90" s="83">
        <f t="shared" si="125"/>
        <v>-318.46000000000004</v>
      </c>
      <c r="V90" s="83">
        <f t="shared" si="125"/>
        <v>-318.46000000000004</v>
      </c>
      <c r="W90" s="83">
        <f t="shared" si="125"/>
        <v>-318.46000000000004</v>
      </c>
      <c r="X90" s="83">
        <f t="shared" si="125"/>
        <v>-318.46000000000004</v>
      </c>
      <c r="Y90" s="83">
        <f t="shared" si="125"/>
        <v>-318.46000000000004</v>
      </c>
      <c r="Z90" s="83">
        <f t="shared" si="125"/>
        <v>-318.46000000000004</v>
      </c>
      <c r="AA90" s="84">
        <f t="shared" si="125"/>
        <v>-318.46000000000004</v>
      </c>
      <c r="AB90" s="100">
        <f t="shared" si="125"/>
        <v>-318.46000000000004</v>
      </c>
    </row>
    <row r="91" spans="2:28" x14ac:dyDescent="0.3">
      <c r="B91" s="106" t="s">
        <v>625</v>
      </c>
      <c r="C91" s="130">
        <f t="shared" ref="C91:AB91" si="126">C81</f>
        <v>5974.8</v>
      </c>
      <c r="D91" s="83">
        <f t="shared" si="126"/>
        <v>5949.8000000000038</v>
      </c>
      <c r="E91" s="83">
        <f t="shared" si="126"/>
        <v>5563.2000000000025</v>
      </c>
      <c r="F91" s="83">
        <f t="shared" si="126"/>
        <v>1457.3999999999996</v>
      </c>
      <c r="G91" s="83">
        <f t="shared" si="126"/>
        <v>-5771.2000000000007</v>
      </c>
      <c r="H91" s="83">
        <f t="shared" si="126"/>
        <v>-7815.6000000000022</v>
      </c>
      <c r="I91" s="83">
        <f t="shared" si="126"/>
        <v>-6315.7000000000044</v>
      </c>
      <c r="J91" s="83">
        <f t="shared" si="126"/>
        <v>-8449.8000000000047</v>
      </c>
      <c r="K91" s="83">
        <f t="shared" si="126"/>
        <v>-7255.8000000000065</v>
      </c>
      <c r="L91" s="84">
        <f t="shared" si="126"/>
        <v>-7343.8000000000065</v>
      </c>
      <c r="M91" s="83">
        <f t="shared" si="126"/>
        <v>-5442.9729237009142</v>
      </c>
      <c r="N91" s="83">
        <f t="shared" si="126"/>
        <v>-3505.7393044897112</v>
      </c>
      <c r="O91" s="83">
        <f t="shared" si="126"/>
        <v>-1296.175758804668</v>
      </c>
      <c r="P91" s="83">
        <f t="shared" si="126"/>
        <v>1061.3538379208503</v>
      </c>
      <c r="Q91" s="84">
        <f t="shared" si="126"/>
        <v>3679.1444958860311</v>
      </c>
      <c r="R91" s="83">
        <f t="shared" si="126"/>
        <v>6518.8895356942776</v>
      </c>
      <c r="S91" s="83">
        <f t="shared" si="126"/>
        <v>9643.3767630161383</v>
      </c>
      <c r="T91" s="83">
        <f t="shared" si="126"/>
        <v>13053.413111992262</v>
      </c>
      <c r="U91" s="83">
        <f t="shared" si="126"/>
        <v>16794.043553332569</v>
      </c>
      <c r="V91" s="83">
        <f t="shared" si="126"/>
        <v>20885.983197814759</v>
      </c>
      <c r="W91" s="83">
        <f t="shared" si="126"/>
        <v>25370.556113596209</v>
      </c>
      <c r="X91" s="83">
        <f t="shared" si="126"/>
        <v>30280.989263456897</v>
      </c>
      <c r="Y91" s="83">
        <f t="shared" si="126"/>
        <v>35661.561449421082</v>
      </c>
      <c r="Z91" s="83">
        <f t="shared" si="126"/>
        <v>41555.736142699374</v>
      </c>
      <c r="AA91" s="84">
        <f t="shared" si="126"/>
        <v>48014.485087018242</v>
      </c>
      <c r="AB91" s="100">
        <f t="shared" si="126"/>
        <v>55091.565587848861</v>
      </c>
    </row>
    <row r="92" spans="2:28" x14ac:dyDescent="0.3">
      <c r="B92" s="106" t="s">
        <v>593</v>
      </c>
      <c r="C92" s="130">
        <f>'1. Raw Data - Bloomberg'!D162</f>
        <v>1.8</v>
      </c>
      <c r="D92" s="83">
        <f>'1. Raw Data - Bloomberg'!E162</f>
        <v>6.7</v>
      </c>
      <c r="E92" s="83">
        <f>'1. Raw Data - Bloomberg'!F162</f>
        <v>6.9</v>
      </c>
      <c r="F92" s="83">
        <f>'1. Raw Data - Bloomberg'!G162</f>
        <v>6.3</v>
      </c>
      <c r="G92" s="83">
        <f>'1. Raw Data - Bloomberg'!H162</f>
        <v>1.2</v>
      </c>
      <c r="H92" s="83">
        <f>'1. Raw Data - Bloomberg'!I162</f>
        <v>5.7</v>
      </c>
      <c r="I92" s="83">
        <f>'1. Raw Data - Bloomberg'!J162</f>
        <v>6.7</v>
      </c>
      <c r="J92" s="83">
        <f>'1. Raw Data - Bloomberg'!K162</f>
        <v>7.9</v>
      </c>
      <c r="K92" s="83">
        <f>'1. Raw Data - Bloomberg'!L162</f>
        <v>7</v>
      </c>
      <c r="L92" s="84">
        <f>'1. Raw Data - Bloomberg'!M162</f>
        <v>7.3</v>
      </c>
      <c r="M92" s="83">
        <f>AVERAGE(C92:L92)</f>
        <v>5.7499999999999991</v>
      </c>
      <c r="N92" s="83">
        <f>M92</f>
        <v>5.7499999999999991</v>
      </c>
      <c r="O92" s="83">
        <f t="shared" ref="O92:AB92" si="127">N92</f>
        <v>5.7499999999999991</v>
      </c>
      <c r="P92" s="83">
        <f t="shared" si="127"/>
        <v>5.7499999999999991</v>
      </c>
      <c r="Q92" s="84">
        <f t="shared" si="127"/>
        <v>5.7499999999999991</v>
      </c>
      <c r="R92" s="83">
        <f t="shared" si="127"/>
        <v>5.7499999999999991</v>
      </c>
      <c r="S92" s="83">
        <f t="shared" si="127"/>
        <v>5.7499999999999991</v>
      </c>
      <c r="T92" s="83">
        <f t="shared" si="127"/>
        <v>5.7499999999999991</v>
      </c>
      <c r="U92" s="83">
        <f t="shared" si="127"/>
        <v>5.7499999999999991</v>
      </c>
      <c r="V92" s="83">
        <f t="shared" si="127"/>
        <v>5.7499999999999991</v>
      </c>
      <c r="W92" s="83">
        <f t="shared" si="127"/>
        <v>5.7499999999999991</v>
      </c>
      <c r="X92" s="83">
        <f t="shared" si="127"/>
        <v>5.7499999999999991</v>
      </c>
      <c r="Y92" s="83">
        <f t="shared" si="127"/>
        <v>5.7499999999999991</v>
      </c>
      <c r="Z92" s="83">
        <f t="shared" si="127"/>
        <v>5.7499999999999991</v>
      </c>
      <c r="AA92" s="84">
        <f t="shared" si="127"/>
        <v>5.7499999999999991</v>
      </c>
      <c r="AB92" s="100">
        <f t="shared" si="127"/>
        <v>5.7499999999999991</v>
      </c>
    </row>
    <row r="93" spans="2:28" ht="15" thickBot="1" x14ac:dyDescent="0.35">
      <c r="B93" s="102" t="s">
        <v>176</v>
      </c>
      <c r="C93" s="131">
        <f t="shared" ref="C93:AB93" si="128">SUM(C89:C92)</f>
        <v>5819.8</v>
      </c>
      <c r="D93" s="78">
        <f t="shared" si="128"/>
        <v>5890.7000000000035</v>
      </c>
      <c r="E93" s="78">
        <f t="shared" si="128"/>
        <v>5457.0000000000018</v>
      </c>
      <c r="F93" s="78">
        <f t="shared" si="128"/>
        <v>1175.7999999999995</v>
      </c>
      <c r="G93" s="78">
        <f t="shared" si="128"/>
        <v>-6231.0000000000009</v>
      </c>
      <c r="H93" s="78">
        <f t="shared" si="128"/>
        <v>-7799.4000000000024</v>
      </c>
      <c r="I93" s="78">
        <f t="shared" si="128"/>
        <v>-5314.5000000000045</v>
      </c>
      <c r="J93" s="78">
        <f t="shared" si="128"/>
        <v>-8698.7000000000044</v>
      </c>
      <c r="K93" s="78">
        <f t="shared" si="128"/>
        <v>-7987.8000000000065</v>
      </c>
      <c r="L93" s="85">
        <f t="shared" si="128"/>
        <v>-7441.6000000000067</v>
      </c>
      <c r="M93" s="78">
        <f t="shared" si="128"/>
        <v>-5435.2199237009145</v>
      </c>
      <c r="N93" s="78">
        <f t="shared" si="128"/>
        <v>-3504.3955644897114</v>
      </c>
      <c r="O93" s="78">
        <f t="shared" si="128"/>
        <v>-1294.8320188046682</v>
      </c>
      <c r="P93" s="78">
        <f t="shared" si="128"/>
        <v>1062.6975779208501</v>
      </c>
      <c r="Q93" s="85">
        <f t="shared" si="128"/>
        <v>3680.4882358860309</v>
      </c>
      <c r="R93" s="78">
        <f t="shared" si="128"/>
        <v>6520.2332756942778</v>
      </c>
      <c r="S93" s="78">
        <f t="shared" si="128"/>
        <v>9647.8610404161391</v>
      </c>
      <c r="T93" s="78">
        <f t="shared" si="128"/>
        <v>13061.069332166262</v>
      </c>
      <c r="U93" s="78">
        <f t="shared" si="128"/>
        <v>16804.903435708307</v>
      </c>
      <c r="V93" s="78">
        <f t="shared" si="128"/>
        <v>20900.078779014257</v>
      </c>
      <c r="W93" s="78">
        <f t="shared" si="128"/>
        <v>25387.9197506077</v>
      </c>
      <c r="X93" s="78">
        <f t="shared" si="128"/>
        <v>30301.653636838506</v>
      </c>
      <c r="Y93" s="78">
        <f t="shared" si="128"/>
        <v>35685.559566536504</v>
      </c>
      <c r="Z93" s="78">
        <f t="shared" si="128"/>
        <v>41583.101340985952</v>
      </c>
      <c r="AA93" s="85">
        <f t="shared" si="128"/>
        <v>48045.251037287686</v>
      </c>
      <c r="AB93" s="103">
        <f t="shared" si="128"/>
        <v>55125.766297620998</v>
      </c>
    </row>
    <row r="94" spans="2:28" x14ac:dyDescent="0.3">
      <c r="B94" s="106"/>
      <c r="C94" s="133"/>
      <c r="L94" s="88"/>
      <c r="Q94" s="88"/>
      <c r="AA94" s="88"/>
      <c r="AB94" s="107"/>
    </row>
    <row r="95" spans="2:28" ht="15" thickBot="1" x14ac:dyDescent="0.35">
      <c r="B95" s="113" t="s">
        <v>177</v>
      </c>
      <c r="C95" s="138">
        <f t="shared" ref="C95:AB95" si="129">C86+C93</f>
        <v>8768.2000000000007</v>
      </c>
      <c r="D95" s="80">
        <f t="shared" si="129"/>
        <v>9782.6000000000022</v>
      </c>
      <c r="E95" s="80">
        <f t="shared" si="129"/>
        <v>10144.900000000001</v>
      </c>
      <c r="F95" s="80">
        <f t="shared" si="129"/>
        <v>18472.2</v>
      </c>
      <c r="G95" s="80">
        <f t="shared" si="129"/>
        <v>13050.900000000001</v>
      </c>
      <c r="H95" s="80">
        <f t="shared" si="129"/>
        <v>22027.699999999997</v>
      </c>
      <c r="I95" s="80">
        <f t="shared" si="129"/>
        <v>23241.199999999997</v>
      </c>
      <c r="J95" s="80">
        <f t="shared" si="129"/>
        <v>18826.599999999995</v>
      </c>
      <c r="K95" s="80">
        <f t="shared" si="129"/>
        <v>20100.199999999993</v>
      </c>
      <c r="L95" s="93">
        <f t="shared" si="129"/>
        <v>22269.299999999992</v>
      </c>
      <c r="M95" s="80">
        <f t="shared" si="129"/>
        <v>23899.444076299082</v>
      </c>
      <c r="N95" s="80">
        <f t="shared" si="129"/>
        <v>27262.760195510291</v>
      </c>
      <c r="O95" s="80">
        <f t="shared" si="129"/>
        <v>30731.795953995334</v>
      </c>
      <c r="P95" s="80">
        <f t="shared" si="129"/>
        <v>34415.736783904853</v>
      </c>
      <c r="Q95" s="93">
        <f t="shared" si="129"/>
        <v>37693.468151449561</v>
      </c>
      <c r="R95" s="80">
        <f t="shared" si="129"/>
        <v>41212.635675464713</v>
      </c>
      <c r="S95" s="80">
        <f t="shared" si="129"/>
        <v>44810.127025797978</v>
      </c>
      <c r="T95" s="80">
        <f t="shared" si="129"/>
        <v>48725.70932863334</v>
      </c>
      <c r="U95" s="80">
        <f t="shared" si="129"/>
        <v>53007.339392620088</v>
      </c>
      <c r="V95" s="80">
        <f t="shared" si="129"/>
        <v>57674.757331631168</v>
      </c>
      <c r="W95" s="80">
        <f t="shared" si="129"/>
        <v>62743.916338500538</v>
      </c>
      <c r="X95" s="80">
        <f t="shared" si="129"/>
        <v>68378.404667135139</v>
      </c>
      <c r="Y95" s="80">
        <f t="shared" si="129"/>
        <v>74458.293219149607</v>
      </c>
      <c r="Z95" s="80">
        <f t="shared" si="129"/>
        <v>81019.744452532905</v>
      </c>
      <c r="AA95" s="93">
        <f t="shared" si="129"/>
        <v>88105.06400193533</v>
      </c>
      <c r="AB95" s="114">
        <f t="shared" si="129"/>
        <v>95831.864550558326</v>
      </c>
    </row>
    <row r="96" spans="2:28" ht="15.6" thickTop="1" thickBot="1" x14ac:dyDescent="0.35">
      <c r="B96" s="124"/>
      <c r="C96" s="142"/>
      <c r="D96" s="125"/>
      <c r="E96" s="125"/>
      <c r="F96" s="125"/>
      <c r="G96" s="125"/>
      <c r="H96" s="125"/>
      <c r="I96" s="125"/>
      <c r="J96" s="125"/>
      <c r="K96" s="125"/>
      <c r="L96" s="143"/>
      <c r="M96" s="125"/>
      <c r="N96" s="125"/>
      <c r="O96" s="125"/>
      <c r="P96" s="125"/>
      <c r="Q96" s="143"/>
      <c r="R96" s="125"/>
      <c r="S96" s="125"/>
      <c r="T96" s="125"/>
      <c r="U96" s="125"/>
      <c r="V96" s="125"/>
      <c r="W96" s="125"/>
      <c r="X96" s="125"/>
      <c r="Y96" s="125"/>
      <c r="Z96" s="125"/>
      <c r="AA96" s="143"/>
      <c r="AB96" s="126"/>
    </row>
  </sheetData>
  <mergeCells count="9">
    <mergeCell ref="B2:AB4"/>
    <mergeCell ref="B5:AB5"/>
    <mergeCell ref="R6:AA6"/>
    <mergeCell ref="B52:AB52"/>
    <mergeCell ref="C53:L53"/>
    <mergeCell ref="M53:Q53"/>
    <mergeCell ref="R53:AA53"/>
    <mergeCell ref="M6:Q6"/>
    <mergeCell ref="C6:L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DD3AB-87C7-48AF-9E36-601FCAFC2455}">
  <dimension ref="A1:BV39"/>
  <sheetViews>
    <sheetView showGridLines="0" topLeftCell="T1" zoomScale="70" zoomScaleNormal="70" workbookViewId="0">
      <selection activeCell="AC40" sqref="AC40"/>
    </sheetView>
  </sheetViews>
  <sheetFormatPr defaultColWidth="9.109375" defaultRowHeight="14.4" x14ac:dyDescent="0.3"/>
  <cols>
    <col min="1" max="1" width="1.88671875" style="30" bestFit="1" customWidth="1"/>
    <col min="2" max="2" width="33.88671875" style="30" bestFit="1" customWidth="1"/>
    <col min="3" max="28" width="12.88671875" style="30" customWidth="1"/>
    <col min="29" max="16384" width="9.109375" style="30"/>
  </cols>
  <sheetData>
    <row r="1" spans="1:74" ht="15" thickBot="1" x14ac:dyDescent="0.35"/>
    <row r="2" spans="1:74" ht="15" customHeight="1" x14ac:dyDescent="0.3">
      <c r="A2" s="27"/>
      <c r="B2" s="299" t="s">
        <v>626</v>
      </c>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1"/>
    </row>
    <row r="3" spans="1:74" ht="15" customHeight="1" x14ac:dyDescent="0.3">
      <c r="A3" s="27"/>
      <c r="B3" s="302"/>
      <c r="C3" s="303"/>
      <c r="D3" s="303"/>
      <c r="E3" s="303"/>
      <c r="F3" s="303"/>
      <c r="G3" s="303"/>
      <c r="H3" s="303"/>
      <c r="I3" s="303"/>
      <c r="J3" s="303"/>
      <c r="K3" s="303"/>
      <c r="L3" s="303"/>
      <c r="M3" s="303"/>
      <c r="N3" s="303"/>
      <c r="O3" s="303"/>
      <c r="P3" s="303"/>
      <c r="Q3" s="303"/>
      <c r="R3" s="303"/>
      <c r="S3" s="303"/>
      <c r="T3" s="303"/>
      <c r="U3" s="303"/>
      <c r="V3" s="303"/>
      <c r="W3" s="303"/>
      <c r="X3" s="303"/>
      <c r="Y3" s="303"/>
      <c r="Z3" s="303"/>
      <c r="AA3" s="303"/>
      <c r="AB3" s="304"/>
    </row>
    <row r="4" spans="1:74" ht="15" customHeight="1" x14ac:dyDescent="0.3">
      <c r="A4" s="27"/>
      <c r="B4" s="302"/>
      <c r="C4" s="303"/>
      <c r="D4" s="303"/>
      <c r="E4" s="303"/>
      <c r="F4" s="303"/>
      <c r="G4" s="303"/>
      <c r="H4" s="303"/>
      <c r="I4" s="303"/>
      <c r="J4" s="303"/>
      <c r="K4" s="303"/>
      <c r="L4" s="303"/>
      <c r="M4" s="303"/>
      <c r="N4" s="303"/>
      <c r="O4" s="303"/>
      <c r="P4" s="303"/>
      <c r="Q4" s="303"/>
      <c r="R4" s="303"/>
      <c r="S4" s="303"/>
      <c r="T4" s="303"/>
      <c r="U4" s="303"/>
      <c r="V4" s="303"/>
      <c r="W4" s="303"/>
      <c r="X4" s="303"/>
      <c r="Y4" s="303"/>
      <c r="Z4" s="303"/>
      <c r="AA4" s="303"/>
      <c r="AB4" s="304"/>
    </row>
    <row r="5" spans="1:74" ht="15" customHeight="1" x14ac:dyDescent="0.3">
      <c r="B5" s="305" t="s">
        <v>568</v>
      </c>
      <c r="C5" s="306"/>
      <c r="D5" s="306"/>
      <c r="E5" s="306"/>
      <c r="F5" s="306"/>
      <c r="G5" s="306"/>
      <c r="H5" s="306"/>
      <c r="I5" s="306"/>
      <c r="J5" s="306"/>
      <c r="K5" s="306"/>
      <c r="L5" s="306"/>
      <c r="M5" s="306"/>
      <c r="N5" s="306"/>
      <c r="O5" s="306"/>
      <c r="P5" s="306"/>
      <c r="Q5" s="306"/>
      <c r="R5" s="306"/>
      <c r="S5" s="306"/>
      <c r="T5" s="306"/>
      <c r="U5" s="306"/>
      <c r="V5" s="306"/>
      <c r="W5" s="306"/>
      <c r="X5" s="306"/>
      <c r="Y5" s="306"/>
      <c r="Z5" s="306"/>
      <c r="AA5" s="306"/>
      <c r="AB5" s="307"/>
    </row>
    <row r="6" spans="1:74" ht="15" customHeight="1" x14ac:dyDescent="0.3">
      <c r="A6" s="27"/>
      <c r="B6" s="223" t="s">
        <v>570</v>
      </c>
      <c r="C6" s="314" t="s">
        <v>571</v>
      </c>
      <c r="D6" s="315"/>
      <c r="E6" s="315"/>
      <c r="F6" s="315"/>
      <c r="G6" s="315"/>
      <c r="H6" s="315"/>
      <c r="I6" s="315"/>
      <c r="J6" s="315"/>
      <c r="K6" s="315"/>
      <c r="L6" s="316"/>
      <c r="M6" s="308" t="s">
        <v>572</v>
      </c>
      <c r="N6" s="309"/>
      <c r="O6" s="309"/>
      <c r="P6" s="309"/>
      <c r="Q6" s="310"/>
      <c r="R6" s="308" t="s">
        <v>573</v>
      </c>
      <c r="S6" s="309"/>
      <c r="T6" s="309"/>
      <c r="U6" s="309"/>
      <c r="V6" s="309"/>
      <c r="W6" s="309"/>
      <c r="X6" s="309"/>
      <c r="Y6" s="309"/>
      <c r="Z6" s="309"/>
      <c r="AA6" s="310"/>
      <c r="AB6" s="224" t="s">
        <v>574</v>
      </c>
    </row>
    <row r="7" spans="1:74" ht="14.4" hidden="1" customHeight="1" x14ac:dyDescent="0.3">
      <c r="A7" s="27"/>
      <c r="B7" s="127"/>
      <c r="C7" s="129">
        <f>2015</f>
        <v>2015</v>
      </c>
      <c r="D7" s="69">
        <f>C7+1</f>
        <v>2016</v>
      </c>
      <c r="E7" s="69">
        <f>D7+1</f>
        <v>2017</v>
      </c>
      <c r="F7" s="69">
        <f t="shared" ref="F7:BQ7" si="0">E7+1</f>
        <v>2018</v>
      </c>
      <c r="G7" s="69">
        <f t="shared" si="0"/>
        <v>2019</v>
      </c>
      <c r="H7" s="69">
        <f t="shared" si="0"/>
        <v>2020</v>
      </c>
      <c r="I7" s="69">
        <f t="shared" si="0"/>
        <v>2021</v>
      </c>
      <c r="J7" s="69">
        <f t="shared" si="0"/>
        <v>2022</v>
      </c>
      <c r="K7" s="69">
        <f t="shared" si="0"/>
        <v>2023</v>
      </c>
      <c r="L7" s="82">
        <f t="shared" si="0"/>
        <v>2024</v>
      </c>
      <c r="M7" s="128">
        <f t="shared" si="0"/>
        <v>2025</v>
      </c>
      <c r="N7" s="69">
        <f t="shared" si="0"/>
        <v>2026</v>
      </c>
      <c r="O7" s="69">
        <f t="shared" si="0"/>
        <v>2027</v>
      </c>
      <c r="P7" s="69">
        <f t="shared" si="0"/>
        <v>2028</v>
      </c>
      <c r="Q7" s="82">
        <f t="shared" si="0"/>
        <v>2029</v>
      </c>
      <c r="R7" s="128">
        <f t="shared" si="0"/>
        <v>2030</v>
      </c>
      <c r="S7" s="69">
        <f t="shared" si="0"/>
        <v>2031</v>
      </c>
      <c r="T7" s="69">
        <f t="shared" si="0"/>
        <v>2032</v>
      </c>
      <c r="U7" s="69">
        <f t="shared" si="0"/>
        <v>2033</v>
      </c>
      <c r="V7" s="69">
        <f t="shared" si="0"/>
        <v>2034</v>
      </c>
      <c r="W7" s="69">
        <f t="shared" si="0"/>
        <v>2035</v>
      </c>
      <c r="X7" s="69">
        <f t="shared" si="0"/>
        <v>2036</v>
      </c>
      <c r="Y7" s="69">
        <f t="shared" si="0"/>
        <v>2037</v>
      </c>
      <c r="Z7" s="69">
        <f t="shared" si="0"/>
        <v>2038</v>
      </c>
      <c r="AA7" s="82">
        <f t="shared" si="0"/>
        <v>2039</v>
      </c>
      <c r="AB7" s="139">
        <f t="shared" si="0"/>
        <v>2040</v>
      </c>
      <c r="AC7" s="27">
        <f t="shared" si="0"/>
        <v>2041</v>
      </c>
      <c r="AD7" s="27">
        <f t="shared" si="0"/>
        <v>2042</v>
      </c>
      <c r="AE7" s="27">
        <f t="shared" si="0"/>
        <v>2043</v>
      </c>
      <c r="AF7" s="27">
        <f t="shared" si="0"/>
        <v>2044</v>
      </c>
      <c r="AG7" s="27">
        <f t="shared" si="0"/>
        <v>2045</v>
      </c>
      <c r="AH7" s="27">
        <f t="shared" si="0"/>
        <v>2046</v>
      </c>
      <c r="AI7" s="27">
        <f t="shared" si="0"/>
        <v>2047</v>
      </c>
      <c r="AJ7" s="27">
        <f t="shared" si="0"/>
        <v>2048</v>
      </c>
      <c r="AK7" s="27">
        <f t="shared" si="0"/>
        <v>2049</v>
      </c>
      <c r="AL7" s="27">
        <f t="shared" si="0"/>
        <v>2050</v>
      </c>
      <c r="AM7" s="27">
        <f t="shared" si="0"/>
        <v>2051</v>
      </c>
      <c r="AN7" s="27">
        <f t="shared" si="0"/>
        <v>2052</v>
      </c>
      <c r="AO7" s="27">
        <f t="shared" si="0"/>
        <v>2053</v>
      </c>
      <c r="AP7" s="27">
        <f t="shared" si="0"/>
        <v>2054</v>
      </c>
      <c r="AQ7" s="27">
        <f t="shared" si="0"/>
        <v>2055</v>
      </c>
      <c r="AR7" s="27">
        <f t="shared" si="0"/>
        <v>2056</v>
      </c>
      <c r="AS7" s="27">
        <f t="shared" si="0"/>
        <v>2057</v>
      </c>
      <c r="AT7" s="27">
        <f t="shared" si="0"/>
        <v>2058</v>
      </c>
      <c r="AU7" s="27">
        <f t="shared" si="0"/>
        <v>2059</v>
      </c>
      <c r="AV7" s="27">
        <f t="shared" si="0"/>
        <v>2060</v>
      </c>
      <c r="AW7" s="27">
        <f t="shared" si="0"/>
        <v>2061</v>
      </c>
      <c r="AX7" s="27">
        <f t="shared" si="0"/>
        <v>2062</v>
      </c>
      <c r="AY7" s="27">
        <f t="shared" si="0"/>
        <v>2063</v>
      </c>
      <c r="AZ7" s="27">
        <f t="shared" si="0"/>
        <v>2064</v>
      </c>
      <c r="BA7" s="27">
        <f t="shared" si="0"/>
        <v>2065</v>
      </c>
      <c r="BB7" s="27">
        <f t="shared" si="0"/>
        <v>2066</v>
      </c>
      <c r="BC7" s="27">
        <f t="shared" si="0"/>
        <v>2067</v>
      </c>
      <c r="BD7" s="27">
        <f t="shared" si="0"/>
        <v>2068</v>
      </c>
      <c r="BE7" s="27">
        <f t="shared" si="0"/>
        <v>2069</v>
      </c>
      <c r="BF7" s="27">
        <f t="shared" si="0"/>
        <v>2070</v>
      </c>
      <c r="BG7" s="27">
        <f t="shared" si="0"/>
        <v>2071</v>
      </c>
      <c r="BH7" s="27">
        <f t="shared" si="0"/>
        <v>2072</v>
      </c>
      <c r="BI7" s="27">
        <f t="shared" si="0"/>
        <v>2073</v>
      </c>
      <c r="BJ7" s="27">
        <f t="shared" si="0"/>
        <v>2074</v>
      </c>
      <c r="BK7" s="27">
        <f t="shared" si="0"/>
        <v>2075</v>
      </c>
      <c r="BL7" s="27">
        <f t="shared" si="0"/>
        <v>2076</v>
      </c>
      <c r="BM7" s="27">
        <f t="shared" si="0"/>
        <v>2077</v>
      </c>
      <c r="BN7" s="27">
        <f t="shared" si="0"/>
        <v>2078</v>
      </c>
      <c r="BO7" s="27">
        <f t="shared" si="0"/>
        <v>2079</v>
      </c>
      <c r="BP7" s="27">
        <f t="shared" si="0"/>
        <v>2080</v>
      </c>
      <c r="BQ7" s="27">
        <f t="shared" si="0"/>
        <v>2081</v>
      </c>
      <c r="BR7" s="27">
        <f t="shared" ref="BR7:BV7" si="1">BQ7+1</f>
        <v>2082</v>
      </c>
      <c r="BS7" s="27">
        <f t="shared" si="1"/>
        <v>2083</v>
      </c>
      <c r="BT7" s="27">
        <f t="shared" si="1"/>
        <v>2084</v>
      </c>
      <c r="BU7" s="27">
        <f t="shared" si="1"/>
        <v>2085</v>
      </c>
      <c r="BV7" s="27">
        <f t="shared" si="1"/>
        <v>2086</v>
      </c>
    </row>
    <row r="8" spans="1:74" ht="15" thickBot="1" x14ac:dyDescent="0.35">
      <c r="A8" s="27"/>
      <c r="B8" s="225"/>
      <c r="C8" s="226" t="str">
        <f>"FY "&amp;C7</f>
        <v>FY 2015</v>
      </c>
      <c r="D8" s="227" t="str">
        <f t="shared" ref="D8:R8" si="2">"FY "&amp;D7</f>
        <v>FY 2016</v>
      </c>
      <c r="E8" s="227" t="str">
        <f t="shared" si="2"/>
        <v>FY 2017</v>
      </c>
      <c r="F8" s="227" t="str">
        <f t="shared" si="2"/>
        <v>FY 2018</v>
      </c>
      <c r="G8" s="227" t="str">
        <f t="shared" si="2"/>
        <v>FY 2019</v>
      </c>
      <c r="H8" s="227" t="str">
        <f t="shared" si="2"/>
        <v>FY 2020</v>
      </c>
      <c r="I8" s="227" t="str">
        <f t="shared" si="2"/>
        <v>FY 2021</v>
      </c>
      <c r="J8" s="227" t="str">
        <f t="shared" si="2"/>
        <v>FY 2022</v>
      </c>
      <c r="K8" s="227" t="str">
        <f t="shared" si="2"/>
        <v>FY 2023</v>
      </c>
      <c r="L8" s="228" t="str">
        <f t="shared" si="2"/>
        <v>FY 2024</v>
      </c>
      <c r="M8" s="229" t="str">
        <f t="shared" si="2"/>
        <v>FY 2025</v>
      </c>
      <c r="N8" s="227" t="str">
        <f t="shared" si="2"/>
        <v>FY 2026</v>
      </c>
      <c r="O8" s="227" t="str">
        <f t="shared" si="2"/>
        <v>FY 2027</v>
      </c>
      <c r="P8" s="227" t="str">
        <f t="shared" si="2"/>
        <v>FY 2028</v>
      </c>
      <c r="Q8" s="228" t="str">
        <f t="shared" si="2"/>
        <v>FY 2029</v>
      </c>
      <c r="R8" s="229" t="str">
        <f t="shared" si="2"/>
        <v>FY 2030</v>
      </c>
      <c r="S8" s="227" t="str">
        <f t="shared" ref="S8" si="3">"FY "&amp;S7</f>
        <v>FY 2031</v>
      </c>
      <c r="T8" s="227" t="str">
        <f t="shared" ref="T8" si="4">"FY "&amp;T7</f>
        <v>FY 2032</v>
      </c>
      <c r="U8" s="227" t="str">
        <f t="shared" ref="U8" si="5">"FY "&amp;U7</f>
        <v>FY 2033</v>
      </c>
      <c r="V8" s="227" t="str">
        <f t="shared" ref="V8" si="6">"FY "&amp;V7</f>
        <v>FY 2034</v>
      </c>
      <c r="W8" s="227" t="str">
        <f t="shared" ref="W8" si="7">"FY "&amp;W7</f>
        <v>FY 2035</v>
      </c>
      <c r="X8" s="227" t="str">
        <f t="shared" ref="X8" si="8">"FY "&amp;X7</f>
        <v>FY 2036</v>
      </c>
      <c r="Y8" s="227" t="str">
        <f t="shared" ref="Y8" si="9">"FY "&amp;Y7</f>
        <v>FY 2037</v>
      </c>
      <c r="Z8" s="227" t="str">
        <f t="shared" ref="Z8" si="10">"FY "&amp;Z7</f>
        <v>FY 2038</v>
      </c>
      <c r="AA8" s="228" t="str">
        <f t="shared" ref="AA8" si="11">"FY "&amp;AA7</f>
        <v>FY 2039</v>
      </c>
      <c r="AB8" s="230" t="s">
        <v>575</v>
      </c>
    </row>
    <row r="9" spans="1:74" x14ac:dyDescent="0.3">
      <c r="B9" s="106" t="s">
        <v>627</v>
      </c>
      <c r="C9" s="87"/>
      <c r="D9" s="144">
        <f>('2. Integrated Finance'!D9-'2. Integrated Finance'!C9)/'2. Integrated Finance'!C9</f>
        <v>0.1123641240534998</v>
      </c>
      <c r="E9" s="144">
        <f>('2. Integrated Finance'!E9-'2. Integrated Finance'!D9)/'2. Integrated Finance'!D9</f>
        <v>5.0239492585346983E-2</v>
      </c>
      <c r="F9" s="144">
        <f>('2. Integrated Finance'!F9-'2. Integrated Finance'!E9)/'2. Integrated Finance'!E9</f>
        <v>0.104199796308539</v>
      </c>
      <c r="G9" s="144">
        <f>('2. Integrated Finance'!G9-'2. Integrated Finance'!F9)/'2. Integrated Finance'!F9</f>
        <v>7.237605938631439E-2</v>
      </c>
      <c r="H9" s="144">
        <f>('2. Integrated Finance'!H9-'2. Integrated Finance'!G9)/'2. Integrated Finance'!G9</f>
        <v>-0.1128162181329832</v>
      </c>
      <c r="I9" s="144">
        <f>('2. Integrated Finance'!I9-'2. Integrated Finance'!H9)/'2. Integrated Finance'!H9</f>
        <v>0.23567480227910531</v>
      </c>
      <c r="J9" s="144">
        <f>('2. Integrated Finance'!J9-'2. Integrated Finance'!I9)/'2. Integrated Finance'!I9</f>
        <v>0.10976029400631786</v>
      </c>
      <c r="K9" s="144">
        <f>('2. Integrated Finance'!K9-'2. Integrated Finance'!J9)/'2. Integrated Finance'!J9</f>
        <v>0.11551210376337583</v>
      </c>
      <c r="L9" s="146">
        <f>('2. Integrated Finance'!L9-'2. Integrated Finance'!K9)/'2. Integrated Finance'!K9</f>
        <v>5.5760015121359627E-3</v>
      </c>
      <c r="M9" s="144">
        <f>AVERAGE($C9:$L9)</f>
        <v>7.6987383973516885E-2</v>
      </c>
      <c r="N9" s="144">
        <f t="shared" ref="N9:AB13" si="12">AVERAGE($C9:$L9)</f>
        <v>7.6987383973516885E-2</v>
      </c>
      <c r="O9" s="144">
        <f t="shared" si="12"/>
        <v>7.6987383973516885E-2</v>
      </c>
      <c r="P9" s="144">
        <f t="shared" si="12"/>
        <v>7.6987383973516885E-2</v>
      </c>
      <c r="Q9" s="146">
        <f t="shared" si="12"/>
        <v>7.6987383973516885E-2</v>
      </c>
      <c r="R9" s="144">
        <f t="shared" si="12"/>
        <v>7.6987383973516885E-2</v>
      </c>
      <c r="S9" s="144">
        <f t="shared" si="12"/>
        <v>7.6987383973516885E-2</v>
      </c>
      <c r="T9" s="144">
        <f t="shared" si="12"/>
        <v>7.6987383973516885E-2</v>
      </c>
      <c r="U9" s="144">
        <f t="shared" si="12"/>
        <v>7.6987383973516885E-2</v>
      </c>
      <c r="V9" s="144">
        <f t="shared" si="12"/>
        <v>7.6987383973516885E-2</v>
      </c>
      <c r="W9" s="144">
        <f t="shared" si="12"/>
        <v>7.6987383973516885E-2</v>
      </c>
      <c r="X9" s="144">
        <f t="shared" si="12"/>
        <v>7.6987383973516885E-2</v>
      </c>
      <c r="Y9" s="144">
        <f t="shared" si="12"/>
        <v>7.6987383973516885E-2</v>
      </c>
      <c r="Z9" s="144">
        <f t="shared" si="12"/>
        <v>7.6987383973516885E-2</v>
      </c>
      <c r="AA9" s="146">
        <f t="shared" si="12"/>
        <v>7.6987383973516885E-2</v>
      </c>
      <c r="AB9" s="151">
        <f t="shared" si="12"/>
        <v>7.6987383973516885E-2</v>
      </c>
    </row>
    <row r="10" spans="1:74" x14ac:dyDescent="0.3">
      <c r="B10" s="119" t="s">
        <v>628</v>
      </c>
      <c r="C10" s="87"/>
      <c r="D10" s="144">
        <f>('2. Integrated Finance'!D10-'2. Integrated Finance'!C10)/'2. Integrated Finance'!C10</f>
        <v>0.10836135366150562</v>
      </c>
      <c r="E10" s="144">
        <f>('2. Integrated Finance'!E10-'2. Integrated Finance'!D10)/'2. Integrated Finance'!D10</f>
        <v>4.7886203477775738E-2</v>
      </c>
      <c r="F10" s="144">
        <f>('2. Integrated Finance'!F10-'2. Integrated Finance'!E10)/'2. Integrated Finance'!E10</f>
        <v>0.11555349079639893</v>
      </c>
      <c r="G10" s="144">
        <f>('2. Integrated Finance'!G10-'2. Integrated Finance'!F10)/'2. Integrated Finance'!F10</f>
        <v>9.4163115848920648E-2</v>
      </c>
      <c r="H10" s="144">
        <f>('2. Integrated Finance'!H10-'2. Integrated Finance'!G10)/'2. Integrated Finance'!G10</f>
        <v>-0.1104602588143556</v>
      </c>
      <c r="I10" s="144">
        <f>('2. Integrated Finance'!I10-'2. Integrated Finance'!H10)/'2. Integrated Finance'!H10</f>
        <v>0.28398192500756614</v>
      </c>
      <c r="J10" s="144">
        <f>('2. Integrated Finance'!J10-'2. Integrated Finance'!I10)/'2. Integrated Finance'!I10</f>
        <v>8.0021944975007059E-2</v>
      </c>
      <c r="K10" s="144">
        <f>('2. Integrated Finance'!K10-'2. Integrated Finance'!J10)/'2. Integrated Finance'!J10</f>
        <v>0.10860133729177723</v>
      </c>
      <c r="L10" s="146">
        <f>('2. Integrated Finance'!L10-'2. Integrated Finance'!K10)/'2. Integrated Finance'!K10</f>
        <v>1.0304694473954925E-2</v>
      </c>
      <c r="M10" s="144">
        <f>AVERAGE($C10:$L10)</f>
        <v>8.20459785242834E-2</v>
      </c>
      <c r="N10" s="144">
        <f t="shared" si="12"/>
        <v>8.20459785242834E-2</v>
      </c>
      <c r="O10" s="144">
        <f t="shared" si="12"/>
        <v>8.20459785242834E-2</v>
      </c>
      <c r="P10" s="144">
        <f t="shared" si="12"/>
        <v>8.20459785242834E-2</v>
      </c>
      <c r="Q10" s="146">
        <f t="shared" si="12"/>
        <v>8.20459785242834E-2</v>
      </c>
      <c r="R10" s="144">
        <f t="shared" si="12"/>
        <v>8.20459785242834E-2</v>
      </c>
      <c r="S10" s="144">
        <f t="shared" si="12"/>
        <v>8.20459785242834E-2</v>
      </c>
      <c r="T10" s="144">
        <f t="shared" si="12"/>
        <v>8.20459785242834E-2</v>
      </c>
      <c r="U10" s="144">
        <f t="shared" si="12"/>
        <v>8.20459785242834E-2</v>
      </c>
      <c r="V10" s="144">
        <f t="shared" si="12"/>
        <v>8.20459785242834E-2</v>
      </c>
      <c r="W10" s="144">
        <f t="shared" si="12"/>
        <v>8.20459785242834E-2</v>
      </c>
      <c r="X10" s="144">
        <f t="shared" si="12"/>
        <v>8.20459785242834E-2</v>
      </c>
      <c r="Y10" s="144">
        <f t="shared" si="12"/>
        <v>8.20459785242834E-2</v>
      </c>
      <c r="Z10" s="144">
        <f t="shared" si="12"/>
        <v>8.20459785242834E-2</v>
      </c>
      <c r="AA10" s="146">
        <f t="shared" si="12"/>
        <v>8.20459785242834E-2</v>
      </c>
      <c r="AB10" s="151">
        <f t="shared" si="12"/>
        <v>8.20459785242834E-2</v>
      </c>
    </row>
    <row r="11" spans="1:74" x14ac:dyDescent="0.3">
      <c r="B11" s="119" t="s">
        <v>629</v>
      </c>
      <c r="C11" s="87"/>
      <c r="D11" s="144">
        <f>('2. Integrated Finance'!D11-'2. Integrated Finance'!C11)/'2. Integrated Finance'!C11</f>
        <v>0.15699017133036131</v>
      </c>
      <c r="E11" s="144">
        <f>('2. Integrated Finance'!E11-'2. Integrated Finance'!D11)/'2. Integrated Finance'!D11</f>
        <v>9.3213257821929352E-2</v>
      </c>
      <c r="F11" s="144">
        <f>('2. Integrated Finance'!F11-'2. Integrated Finance'!E11)/'2. Integrated Finance'!E11</f>
        <v>0.12619957537154983</v>
      </c>
      <c r="G11" s="144">
        <f>('2. Integrated Finance'!G11-'2. Integrated Finance'!F11)/'2. Integrated Finance'!F11</f>
        <v>8.4005731091169669E-2</v>
      </c>
      <c r="H11" s="144">
        <f>('2. Integrated Finance'!H11-'2. Integrated Finance'!G11)/'2. Integrated Finance'!G11</f>
        <v>-0.19057391304347829</v>
      </c>
      <c r="I11" s="144">
        <f>('2. Integrated Finance'!I11-'2. Integrated Finance'!H11)/'2. Integrated Finance'!H11</f>
        <v>0.15319496368871127</v>
      </c>
      <c r="J11" s="144">
        <f>('2. Integrated Finance'!J11-'2. Integrated Finance'!I11)/'2. Integrated Finance'!I11</f>
        <v>0.36216276643314954</v>
      </c>
      <c r="K11" s="144">
        <f>('2. Integrated Finance'!K11-'2. Integrated Finance'!J11)/'2. Integrated Finance'!J11</f>
        <v>0.23449596498427022</v>
      </c>
      <c r="L11" s="146">
        <f>('2. Integrated Finance'!L11-'2. Integrated Finance'!K11)/'2. Integrated Finance'!K11</f>
        <v>-1.6841358831740322E-3</v>
      </c>
      <c r="M11" s="144">
        <f>AVERAGE($C$11:$L$11)</f>
        <v>0.11311159797716543</v>
      </c>
      <c r="N11" s="144">
        <f t="shared" ref="N11:AB11" si="13">AVERAGE($C$11:$L$11)</f>
        <v>0.11311159797716543</v>
      </c>
      <c r="O11" s="144">
        <f t="shared" si="13"/>
        <v>0.11311159797716543</v>
      </c>
      <c r="P11" s="144">
        <f t="shared" si="13"/>
        <v>0.11311159797716543</v>
      </c>
      <c r="Q11" s="146">
        <f t="shared" si="13"/>
        <v>0.11311159797716543</v>
      </c>
      <c r="R11" s="144">
        <f t="shared" si="13"/>
        <v>0.11311159797716543</v>
      </c>
      <c r="S11" s="144">
        <f t="shared" si="13"/>
        <v>0.11311159797716543</v>
      </c>
      <c r="T11" s="144">
        <f t="shared" si="13"/>
        <v>0.11311159797716543</v>
      </c>
      <c r="U11" s="144">
        <f t="shared" si="13"/>
        <v>0.11311159797716543</v>
      </c>
      <c r="V11" s="144">
        <f t="shared" si="13"/>
        <v>0.11311159797716543</v>
      </c>
      <c r="W11" s="144">
        <f t="shared" si="13"/>
        <v>0.11311159797716543</v>
      </c>
      <c r="X11" s="144">
        <f t="shared" si="13"/>
        <v>0.11311159797716543</v>
      </c>
      <c r="Y11" s="144">
        <f t="shared" si="13"/>
        <v>0.11311159797716543</v>
      </c>
      <c r="Z11" s="144">
        <f t="shared" si="13"/>
        <v>0.11311159797716543</v>
      </c>
      <c r="AA11" s="146">
        <f t="shared" si="13"/>
        <v>0.11311159797716543</v>
      </c>
      <c r="AB11" s="151">
        <f t="shared" si="13"/>
        <v>0.11311159797716543</v>
      </c>
    </row>
    <row r="12" spans="1:74" x14ac:dyDescent="0.3">
      <c r="B12" s="119" t="s">
        <v>630</v>
      </c>
      <c r="C12" s="87"/>
      <c r="D12" s="144">
        <f>('2. Integrated Finance'!D12-'2. Integrated Finance'!C12)/'2. Integrated Finance'!C12</f>
        <v>0.10178274304730207</v>
      </c>
      <c r="E12" s="144">
        <f>('2. Integrated Finance'!E12-'2. Integrated Finance'!D12)/'2. Integrated Finance'!D12</f>
        <v>2.7399033482913358E-2</v>
      </c>
      <c r="F12" s="144">
        <f>('2. Integrated Finance'!F12-'2. Integrated Finance'!E12)/'2. Integrated Finance'!E12</f>
        <v>-1.7218932426189195E-3</v>
      </c>
      <c r="G12" s="144">
        <f>('2. Integrated Finance'!G12-'2. Integrated Finance'!F12)/'2. Integrated Finance'!F12</f>
        <v>-0.12107698779974765</v>
      </c>
      <c r="H12" s="144">
        <f>('2. Integrated Finance'!H12-'2. Integrated Finance'!G12)/'2. Integrated Finance'!G12</f>
        <v>-3.0107218073903826E-2</v>
      </c>
      <c r="I12" s="144">
        <f>('2. Integrated Finance'!I12-'2. Integrated Finance'!H12)/'2. Integrated Finance'!H12</f>
        <v>-0.1264866998963628</v>
      </c>
      <c r="J12" s="144">
        <f>('2. Integrated Finance'!J12-'2. Integrated Finance'!I12)/'2. Integrated Finance'!I12</f>
        <v>0.14050847457627122</v>
      </c>
      <c r="K12" s="144">
        <f>('2. Integrated Finance'!K12-'2. Integrated Finance'!J12)/'2. Integrated Finance'!J12</f>
        <v>-8.9661663446773347E-3</v>
      </c>
      <c r="L12" s="146">
        <f>('2. Integrated Finance'!L12-'2. Integrated Finance'!K12)/'2. Integrated Finance'!K12</f>
        <v>-4.7685694291712419E-2</v>
      </c>
      <c r="M12" s="144">
        <f>AVERAGE($C12:$L12)</f>
        <v>-7.3727120602818108E-3</v>
      </c>
      <c r="N12" s="144">
        <f t="shared" si="12"/>
        <v>-7.3727120602818108E-3</v>
      </c>
      <c r="O12" s="144">
        <f t="shared" si="12"/>
        <v>-7.3727120602818108E-3</v>
      </c>
      <c r="P12" s="144">
        <f t="shared" si="12"/>
        <v>-7.3727120602818108E-3</v>
      </c>
      <c r="Q12" s="146">
        <f t="shared" si="12"/>
        <v>-7.3727120602818108E-3</v>
      </c>
      <c r="R12" s="144">
        <f t="shared" si="12"/>
        <v>-7.3727120602818108E-3</v>
      </c>
      <c r="S12" s="144">
        <f t="shared" si="12"/>
        <v>-7.3727120602818108E-3</v>
      </c>
      <c r="T12" s="144">
        <f t="shared" si="12"/>
        <v>-7.3727120602818108E-3</v>
      </c>
      <c r="U12" s="144">
        <f t="shared" si="12"/>
        <v>-7.3727120602818108E-3</v>
      </c>
      <c r="V12" s="144">
        <f t="shared" si="12"/>
        <v>-7.3727120602818108E-3</v>
      </c>
      <c r="W12" s="144">
        <f t="shared" si="12"/>
        <v>-7.3727120602818108E-3</v>
      </c>
      <c r="X12" s="144">
        <f t="shared" si="12"/>
        <v>-7.3727120602818108E-3</v>
      </c>
      <c r="Y12" s="144">
        <f t="shared" si="12"/>
        <v>-7.3727120602818108E-3</v>
      </c>
      <c r="Z12" s="144">
        <f t="shared" si="12"/>
        <v>-7.3727120602818108E-3</v>
      </c>
      <c r="AA12" s="146">
        <f t="shared" si="12"/>
        <v>-7.3727120602818108E-3</v>
      </c>
      <c r="AB12" s="151">
        <f t="shared" si="12"/>
        <v>-7.3727120602818108E-3</v>
      </c>
    </row>
    <row r="13" spans="1:74" x14ac:dyDescent="0.3">
      <c r="B13" s="106" t="s">
        <v>631</v>
      </c>
      <c r="C13" s="145">
        <f>'2. Integrated Finance'!C13/'2. Integrated Finance'!C9</f>
        <v>0.68876515313604036</v>
      </c>
      <c r="D13" s="144">
        <f>'2. Integrated Finance'!D13/'2. Integrated Finance'!D9</f>
        <v>0.68368213399387301</v>
      </c>
      <c r="E13" s="144">
        <f>'2. Integrated Finance'!E13/'2. Integrated Finance'!E9</f>
        <v>0.69470402201297199</v>
      </c>
      <c r="F13" s="144">
        <f>'2. Integrated Finance'!F13/'2. Integrated Finance'!F9</f>
        <v>0.70401504884807542</v>
      </c>
      <c r="G13" s="144">
        <f>'2. Integrated Finance'!G13/'2. Integrated Finance'!G9</f>
        <v>0.7175218608300703</v>
      </c>
      <c r="H13" s="144">
        <f>'2. Integrated Finance'!H13/'2. Integrated Finance'!H9</f>
        <v>0.78488391870056984</v>
      </c>
      <c r="I13" s="144">
        <f>'2. Integrated Finance'!I13/'2. Integrated Finance'!I9</f>
        <v>0.71065291150217136</v>
      </c>
      <c r="J13" s="144">
        <f>'2. Integrated Finance'!J13/'2. Integrated Finance'!J9</f>
        <v>0.74043342232475362</v>
      </c>
      <c r="K13" s="144">
        <f>'2. Integrated Finance'!K13/'2. Integrated Finance'!K9</f>
        <v>0.72630894272784896</v>
      </c>
      <c r="L13" s="146">
        <f>'2. Integrated Finance'!L13/'2. Integrated Finance'!L9</f>
        <v>0.73161636656144091</v>
      </c>
      <c r="M13" s="144">
        <f>AVERAGE($C13:$L13)</f>
        <v>0.71825837806378146</v>
      </c>
      <c r="N13" s="144">
        <f t="shared" si="12"/>
        <v>0.71825837806378146</v>
      </c>
      <c r="O13" s="144">
        <f t="shared" si="12"/>
        <v>0.71825837806378146</v>
      </c>
      <c r="P13" s="144">
        <f t="shared" si="12"/>
        <v>0.71825837806378146</v>
      </c>
      <c r="Q13" s="146">
        <f t="shared" si="12"/>
        <v>0.71825837806378146</v>
      </c>
      <c r="R13" s="144">
        <f t="shared" si="12"/>
        <v>0.71825837806378146</v>
      </c>
      <c r="S13" s="144">
        <f t="shared" si="12"/>
        <v>0.71825837806378146</v>
      </c>
      <c r="T13" s="144">
        <f t="shared" si="12"/>
        <v>0.71825837806378146</v>
      </c>
      <c r="U13" s="144">
        <f t="shared" si="12"/>
        <v>0.71825837806378146</v>
      </c>
      <c r="V13" s="144">
        <f t="shared" si="12"/>
        <v>0.71825837806378146</v>
      </c>
      <c r="W13" s="144">
        <f t="shared" si="12"/>
        <v>0.71825837806378146</v>
      </c>
      <c r="X13" s="144">
        <f t="shared" si="12"/>
        <v>0.71825837806378146</v>
      </c>
      <c r="Y13" s="144">
        <f t="shared" si="12"/>
        <v>0.71825837806378146</v>
      </c>
      <c r="Z13" s="144">
        <f t="shared" si="12"/>
        <v>0.71825837806378146</v>
      </c>
      <c r="AA13" s="146">
        <f t="shared" si="12"/>
        <v>0.71825837806378146</v>
      </c>
      <c r="AB13" s="151">
        <f t="shared" si="12"/>
        <v>0.71825837806378146</v>
      </c>
    </row>
    <row r="14" spans="1:74" ht="15" thickBot="1" x14ac:dyDescent="0.35">
      <c r="B14" s="158" t="s">
        <v>632</v>
      </c>
      <c r="C14" s="159">
        <f>(1-C13)</f>
        <v>0.31123484686395964</v>
      </c>
      <c r="D14" s="160">
        <f t="shared" ref="D14:AB14" si="14">(1-D13)</f>
        <v>0.31631786600612699</v>
      </c>
      <c r="E14" s="160">
        <f t="shared" si="14"/>
        <v>0.30529597798702801</v>
      </c>
      <c r="F14" s="160">
        <f t="shared" si="14"/>
        <v>0.29598495115192458</v>
      </c>
      <c r="G14" s="160">
        <f t="shared" si="14"/>
        <v>0.2824781391699297</v>
      </c>
      <c r="H14" s="160">
        <f t="shared" si="14"/>
        <v>0.21511608129943016</v>
      </c>
      <c r="I14" s="160">
        <f t="shared" si="14"/>
        <v>0.28934708849782864</v>
      </c>
      <c r="J14" s="160">
        <f t="shared" si="14"/>
        <v>0.25956657767524638</v>
      </c>
      <c r="K14" s="160">
        <f t="shared" si="14"/>
        <v>0.27369105727215104</v>
      </c>
      <c r="L14" s="161">
        <f t="shared" si="14"/>
        <v>0.26838363343855909</v>
      </c>
      <c r="M14" s="160">
        <f t="shared" si="14"/>
        <v>0.28174162193621854</v>
      </c>
      <c r="N14" s="160">
        <f t="shared" si="14"/>
        <v>0.28174162193621854</v>
      </c>
      <c r="O14" s="160">
        <f t="shared" si="14"/>
        <v>0.28174162193621854</v>
      </c>
      <c r="P14" s="160">
        <f t="shared" si="14"/>
        <v>0.28174162193621854</v>
      </c>
      <c r="Q14" s="161">
        <f t="shared" si="14"/>
        <v>0.28174162193621854</v>
      </c>
      <c r="R14" s="160">
        <f t="shared" si="14"/>
        <v>0.28174162193621854</v>
      </c>
      <c r="S14" s="160">
        <f t="shared" si="14"/>
        <v>0.28174162193621854</v>
      </c>
      <c r="T14" s="160">
        <f t="shared" si="14"/>
        <v>0.28174162193621854</v>
      </c>
      <c r="U14" s="160">
        <f t="shared" si="14"/>
        <v>0.28174162193621854</v>
      </c>
      <c r="V14" s="160">
        <f t="shared" si="14"/>
        <v>0.28174162193621854</v>
      </c>
      <c r="W14" s="160">
        <f t="shared" si="14"/>
        <v>0.28174162193621854</v>
      </c>
      <c r="X14" s="160">
        <f t="shared" si="14"/>
        <v>0.28174162193621854</v>
      </c>
      <c r="Y14" s="160">
        <f t="shared" si="14"/>
        <v>0.28174162193621854</v>
      </c>
      <c r="Z14" s="160">
        <f t="shared" si="14"/>
        <v>0.28174162193621854</v>
      </c>
      <c r="AA14" s="161">
        <f t="shared" si="14"/>
        <v>0.28174162193621854</v>
      </c>
      <c r="AB14" s="162">
        <f t="shared" si="14"/>
        <v>0.28174162193621854</v>
      </c>
    </row>
    <row r="15" spans="1:74" x14ac:dyDescent="0.3">
      <c r="B15" s="106"/>
      <c r="C15" s="87"/>
      <c r="L15" s="147"/>
      <c r="Q15" s="147"/>
      <c r="AA15" s="147"/>
      <c r="AB15" s="152"/>
    </row>
    <row r="16" spans="1:74" x14ac:dyDescent="0.3">
      <c r="B16" s="106" t="s">
        <v>633</v>
      </c>
      <c r="C16" s="87"/>
      <c r="D16" s="144">
        <f>('2. Integrated Finance'!D22-'2. Integrated Finance'!C22)/'2. Integrated Finance'!C22</f>
        <v>0.25141867013212027</v>
      </c>
      <c r="E16" s="144">
        <f>('2. Integrated Finance'!E22-'2. Integrated Finance'!D22)/'2. Integrated Finance'!D22</f>
        <v>-4.8807504586518939E-3</v>
      </c>
      <c r="F16" s="144">
        <f>('2. Integrated Finance'!F22-'2. Integrated Finance'!E22)/'2. Integrated Finance'!E22</f>
        <v>8.6266870738834003E-2</v>
      </c>
      <c r="G16" s="144">
        <f>('2. Integrated Finance'!G22-'2. Integrated Finance'!F22)/'2. Integrated Finance'!F22</f>
        <v>2.9716920712181287E-2</v>
      </c>
      <c r="H16" s="144">
        <f>('2. Integrated Finance'!H22-'2. Integrated Finance'!G22)/'2. Integrated Finance'!G22</f>
        <v>1.0200273665878898E-2</v>
      </c>
      <c r="I16" s="144">
        <f>('2. Integrated Finance'!I22-'2. Integrated Finance'!H22)/'2. Integrated Finance'!H22</f>
        <v>0.10084964905799776</v>
      </c>
      <c r="J16" s="144">
        <f>('2. Integrated Finance'!J22-'2. Integrated Finance'!I22)/'2. Integrated Finance'!I22</f>
        <v>4.8713646532438426E-2</v>
      </c>
      <c r="K16" s="144">
        <f>('2. Integrated Finance'!K22-'2. Integrated Finance'!J22)/'2. Integrated Finance'!J22</f>
        <v>0.15812490000533305</v>
      </c>
      <c r="L16" s="146">
        <f>('2. Integrated Finance'!L22-'2. Integrated Finance'!K22)/'2. Integrated Finance'!K22</f>
        <v>3.1497513354208924E-2</v>
      </c>
      <c r="M16" s="144">
        <f>AVERAGE($C16:$L16)</f>
        <v>7.9100854860037859E-2</v>
      </c>
      <c r="N16" s="144">
        <f t="shared" ref="N16:AB19" si="15">AVERAGE($C16:$L16)</f>
        <v>7.9100854860037859E-2</v>
      </c>
      <c r="O16" s="144">
        <f t="shared" si="15"/>
        <v>7.9100854860037859E-2</v>
      </c>
      <c r="P16" s="144">
        <f t="shared" si="15"/>
        <v>7.9100854860037859E-2</v>
      </c>
      <c r="Q16" s="146">
        <f t="shared" si="15"/>
        <v>7.9100854860037859E-2</v>
      </c>
      <c r="R16" s="144">
        <f t="shared" si="15"/>
        <v>7.9100854860037859E-2</v>
      </c>
      <c r="S16" s="144">
        <f t="shared" si="15"/>
        <v>7.9100854860037859E-2</v>
      </c>
      <c r="T16" s="144">
        <f t="shared" si="15"/>
        <v>7.9100854860037859E-2</v>
      </c>
      <c r="U16" s="144">
        <f t="shared" si="15"/>
        <v>7.9100854860037859E-2</v>
      </c>
      <c r="V16" s="144">
        <f t="shared" si="15"/>
        <v>7.9100854860037859E-2</v>
      </c>
      <c r="W16" s="144">
        <f t="shared" si="15"/>
        <v>7.9100854860037859E-2</v>
      </c>
      <c r="X16" s="144">
        <f t="shared" si="15"/>
        <v>7.9100854860037859E-2</v>
      </c>
      <c r="Y16" s="144">
        <f t="shared" si="15"/>
        <v>7.9100854860037859E-2</v>
      </c>
      <c r="Z16" s="144">
        <f t="shared" si="15"/>
        <v>7.9100854860037859E-2</v>
      </c>
      <c r="AA16" s="146">
        <f t="shared" si="15"/>
        <v>7.9100854860037859E-2</v>
      </c>
      <c r="AB16" s="151">
        <f t="shared" si="15"/>
        <v>7.9100854860037859E-2</v>
      </c>
    </row>
    <row r="17" spans="1:74" x14ac:dyDescent="0.3">
      <c r="B17" s="119" t="s">
        <v>634</v>
      </c>
      <c r="C17" s="87"/>
      <c r="D17" s="144">
        <f>('2. Integrated Finance'!D19-'2. Integrated Finance'!C19)/'2. Integrated Finance'!C19</f>
        <v>0.16348448687350842</v>
      </c>
      <c r="E17" s="144">
        <f>('2. Integrated Finance'!E19-'2. Integrated Finance'!D19)/'2. Integrated Finance'!D19</f>
        <v>2.0211161387631977E-2</v>
      </c>
      <c r="F17" s="144">
        <f>('2. Integrated Finance'!F19-'2. Integrated Finance'!E19)/'2. Integrated Finance'!E19</f>
        <v>0.16410408042578356</v>
      </c>
      <c r="G17" s="144">
        <f>('2. Integrated Finance'!G19-'2. Integrated Finance'!F19)/'2. Integrated Finance'!F19</f>
        <v>3.0734061468122936E-2</v>
      </c>
      <c r="H17" s="144">
        <f>('2. Integrated Finance'!H19-'2. Integrated Finance'!G19)/'2. Integrated Finance'!G19</f>
        <v>-5.2636766880236545E-2</v>
      </c>
      <c r="I17" s="144">
        <f>('2. Integrated Finance'!I19-'2. Integrated Finance'!H19)/'2. Integrated Finance'!H19</f>
        <v>0.15258557902403494</v>
      </c>
      <c r="J17" s="144">
        <f>('2. Integrated Finance'!J19-'2. Integrated Finance'!I19)/'2. Integrated Finance'!I19</f>
        <v>0.10525840668020754</v>
      </c>
      <c r="K17" s="144">
        <f>('2. Integrated Finance'!K19-'2. Integrated Finance'!J19)/'2. Integrated Finance'!J19</f>
        <v>0.20435333033854702</v>
      </c>
      <c r="L17" s="146">
        <f>('2. Integrated Finance'!L19-'2. Integrated Finance'!K19)/'2. Integrated Finance'!K19</f>
        <v>-0.14438303211149156</v>
      </c>
      <c r="M17" s="144">
        <f>AVERAGE($C17:$L17)</f>
        <v>7.1523478578456479E-2</v>
      </c>
      <c r="N17" s="144">
        <f t="shared" si="15"/>
        <v>7.1523478578456479E-2</v>
      </c>
      <c r="O17" s="144">
        <f t="shared" si="15"/>
        <v>7.1523478578456479E-2</v>
      </c>
      <c r="P17" s="144">
        <f t="shared" si="15"/>
        <v>7.1523478578456479E-2</v>
      </c>
      <c r="Q17" s="146">
        <f t="shared" si="15"/>
        <v>7.1523478578456479E-2</v>
      </c>
      <c r="R17" s="144">
        <f t="shared" si="15"/>
        <v>7.1523478578456479E-2</v>
      </c>
      <c r="S17" s="144">
        <f t="shared" si="15"/>
        <v>7.1523478578456479E-2</v>
      </c>
      <c r="T17" s="144">
        <f t="shared" si="15"/>
        <v>7.1523478578456479E-2</v>
      </c>
      <c r="U17" s="144">
        <f t="shared" si="15"/>
        <v>7.1523478578456479E-2</v>
      </c>
      <c r="V17" s="144">
        <f t="shared" si="15"/>
        <v>7.1523478578456479E-2</v>
      </c>
      <c r="W17" s="144">
        <f t="shared" si="15"/>
        <v>7.1523478578456479E-2</v>
      </c>
      <c r="X17" s="144">
        <f t="shared" si="15"/>
        <v>7.1523478578456479E-2</v>
      </c>
      <c r="Y17" s="144">
        <f t="shared" si="15"/>
        <v>7.1523478578456479E-2</v>
      </c>
      <c r="Z17" s="144">
        <f t="shared" si="15"/>
        <v>7.1523478578456479E-2</v>
      </c>
      <c r="AA17" s="146">
        <f t="shared" si="15"/>
        <v>7.1523478578456479E-2</v>
      </c>
      <c r="AB17" s="151">
        <f t="shared" si="15"/>
        <v>7.1523478578456479E-2</v>
      </c>
    </row>
    <row r="18" spans="1:74" x14ac:dyDescent="0.3">
      <c r="B18" s="119" t="s">
        <v>635</v>
      </c>
      <c r="C18" s="87"/>
      <c r="D18" s="144">
        <f>('2. Integrated Finance'!D20-'2. Integrated Finance'!C20)/'2. Integrated Finance'!C20</f>
        <v>9.7214453518290611E-2</v>
      </c>
      <c r="E18" s="144">
        <f>('2. Integrated Finance'!E20-'2. Integrated Finance'!D20)/'2. Integrated Finance'!D20</f>
        <v>3.1199021207177838E-2</v>
      </c>
      <c r="F18" s="144">
        <f>('2. Integrated Finance'!F20-'2. Integrated Finance'!E20)/'2. Integrated Finance'!E20</f>
        <v>0.2329444334585723</v>
      </c>
      <c r="G18" s="144">
        <f>('2. Integrated Finance'!G20-'2. Integrated Finance'!F20)/'2. Integrated Finance'!F20</f>
        <v>0.10449077786688048</v>
      </c>
      <c r="H18" s="144">
        <f>('2. Integrated Finance'!H20-'2. Integrated Finance'!G20)/'2. Integrated Finance'!G20</f>
        <v>3.9207144412981926E-2</v>
      </c>
      <c r="I18" s="144">
        <f>('2. Integrated Finance'!I20-'2. Integrated Finance'!H20)/'2. Integrated Finance'!H20</f>
        <v>7.2661217075386652E-3</v>
      </c>
      <c r="J18" s="144">
        <f>('2. Integrated Finance'!J20-'2. Integrated Finance'!I20)/'2. Integrated Finance'!I20</f>
        <v>4.3004786016508601E-3</v>
      </c>
      <c r="K18" s="144">
        <f>('2. Integrated Finance'!K20-'2. Integrated Finance'!J20)/'2. Integrated Finance'!J20</f>
        <v>-5.8912908350024294E-2</v>
      </c>
      <c r="L18" s="146">
        <f>('2. Integrated Finance'!L20-'2. Integrated Finance'!K20)/'2. Integrated Finance'!K20</f>
        <v>0.11008366358432409</v>
      </c>
      <c r="M18" s="144">
        <f t="shared" ref="M18:M19" si="16">AVERAGE($C18:$L18)</f>
        <v>6.3088131778599163E-2</v>
      </c>
      <c r="N18" s="144">
        <f t="shared" si="15"/>
        <v>6.3088131778599163E-2</v>
      </c>
      <c r="O18" s="144">
        <f t="shared" si="15"/>
        <v>6.3088131778599163E-2</v>
      </c>
      <c r="P18" s="144">
        <f t="shared" si="15"/>
        <v>6.3088131778599163E-2</v>
      </c>
      <c r="Q18" s="146">
        <f t="shared" si="15"/>
        <v>6.3088131778599163E-2</v>
      </c>
      <c r="R18" s="144">
        <f t="shared" si="15"/>
        <v>6.3088131778599163E-2</v>
      </c>
      <c r="S18" s="144">
        <f t="shared" si="15"/>
        <v>6.3088131778599163E-2</v>
      </c>
      <c r="T18" s="144">
        <f t="shared" si="15"/>
        <v>6.3088131778599163E-2</v>
      </c>
      <c r="U18" s="144">
        <f t="shared" si="15"/>
        <v>6.3088131778599163E-2</v>
      </c>
      <c r="V18" s="144">
        <f t="shared" si="15"/>
        <v>6.3088131778599163E-2</v>
      </c>
      <c r="W18" s="144">
        <f t="shared" si="15"/>
        <v>6.3088131778599163E-2</v>
      </c>
      <c r="X18" s="144">
        <f t="shared" si="15"/>
        <v>6.3088131778599163E-2</v>
      </c>
      <c r="Y18" s="144">
        <f t="shared" si="15"/>
        <v>6.3088131778599163E-2</v>
      </c>
      <c r="Z18" s="144">
        <f t="shared" si="15"/>
        <v>6.3088131778599163E-2</v>
      </c>
      <c r="AA18" s="146">
        <f t="shared" si="15"/>
        <v>6.3088131778599163E-2</v>
      </c>
      <c r="AB18" s="151">
        <f t="shared" si="15"/>
        <v>6.3088131778599163E-2</v>
      </c>
    </row>
    <row r="19" spans="1:74" x14ac:dyDescent="0.3">
      <c r="B19" s="119" t="s">
        <v>636</v>
      </c>
      <c r="C19" s="87"/>
      <c r="D19" s="144">
        <f>('2. Integrated Finance'!D21-'2. Integrated Finance'!C21)/'2. Integrated Finance'!C21</f>
        <v>-26.060000000000002</v>
      </c>
      <c r="E19" s="144">
        <f>('2. Integrated Finance'!E21-'2. Integrated Finance'!D21)/'2. Integrated Finance'!D21</f>
        <v>-0.31205107741420585</v>
      </c>
      <c r="F19" s="144">
        <f>('2. Integrated Finance'!F21-'2. Integrated Finance'!E21)/'2. Integrated Finance'!E21</f>
        <v>-1.5377030162412995</v>
      </c>
      <c r="G19" s="144">
        <f>('2. Integrated Finance'!G21-'2. Integrated Finance'!F21)/'2. Integrated Finance'!F21</f>
        <v>1.0571736785329016</v>
      </c>
      <c r="H19" s="144">
        <f>('2. Integrated Finance'!H21-'2. Integrated Finance'!G21)/'2. Integrated Finance'!G21</f>
        <v>-0.44887257472469849</v>
      </c>
      <c r="I19" s="144">
        <f>('2. Integrated Finance'!I21-'2. Integrated Finance'!H21)/'2. Integrated Finance'!H21</f>
        <v>-0.22740247383444331</v>
      </c>
      <c r="J19" s="144">
        <f>('2. Integrated Finance'!J21-'2. Integrated Finance'!I21)/'2. Integrated Finance'!I21</f>
        <v>0.80295566502463056</v>
      </c>
      <c r="K19" s="144">
        <f>('2. Integrated Finance'!K21-'2. Integrated Finance'!J21)/'2. Integrated Finance'!J21</f>
        <v>-1.2151639344262295</v>
      </c>
      <c r="L19" s="146">
        <f>('2. Integrated Finance'!L21-'2. Integrated Finance'!K21)/'2. Integrated Finance'!K21</f>
        <v>13.0984126984127</v>
      </c>
      <c r="M19" s="144">
        <f t="shared" si="16"/>
        <v>-1.6491834482967385</v>
      </c>
      <c r="N19" s="144">
        <f t="shared" si="15"/>
        <v>-1.6491834482967385</v>
      </c>
      <c r="O19" s="144">
        <f t="shared" si="15"/>
        <v>-1.6491834482967385</v>
      </c>
      <c r="P19" s="144">
        <f t="shared" si="15"/>
        <v>-1.6491834482967385</v>
      </c>
      <c r="Q19" s="146">
        <f t="shared" si="15"/>
        <v>-1.6491834482967385</v>
      </c>
      <c r="R19" s="144">
        <f t="shared" si="15"/>
        <v>-1.6491834482967385</v>
      </c>
      <c r="S19" s="144">
        <f t="shared" si="15"/>
        <v>-1.6491834482967385</v>
      </c>
      <c r="T19" s="144">
        <f t="shared" si="15"/>
        <v>-1.6491834482967385</v>
      </c>
      <c r="U19" s="144">
        <f t="shared" si="15"/>
        <v>-1.6491834482967385</v>
      </c>
      <c r="V19" s="144">
        <f t="shared" si="15"/>
        <v>-1.6491834482967385</v>
      </c>
      <c r="W19" s="144">
        <f t="shared" si="15"/>
        <v>-1.6491834482967385</v>
      </c>
      <c r="X19" s="144">
        <f t="shared" si="15"/>
        <v>-1.6491834482967385</v>
      </c>
      <c r="Y19" s="144">
        <f t="shared" si="15"/>
        <v>-1.6491834482967385</v>
      </c>
      <c r="Z19" s="144">
        <f t="shared" si="15"/>
        <v>-1.6491834482967385</v>
      </c>
      <c r="AA19" s="146">
        <f t="shared" si="15"/>
        <v>-1.6491834482967385</v>
      </c>
      <c r="AB19" s="151">
        <f t="shared" si="15"/>
        <v>-1.6491834482967385</v>
      </c>
    </row>
    <row r="20" spans="1:74" ht="15" thickBot="1" x14ac:dyDescent="0.35">
      <c r="B20" s="158" t="s">
        <v>637</v>
      </c>
      <c r="C20" s="159">
        <f>'2. Integrated Finance'!C24/'2. Integrated Finance'!C9</f>
        <v>0.19076643687998038</v>
      </c>
      <c r="D20" s="160">
        <f>'2. Integrated Finance'!D24/'2. Integrated Finance'!D9</f>
        <v>0.19571775059931798</v>
      </c>
      <c r="E20" s="160">
        <f>'2. Integrated Finance'!E24/'2. Integrated Finance'!E9</f>
        <v>0.19436453624457262</v>
      </c>
      <c r="F20" s="160">
        <f>'2. Integrated Finance'!F24/'2. Integrated Finance'!F9</f>
        <v>0.18184024757782311</v>
      </c>
      <c r="G20" s="160">
        <f>'2. Integrated Finance'!G24/'2. Integrated Finance'!G9</f>
        <v>0.17241574432448331</v>
      </c>
      <c r="H20" s="160">
        <f>'2. Integrated Finance'!H24/'2. Integrated Finance'!H9</f>
        <v>9.0704991921081654E-2</v>
      </c>
      <c r="I20" s="160">
        <f>'2. Integrated Finance'!I24/'2. Integrated Finance'!I9</f>
        <v>0.17955238363970455</v>
      </c>
      <c r="J20" s="160">
        <f>'2. Integrated Finance'!J24/'2. Integrated Finance'!J9</f>
        <v>0.15054123527533075</v>
      </c>
      <c r="K20" s="160">
        <f>'2. Integrated Finance'!K24/'2. Integrated Finance'!K9</f>
        <v>0.16125929796862309</v>
      </c>
      <c r="L20" s="161">
        <f>'2. Integrated Finance'!L24/'2. Integrated Finance'!L9</f>
        <v>0.15287122472785974</v>
      </c>
      <c r="M20" s="160">
        <f>'2. Integrated Finance'!M24/'2. Integrated Finance'!M9</f>
        <v>0.1788753922353121</v>
      </c>
      <c r="N20" s="160">
        <f>'2. Integrated Finance'!N24/'2. Integrated Finance'!N9</f>
        <v>0.16843919645011271</v>
      </c>
      <c r="O20" s="160">
        <f>'2. Integrated Finance'!O24/'2. Integrated Finance'!O9</f>
        <v>0.17690325749585939</v>
      </c>
      <c r="P20" s="160">
        <f>'2. Integrated Finance'!P24/'2. Integrated Finance'!P9</f>
        <v>0.17406963168810508</v>
      </c>
      <c r="Q20" s="161">
        <f>'2. Integrated Finance'!Q24/'2. Integrated Finance'!Q9</f>
        <v>0.17804660217815763</v>
      </c>
      <c r="R20" s="160">
        <f>'2. Integrated Finance'!R24/'2. Integrated Finance'!R9</f>
        <v>0.17797042067216137</v>
      </c>
      <c r="S20" s="160">
        <f>'2. Integrated Finance'!S24/'2. Integrated Finance'!S9</f>
        <v>0.18034734400394672</v>
      </c>
      <c r="T20" s="160">
        <f>'2. Integrated Finance'!T24/'2. Integrated Finance'!T9</f>
        <v>0.18127422039509763</v>
      </c>
      <c r="U20" s="160">
        <f>'2. Integrated Finance'!U24/'2. Integrated Finance'!U9</f>
        <v>0.18308443685828008</v>
      </c>
      <c r="V20" s="160">
        <f>'2. Integrated Finance'!V24/'2. Integrated Finance'!V9</f>
        <v>0.18437682305157979</v>
      </c>
      <c r="W20" s="160">
        <f>'2. Integrated Finance'!W24/'2. Integrated Finance'!W9</f>
        <v>0.18598640124741089</v>
      </c>
      <c r="X20" s="160">
        <f>'2. Integrated Finance'!X24/'2. Integrated Finance'!X9</f>
        <v>0.18741016179317332</v>
      </c>
      <c r="Y20" s="160">
        <f>'2. Integrated Finance'!Y24/'2. Integrated Finance'!Y9</f>
        <v>0.18894598425548909</v>
      </c>
      <c r="Z20" s="160">
        <f>'2. Integrated Finance'!Z24/'2. Integrated Finance'!Z9</f>
        <v>0.19041297556053807</v>
      </c>
      <c r="AA20" s="161">
        <f>'2. Integrated Finance'!AA24/'2. Integrated Finance'!AA9</f>
        <v>0.19191680941487299</v>
      </c>
      <c r="AB20" s="162">
        <f>'2. Integrated Finance'!AB24/'2. Integrated Finance'!AB9</f>
        <v>0.19339207896473404</v>
      </c>
    </row>
    <row r="21" spans="1:74" x14ac:dyDescent="0.3">
      <c r="B21" s="106"/>
      <c r="C21" s="87"/>
      <c r="L21" s="147"/>
      <c r="Q21" s="147"/>
      <c r="AA21" s="147"/>
      <c r="AB21" s="152"/>
    </row>
    <row r="22" spans="1:74" x14ac:dyDescent="0.3">
      <c r="B22" s="106" t="s">
        <v>301</v>
      </c>
      <c r="C22" s="145">
        <f>'2. Integrated Finance'!C39/'2. Integrated Finance'!C37</f>
        <v>0.29303100179349217</v>
      </c>
      <c r="D22" s="144">
        <f>'2. Integrated Finance'!D39/'2. Integrated Finance'!D37</f>
        <v>0.32860953651217056</v>
      </c>
      <c r="E22" s="144">
        <f>'2. Integrated Finance'!E39/'2. Integrated Finance'!E37</f>
        <v>0.33181239143022595</v>
      </c>
      <c r="F22" s="144">
        <f>'2. Integrated Finance'!F39/'2. Integrated Finance'!F37</f>
        <v>0.21833910034602083</v>
      </c>
      <c r="G22" s="144">
        <f>'2. Integrated Finance'!G39/'2. Integrated Finance'!G37</f>
        <v>0.19515471765706874</v>
      </c>
      <c r="H22" s="144">
        <f>'2. Integrated Finance'!H39/'2. Integrated Finance'!H37</f>
        <v>0.20585709378220568</v>
      </c>
      <c r="I22" s="144">
        <f>'2. Integrated Finance'!I39/'2. Integrated Finance'!I37</f>
        <v>0.21590845451660481</v>
      </c>
      <c r="J22" s="144">
        <f>'2. Integrated Finance'!J39/'2. Integrated Finance'!J37</f>
        <v>0.22413100498594013</v>
      </c>
      <c r="K22" s="144">
        <f>'2. Integrated Finance'!K39/'2. Integrated Finance'!K37</f>
        <v>0.23643532831040945</v>
      </c>
      <c r="L22" s="146">
        <f>'2. Integrated Finance'!L39/'2. Integrated Finance'!L37</f>
        <v>0.24293705730843532</v>
      </c>
      <c r="M22" s="144">
        <f>AVERAGE($F$22:$L$22)</f>
        <v>0.2198232509866693</v>
      </c>
      <c r="N22" s="144">
        <f t="shared" ref="N22:AB22" si="17">AVERAGE($F$22:$L$22)</f>
        <v>0.2198232509866693</v>
      </c>
      <c r="O22" s="144">
        <f t="shared" si="17"/>
        <v>0.2198232509866693</v>
      </c>
      <c r="P22" s="144">
        <f t="shared" si="17"/>
        <v>0.2198232509866693</v>
      </c>
      <c r="Q22" s="146">
        <f t="shared" si="17"/>
        <v>0.2198232509866693</v>
      </c>
      <c r="R22" s="144">
        <f t="shared" si="17"/>
        <v>0.2198232509866693</v>
      </c>
      <c r="S22" s="144">
        <f t="shared" si="17"/>
        <v>0.2198232509866693</v>
      </c>
      <c r="T22" s="144">
        <f t="shared" si="17"/>
        <v>0.2198232509866693</v>
      </c>
      <c r="U22" s="144">
        <f t="shared" si="17"/>
        <v>0.2198232509866693</v>
      </c>
      <c r="V22" s="144">
        <f t="shared" si="17"/>
        <v>0.2198232509866693</v>
      </c>
      <c r="W22" s="144">
        <f t="shared" si="17"/>
        <v>0.2198232509866693</v>
      </c>
      <c r="X22" s="144">
        <f t="shared" si="17"/>
        <v>0.2198232509866693</v>
      </c>
      <c r="Y22" s="144">
        <f t="shared" si="17"/>
        <v>0.2198232509866693</v>
      </c>
      <c r="Z22" s="144">
        <f t="shared" si="17"/>
        <v>0.2198232509866693</v>
      </c>
      <c r="AA22" s="146">
        <f t="shared" si="17"/>
        <v>0.2198232509866693</v>
      </c>
      <c r="AB22" s="151">
        <f t="shared" si="17"/>
        <v>0.2198232509866693</v>
      </c>
    </row>
    <row r="23" spans="1:74" x14ac:dyDescent="0.3">
      <c r="B23" s="106" t="s">
        <v>638</v>
      </c>
      <c r="C23" s="145">
        <f>'5. Re-org Fin Stmts'!C26/'2. Integrated Finance'!C9</f>
        <v>4.4038679309283138E-2</v>
      </c>
      <c r="D23" s="144">
        <f>'5. Re-org Fin Stmts'!D26/'2. Integrated Finance'!D9</f>
        <v>4.3324466712641736E-2</v>
      </c>
      <c r="E23" s="144">
        <f>'5. Re-org Fin Stmts'!E26/'2. Integrated Finance'!E9</f>
        <v>4.2609930852109276E-2</v>
      </c>
      <c r="F23" s="144">
        <f>'5. Re-org Fin Stmts'!F26/'2. Integrated Finance'!F9</f>
        <v>4.2901353182710003E-2</v>
      </c>
      <c r="G23" s="144">
        <f>'5. Re-org Fin Stmts'!G26/'2. Integrated Finance'!G9</f>
        <v>4.3174667843643197E-2</v>
      </c>
      <c r="H23" s="144">
        <f>'5. Re-org Fin Stmts'!H26/'2. Integrated Finance'!H9</f>
        <v>5.1347903733310649E-2</v>
      </c>
      <c r="I23" s="144">
        <f>'5. Re-org Fin Stmts'!I26/'2. Integrated Finance'!I9</f>
        <v>4.1922740755524664E-2</v>
      </c>
      <c r="J23" s="144">
        <f>'5. Re-org Fin Stmts'!J26/'2. Integrated Finance'!J9</f>
        <v>3.892056818076111E-2</v>
      </c>
      <c r="K23" s="144">
        <f>'5. Re-org Fin Stmts'!K26/'2. Integrated Finance'!K9</f>
        <v>3.7278044007605156E-2</v>
      </c>
      <c r="L23" s="146">
        <f>'5. Re-org Fin Stmts'!L26/'2. Integrated Finance'!L9</f>
        <v>4.1248113400523E-2</v>
      </c>
      <c r="M23" s="144">
        <f>AVERAGE($C23:$L23)</f>
        <v>4.2676646797811191E-2</v>
      </c>
      <c r="N23" s="144">
        <f t="shared" ref="N23:AB23" si="18">AVERAGE($C23:$L23)</f>
        <v>4.2676646797811191E-2</v>
      </c>
      <c r="O23" s="144">
        <f t="shared" si="18"/>
        <v>4.2676646797811191E-2</v>
      </c>
      <c r="P23" s="144">
        <f t="shared" si="18"/>
        <v>4.2676646797811191E-2</v>
      </c>
      <c r="Q23" s="146">
        <f t="shared" si="18"/>
        <v>4.2676646797811191E-2</v>
      </c>
      <c r="R23" s="144">
        <f t="shared" si="18"/>
        <v>4.2676646797811191E-2</v>
      </c>
      <c r="S23" s="144">
        <f t="shared" si="18"/>
        <v>4.2676646797811191E-2</v>
      </c>
      <c r="T23" s="144">
        <f t="shared" si="18"/>
        <v>4.2676646797811191E-2</v>
      </c>
      <c r="U23" s="144">
        <f t="shared" si="18"/>
        <v>4.2676646797811191E-2</v>
      </c>
      <c r="V23" s="144">
        <f t="shared" si="18"/>
        <v>4.2676646797811191E-2</v>
      </c>
      <c r="W23" s="144">
        <f t="shared" si="18"/>
        <v>4.2676646797811191E-2</v>
      </c>
      <c r="X23" s="144">
        <f t="shared" si="18"/>
        <v>4.2676646797811191E-2</v>
      </c>
      <c r="Y23" s="144">
        <f t="shared" si="18"/>
        <v>4.2676646797811191E-2</v>
      </c>
      <c r="Z23" s="144">
        <f t="shared" si="18"/>
        <v>4.2676646797811191E-2</v>
      </c>
      <c r="AA23" s="146">
        <f t="shared" si="18"/>
        <v>4.2676646797811191E-2</v>
      </c>
      <c r="AB23" s="151">
        <f t="shared" si="18"/>
        <v>4.2676646797811191E-2</v>
      </c>
    </row>
    <row r="24" spans="1:74" ht="15" thickBot="1" x14ac:dyDescent="0.35">
      <c r="B24" s="106"/>
      <c r="C24" s="87"/>
      <c r="L24" s="147"/>
      <c r="Q24" s="147"/>
      <c r="AA24" s="147"/>
      <c r="AB24" s="152"/>
    </row>
    <row r="25" spans="1:74" ht="15" customHeight="1" x14ac:dyDescent="0.3">
      <c r="B25" s="311" t="s">
        <v>597</v>
      </c>
      <c r="C25" s="312"/>
      <c r="D25" s="312"/>
      <c r="E25" s="312"/>
      <c r="F25" s="312"/>
      <c r="G25" s="312"/>
      <c r="H25" s="312"/>
      <c r="I25" s="312"/>
      <c r="J25" s="312"/>
      <c r="K25" s="312"/>
      <c r="L25" s="312"/>
      <c r="M25" s="312"/>
      <c r="N25" s="312"/>
      <c r="O25" s="312"/>
      <c r="P25" s="312"/>
      <c r="Q25" s="312"/>
      <c r="R25" s="312"/>
      <c r="S25" s="312"/>
      <c r="T25" s="312"/>
      <c r="U25" s="312"/>
      <c r="V25" s="312"/>
      <c r="W25" s="312"/>
      <c r="X25" s="312"/>
      <c r="Y25" s="312"/>
      <c r="Z25" s="312"/>
      <c r="AA25" s="312"/>
      <c r="AB25" s="313"/>
    </row>
    <row r="26" spans="1:74" ht="15" customHeight="1" x14ac:dyDescent="0.3">
      <c r="A26" s="27"/>
      <c r="B26" s="223" t="s">
        <v>570</v>
      </c>
      <c r="C26" s="314" t="s">
        <v>571</v>
      </c>
      <c r="D26" s="315"/>
      <c r="E26" s="315"/>
      <c r="F26" s="315"/>
      <c r="G26" s="315"/>
      <c r="H26" s="315"/>
      <c r="I26" s="315"/>
      <c r="J26" s="315"/>
      <c r="K26" s="315"/>
      <c r="L26" s="316"/>
      <c r="M26" s="308" t="s">
        <v>572</v>
      </c>
      <c r="N26" s="309"/>
      <c r="O26" s="309"/>
      <c r="P26" s="309"/>
      <c r="Q26" s="310"/>
      <c r="R26" s="308" t="s">
        <v>573</v>
      </c>
      <c r="S26" s="309"/>
      <c r="T26" s="309"/>
      <c r="U26" s="309"/>
      <c r="V26" s="309"/>
      <c r="W26" s="309"/>
      <c r="X26" s="309"/>
      <c r="Y26" s="309"/>
      <c r="Z26" s="309"/>
      <c r="AA26" s="310"/>
      <c r="AB26" s="224" t="s">
        <v>574</v>
      </c>
    </row>
    <row r="27" spans="1:74" ht="14.4" hidden="1" customHeight="1" x14ac:dyDescent="0.3">
      <c r="A27" s="27"/>
      <c r="B27" s="127"/>
      <c r="C27" s="129">
        <f>2015</f>
        <v>2015</v>
      </c>
      <c r="D27" s="69">
        <f>C27+1</f>
        <v>2016</v>
      </c>
      <c r="E27" s="69">
        <f>D27+1</f>
        <v>2017</v>
      </c>
      <c r="F27" s="69">
        <f t="shared" ref="F27" si="19">E27+1</f>
        <v>2018</v>
      </c>
      <c r="G27" s="69">
        <f t="shared" ref="G27" si="20">F27+1</f>
        <v>2019</v>
      </c>
      <c r="H27" s="69">
        <f t="shared" ref="H27" si="21">G27+1</f>
        <v>2020</v>
      </c>
      <c r="I27" s="69">
        <f t="shared" ref="I27" si="22">H27+1</f>
        <v>2021</v>
      </c>
      <c r="J27" s="69">
        <f t="shared" ref="J27" si="23">I27+1</f>
        <v>2022</v>
      </c>
      <c r="K27" s="69">
        <f t="shared" ref="K27" si="24">J27+1</f>
        <v>2023</v>
      </c>
      <c r="L27" s="82">
        <f t="shared" ref="L27" si="25">K27+1</f>
        <v>2024</v>
      </c>
      <c r="M27" s="128">
        <f t="shared" ref="M27" si="26">L27+1</f>
        <v>2025</v>
      </c>
      <c r="N27" s="69">
        <f t="shared" ref="N27" si="27">M27+1</f>
        <v>2026</v>
      </c>
      <c r="O27" s="69">
        <f t="shared" ref="O27" si="28">N27+1</f>
        <v>2027</v>
      </c>
      <c r="P27" s="69">
        <f t="shared" ref="P27" si="29">O27+1</f>
        <v>2028</v>
      </c>
      <c r="Q27" s="82">
        <f t="shared" ref="Q27" si="30">P27+1</f>
        <v>2029</v>
      </c>
      <c r="R27" s="128">
        <f t="shared" ref="R27" si="31">Q27+1</f>
        <v>2030</v>
      </c>
      <c r="S27" s="69">
        <f t="shared" ref="S27" si="32">R27+1</f>
        <v>2031</v>
      </c>
      <c r="T27" s="69">
        <f t="shared" ref="T27" si="33">S27+1</f>
        <v>2032</v>
      </c>
      <c r="U27" s="69">
        <f t="shared" ref="U27" si="34">T27+1</f>
        <v>2033</v>
      </c>
      <c r="V27" s="69">
        <f t="shared" ref="V27" si="35">U27+1</f>
        <v>2034</v>
      </c>
      <c r="W27" s="69">
        <f t="shared" ref="W27" si="36">V27+1</f>
        <v>2035</v>
      </c>
      <c r="X27" s="69">
        <f t="shared" ref="X27" si="37">W27+1</f>
        <v>2036</v>
      </c>
      <c r="Y27" s="69">
        <f t="shared" ref="Y27" si="38">X27+1</f>
        <v>2037</v>
      </c>
      <c r="Z27" s="69">
        <f t="shared" ref="Z27" si="39">Y27+1</f>
        <v>2038</v>
      </c>
      <c r="AA27" s="82">
        <f t="shared" ref="AA27" si="40">Z27+1</f>
        <v>2039</v>
      </c>
      <c r="AB27" s="139">
        <f t="shared" ref="AB27" si="41">AA27+1</f>
        <v>2040</v>
      </c>
      <c r="AC27" s="27">
        <f t="shared" ref="AC27" si="42">AB27+1</f>
        <v>2041</v>
      </c>
      <c r="AD27" s="27">
        <f t="shared" ref="AD27" si="43">AC27+1</f>
        <v>2042</v>
      </c>
      <c r="AE27" s="27">
        <f t="shared" ref="AE27" si="44">AD27+1</f>
        <v>2043</v>
      </c>
      <c r="AF27" s="27">
        <f t="shared" ref="AF27" si="45">AE27+1</f>
        <v>2044</v>
      </c>
      <c r="AG27" s="27">
        <f t="shared" ref="AG27" si="46">AF27+1</f>
        <v>2045</v>
      </c>
      <c r="AH27" s="27">
        <f t="shared" ref="AH27" si="47">AG27+1</f>
        <v>2046</v>
      </c>
      <c r="AI27" s="27">
        <f t="shared" ref="AI27" si="48">AH27+1</f>
        <v>2047</v>
      </c>
      <c r="AJ27" s="27">
        <f t="shared" ref="AJ27" si="49">AI27+1</f>
        <v>2048</v>
      </c>
      <c r="AK27" s="27">
        <f t="shared" ref="AK27" si="50">AJ27+1</f>
        <v>2049</v>
      </c>
      <c r="AL27" s="27">
        <f t="shared" ref="AL27" si="51">AK27+1</f>
        <v>2050</v>
      </c>
      <c r="AM27" s="27">
        <f t="shared" ref="AM27" si="52">AL27+1</f>
        <v>2051</v>
      </c>
      <c r="AN27" s="27">
        <f t="shared" ref="AN27" si="53">AM27+1</f>
        <v>2052</v>
      </c>
      <c r="AO27" s="27">
        <f t="shared" ref="AO27" si="54">AN27+1</f>
        <v>2053</v>
      </c>
      <c r="AP27" s="27">
        <f t="shared" ref="AP27" si="55">AO27+1</f>
        <v>2054</v>
      </c>
      <c r="AQ27" s="27">
        <f t="shared" ref="AQ27" si="56">AP27+1</f>
        <v>2055</v>
      </c>
      <c r="AR27" s="27">
        <f t="shared" ref="AR27" si="57">AQ27+1</f>
        <v>2056</v>
      </c>
      <c r="AS27" s="27">
        <f t="shared" ref="AS27" si="58">AR27+1</f>
        <v>2057</v>
      </c>
      <c r="AT27" s="27">
        <f t="shared" ref="AT27" si="59">AS27+1</f>
        <v>2058</v>
      </c>
      <c r="AU27" s="27">
        <f t="shared" ref="AU27" si="60">AT27+1</f>
        <v>2059</v>
      </c>
      <c r="AV27" s="27">
        <f t="shared" ref="AV27" si="61">AU27+1</f>
        <v>2060</v>
      </c>
      <c r="AW27" s="27">
        <f t="shared" ref="AW27" si="62">AV27+1</f>
        <v>2061</v>
      </c>
      <c r="AX27" s="27">
        <f t="shared" ref="AX27" si="63">AW27+1</f>
        <v>2062</v>
      </c>
      <c r="AY27" s="27">
        <f t="shared" ref="AY27" si="64">AX27+1</f>
        <v>2063</v>
      </c>
      <c r="AZ27" s="27">
        <f t="shared" ref="AZ27" si="65">AY27+1</f>
        <v>2064</v>
      </c>
      <c r="BA27" s="27">
        <f t="shared" ref="BA27" si="66">AZ27+1</f>
        <v>2065</v>
      </c>
      <c r="BB27" s="27">
        <f t="shared" ref="BB27" si="67">BA27+1</f>
        <v>2066</v>
      </c>
      <c r="BC27" s="27">
        <f t="shared" ref="BC27" si="68">BB27+1</f>
        <v>2067</v>
      </c>
      <c r="BD27" s="27">
        <f t="shared" ref="BD27" si="69">BC27+1</f>
        <v>2068</v>
      </c>
      <c r="BE27" s="27">
        <f t="shared" ref="BE27" si="70">BD27+1</f>
        <v>2069</v>
      </c>
      <c r="BF27" s="27">
        <f t="shared" ref="BF27" si="71">BE27+1</f>
        <v>2070</v>
      </c>
      <c r="BG27" s="27">
        <f t="shared" ref="BG27" si="72">BF27+1</f>
        <v>2071</v>
      </c>
      <c r="BH27" s="27">
        <f t="shared" ref="BH27" si="73">BG27+1</f>
        <v>2072</v>
      </c>
      <c r="BI27" s="27">
        <f t="shared" ref="BI27" si="74">BH27+1</f>
        <v>2073</v>
      </c>
      <c r="BJ27" s="27">
        <f t="shared" ref="BJ27" si="75">BI27+1</f>
        <v>2074</v>
      </c>
      <c r="BK27" s="27">
        <f t="shared" ref="BK27" si="76">BJ27+1</f>
        <v>2075</v>
      </c>
      <c r="BL27" s="27">
        <f t="shared" ref="BL27" si="77">BK27+1</f>
        <v>2076</v>
      </c>
      <c r="BM27" s="27">
        <f t="shared" ref="BM27" si="78">BL27+1</f>
        <v>2077</v>
      </c>
      <c r="BN27" s="27">
        <f t="shared" ref="BN27" si="79">BM27+1</f>
        <v>2078</v>
      </c>
      <c r="BO27" s="27">
        <f t="shared" ref="BO27" si="80">BN27+1</f>
        <v>2079</v>
      </c>
      <c r="BP27" s="27">
        <f t="shared" ref="BP27" si="81">BO27+1</f>
        <v>2080</v>
      </c>
      <c r="BQ27" s="27">
        <f t="shared" ref="BQ27" si="82">BP27+1</f>
        <v>2081</v>
      </c>
      <c r="BR27" s="27">
        <f t="shared" ref="BR27" si="83">BQ27+1</f>
        <v>2082</v>
      </c>
      <c r="BS27" s="27">
        <f t="shared" ref="BS27" si="84">BR27+1</f>
        <v>2083</v>
      </c>
      <c r="BT27" s="27">
        <f t="shared" ref="BT27" si="85">BS27+1</f>
        <v>2084</v>
      </c>
      <c r="BU27" s="27">
        <f t="shared" ref="BU27" si="86">BT27+1</f>
        <v>2085</v>
      </c>
      <c r="BV27" s="27">
        <f t="shared" ref="BV27" si="87">BU27+1</f>
        <v>2086</v>
      </c>
    </row>
    <row r="28" spans="1:74" ht="15" thickBot="1" x14ac:dyDescent="0.35">
      <c r="A28" s="27"/>
      <c r="B28" s="225"/>
      <c r="C28" s="226" t="str">
        <f>"FY "&amp;C27</f>
        <v>FY 2015</v>
      </c>
      <c r="D28" s="227" t="str">
        <f t="shared" ref="D28:AA28" si="88">"FY "&amp;D27</f>
        <v>FY 2016</v>
      </c>
      <c r="E28" s="227" t="str">
        <f t="shared" si="88"/>
        <v>FY 2017</v>
      </c>
      <c r="F28" s="227" t="str">
        <f t="shared" si="88"/>
        <v>FY 2018</v>
      </c>
      <c r="G28" s="227" t="str">
        <f t="shared" si="88"/>
        <v>FY 2019</v>
      </c>
      <c r="H28" s="227" t="str">
        <f t="shared" si="88"/>
        <v>FY 2020</v>
      </c>
      <c r="I28" s="227" t="str">
        <f t="shared" si="88"/>
        <v>FY 2021</v>
      </c>
      <c r="J28" s="227" t="str">
        <f t="shared" si="88"/>
        <v>FY 2022</v>
      </c>
      <c r="K28" s="227" t="str">
        <f t="shared" si="88"/>
        <v>FY 2023</v>
      </c>
      <c r="L28" s="228" t="str">
        <f t="shared" si="88"/>
        <v>FY 2024</v>
      </c>
      <c r="M28" s="229" t="str">
        <f t="shared" si="88"/>
        <v>FY 2025</v>
      </c>
      <c r="N28" s="227" t="str">
        <f t="shared" si="88"/>
        <v>FY 2026</v>
      </c>
      <c r="O28" s="227" t="str">
        <f t="shared" si="88"/>
        <v>FY 2027</v>
      </c>
      <c r="P28" s="227" t="str">
        <f t="shared" si="88"/>
        <v>FY 2028</v>
      </c>
      <c r="Q28" s="228" t="str">
        <f t="shared" si="88"/>
        <v>FY 2029</v>
      </c>
      <c r="R28" s="229" t="str">
        <f t="shared" si="88"/>
        <v>FY 2030</v>
      </c>
      <c r="S28" s="227" t="str">
        <f t="shared" si="88"/>
        <v>FY 2031</v>
      </c>
      <c r="T28" s="227" t="str">
        <f t="shared" si="88"/>
        <v>FY 2032</v>
      </c>
      <c r="U28" s="227" t="str">
        <f t="shared" si="88"/>
        <v>FY 2033</v>
      </c>
      <c r="V28" s="227" t="str">
        <f t="shared" si="88"/>
        <v>FY 2034</v>
      </c>
      <c r="W28" s="227" t="str">
        <f t="shared" si="88"/>
        <v>FY 2035</v>
      </c>
      <c r="X28" s="227" t="str">
        <f t="shared" si="88"/>
        <v>FY 2036</v>
      </c>
      <c r="Y28" s="227" t="str">
        <f t="shared" si="88"/>
        <v>FY 2037</v>
      </c>
      <c r="Z28" s="227" t="str">
        <f t="shared" si="88"/>
        <v>FY 2038</v>
      </c>
      <c r="AA28" s="228" t="str">
        <f t="shared" si="88"/>
        <v>FY 2039</v>
      </c>
      <c r="AB28" s="230" t="s">
        <v>575</v>
      </c>
    </row>
    <row r="29" spans="1:74" x14ac:dyDescent="0.3">
      <c r="B29" s="106" t="s">
        <v>639</v>
      </c>
      <c r="C29" s="145">
        <f>'2. Integrated Finance'!C59/'2. Integrated Finance'!C9</f>
        <v>1.6850443830984156E-2</v>
      </c>
      <c r="D29" s="144">
        <f>'2. Integrated Finance'!D59/'2. Integrated Finance'!D9</f>
        <v>1.0020688781613741E-2</v>
      </c>
      <c r="E29" s="144">
        <f>'2. Integrated Finance'!E59/'2. Integrated Finance'!E9</f>
        <v>4.7469937641824639E-2</v>
      </c>
      <c r="F29" s="144">
        <f>'2. Integrated Finance'!F59/'2. Integrated Finance'!F9</f>
        <v>0.27549100912235286</v>
      </c>
      <c r="G29" s="144">
        <f>'2. Integrated Finance'!G59/'2. Integrated Finance'!G9</f>
        <v>-1.9420112718136765E-2</v>
      </c>
      <c r="H29" s="144">
        <f>'2. Integrated Finance'!H59/'2. Integrated Finance'!H9</f>
        <v>1.9542478101879389E-2</v>
      </c>
      <c r="I29" s="144">
        <f>'2. Integrated Finance'!I59/'2. Integrated Finance'!I9</f>
        <v>5.5229417148992106E-2</v>
      </c>
      <c r="J29" s="144">
        <f>'2. Integrated Finance'!J59/'2. Integrated Finance'!J9</f>
        <v>-6.6142020384306485E-2</v>
      </c>
      <c r="K29" s="144">
        <f>'2. Integrated Finance'!K59/'2. Integrated Finance'!K9</f>
        <v>-5.6757913697061332E-2</v>
      </c>
      <c r="L29" s="146">
        <f>'2. Integrated Finance'!L59/'2. Integrated Finance'!L9</f>
        <v>-6.143818311486559E-2</v>
      </c>
      <c r="M29" s="144">
        <f>AVERAGE($C$29:$L$29)</f>
        <v>2.2084574471327667E-2</v>
      </c>
      <c r="N29" s="144">
        <f t="shared" ref="N29:AB29" si="89">AVERAGE($C$29:$L$29)</f>
        <v>2.2084574471327667E-2</v>
      </c>
      <c r="O29" s="144">
        <f t="shared" si="89"/>
        <v>2.2084574471327667E-2</v>
      </c>
      <c r="P29" s="144">
        <f t="shared" si="89"/>
        <v>2.2084574471327667E-2</v>
      </c>
      <c r="Q29" s="146">
        <f t="shared" si="89"/>
        <v>2.2084574471327667E-2</v>
      </c>
      <c r="R29" s="144">
        <f t="shared" si="89"/>
        <v>2.2084574471327667E-2</v>
      </c>
      <c r="S29" s="144">
        <f t="shared" si="89"/>
        <v>2.2084574471327667E-2</v>
      </c>
      <c r="T29" s="144">
        <f t="shared" si="89"/>
        <v>2.2084574471327667E-2</v>
      </c>
      <c r="U29" s="144">
        <f t="shared" si="89"/>
        <v>2.2084574471327667E-2</v>
      </c>
      <c r="V29" s="144">
        <f t="shared" si="89"/>
        <v>2.2084574471327667E-2</v>
      </c>
      <c r="W29" s="144">
        <f t="shared" si="89"/>
        <v>2.2084574471327667E-2</v>
      </c>
      <c r="X29" s="144">
        <f t="shared" si="89"/>
        <v>2.2084574471327667E-2</v>
      </c>
      <c r="Y29" s="144">
        <f t="shared" si="89"/>
        <v>2.2084574471327667E-2</v>
      </c>
      <c r="Z29" s="144">
        <f t="shared" si="89"/>
        <v>2.2084574471327667E-2</v>
      </c>
      <c r="AA29" s="146">
        <f t="shared" si="89"/>
        <v>2.2084574471327667E-2</v>
      </c>
      <c r="AB29" s="151">
        <f t="shared" si="89"/>
        <v>2.2084574471327667E-2</v>
      </c>
    </row>
    <row r="30" spans="1:74" x14ac:dyDescent="0.3">
      <c r="B30" s="153" t="s">
        <v>640</v>
      </c>
      <c r="C30" s="145">
        <f>'2. Integrated Finance'!C63/'2. Integrated Finance'!C9</f>
        <v>0.18198896815166965</v>
      </c>
      <c r="D30" s="144">
        <f>'2. Integrated Finance'!D63/'2. Integrated Finance'!D9</f>
        <v>0.18033955873315224</v>
      </c>
      <c r="E30" s="144">
        <f>'2. Integrated Finance'!E63/'2. Integrated Finance'!E9</f>
        <v>0.18601139957474941</v>
      </c>
      <c r="F30" s="144">
        <f>'2. Integrated Finance'!F63/'2. Integrated Finance'!F9</f>
        <v>-9.2117559012115949E-2</v>
      </c>
      <c r="G30" s="144">
        <f>'2. Integrated Finance'!G63/'2. Integrated Finance'!G9</f>
        <v>-6.3496374761398189E-2</v>
      </c>
      <c r="H30" s="144">
        <f>'2. Integrated Finance'!H63/'2. Integrated Finance'!H9</f>
        <v>-3.3676333021515438E-2</v>
      </c>
      <c r="I30" s="144">
        <f>'2. Integrated Finance'!I63/'2. Integrated Finance'!I9</f>
        <v>-1.1469136907014971E-2</v>
      </c>
      <c r="J30" s="144">
        <f>'2. Integrated Finance'!J63/'2. Integrated Finance'!J9</f>
        <v>5.2929740188463591E-3</v>
      </c>
      <c r="K30" s="144">
        <f>'2. Integrated Finance'!K63/'2. Integrated Finance'!K9</f>
        <v>3.5004280679126948E-2</v>
      </c>
      <c r="L30" s="146">
        <f>'2. Integrated Finance'!L63/'2. Integrated Finance'!L9</f>
        <v>7.0773049684599257E-2</v>
      </c>
      <c r="M30" s="144">
        <f>AVERAGE($C$30:$L$30)</f>
        <v>4.5865082714009936E-2</v>
      </c>
      <c r="N30" s="144">
        <f t="shared" ref="N30:AB30" si="90">AVERAGE($C$30:$L$30)</f>
        <v>4.5865082714009936E-2</v>
      </c>
      <c r="O30" s="144">
        <f t="shared" si="90"/>
        <v>4.5865082714009936E-2</v>
      </c>
      <c r="P30" s="144">
        <f t="shared" si="90"/>
        <v>4.5865082714009936E-2</v>
      </c>
      <c r="Q30" s="146">
        <f t="shared" si="90"/>
        <v>4.5865082714009936E-2</v>
      </c>
      <c r="R30" s="144">
        <f t="shared" si="90"/>
        <v>4.5865082714009936E-2</v>
      </c>
      <c r="S30" s="144">
        <f t="shared" si="90"/>
        <v>4.5865082714009936E-2</v>
      </c>
      <c r="T30" s="144">
        <f t="shared" si="90"/>
        <v>4.5865082714009936E-2</v>
      </c>
      <c r="U30" s="144">
        <f t="shared" si="90"/>
        <v>4.5865082714009936E-2</v>
      </c>
      <c r="V30" s="144">
        <f t="shared" si="90"/>
        <v>4.5865082714009936E-2</v>
      </c>
      <c r="W30" s="144">
        <f t="shared" si="90"/>
        <v>4.5865082714009936E-2</v>
      </c>
      <c r="X30" s="144">
        <f t="shared" si="90"/>
        <v>4.5865082714009936E-2</v>
      </c>
      <c r="Y30" s="144">
        <f t="shared" si="90"/>
        <v>4.5865082714009936E-2</v>
      </c>
      <c r="Z30" s="144">
        <f t="shared" si="90"/>
        <v>4.5865082714009936E-2</v>
      </c>
      <c r="AA30" s="146">
        <f t="shared" si="90"/>
        <v>4.5865082714009936E-2</v>
      </c>
      <c r="AB30" s="151">
        <f t="shared" si="90"/>
        <v>4.5865082714009936E-2</v>
      </c>
    </row>
    <row r="31" spans="1:74" x14ac:dyDescent="0.3">
      <c r="B31" s="106" t="s">
        <v>641</v>
      </c>
      <c r="C31" s="145">
        <f>'2. Integrated Finance'!C65/'2. Integrated Finance'!C9</f>
        <v>0.10936872152671596</v>
      </c>
      <c r="D31" s="144">
        <f>'2. Integrated Finance'!D65/'2. Integrated Finance'!D9</f>
        <v>0.10489353018169535</v>
      </c>
      <c r="E31" s="144">
        <f>'2. Integrated Finance'!E65/'2. Integrated Finance'!E9</f>
        <v>8.8471778012042812E-2</v>
      </c>
      <c r="F31" s="144">
        <f>'2. Integrated Finance'!F65/'2. Integrated Finance'!F9</f>
        <v>0.18543255324743624</v>
      </c>
      <c r="G31" s="144">
        <f>'2. Integrated Finance'!G65/'2. Integrated Finance'!G9</f>
        <v>0.16117788189493223</v>
      </c>
      <c r="H31" s="144">
        <f>'2. Integrated Finance'!H65/'2. Integrated Finance'!H9</f>
        <v>0.1764308189471894</v>
      </c>
      <c r="I31" s="144">
        <f>'2. Integrated Finance'!I65/'2. Integrated Finance'!I9</f>
        <v>0.13857938239403178</v>
      </c>
      <c r="J31" s="144">
        <f>'2. Integrated Finance'!J65/'2. Integrated Finance'!J9</f>
        <v>0.10664706994973691</v>
      </c>
      <c r="K31" s="144">
        <f>'2. Integrated Finance'!K65/'2. Integrated Finance'!K9</f>
        <v>9.2807347201992477E-2</v>
      </c>
      <c r="L31" s="146">
        <f>'2. Integrated Finance'!L65/'2. Integrated Finance'!L9</f>
        <v>9.4443308031247064E-2</v>
      </c>
      <c r="M31" s="144">
        <f>AVERAGE($C$31:$L$31)</f>
        <v>0.12582523913870203</v>
      </c>
      <c r="N31" s="144">
        <f t="shared" ref="N31:AB31" si="91">AVERAGE($C$31:$L$31)</f>
        <v>0.12582523913870203</v>
      </c>
      <c r="O31" s="144">
        <f t="shared" si="91"/>
        <v>0.12582523913870203</v>
      </c>
      <c r="P31" s="144">
        <f t="shared" si="91"/>
        <v>0.12582523913870203</v>
      </c>
      <c r="Q31" s="146">
        <f t="shared" si="91"/>
        <v>0.12582523913870203</v>
      </c>
      <c r="R31" s="144">
        <f t="shared" si="91"/>
        <v>0.12582523913870203</v>
      </c>
      <c r="S31" s="144">
        <f t="shared" si="91"/>
        <v>0.12582523913870203</v>
      </c>
      <c r="T31" s="144">
        <f t="shared" si="91"/>
        <v>0.12582523913870203</v>
      </c>
      <c r="U31" s="144">
        <f t="shared" si="91"/>
        <v>0.12582523913870203</v>
      </c>
      <c r="V31" s="144">
        <f t="shared" si="91"/>
        <v>0.12582523913870203</v>
      </c>
      <c r="W31" s="144">
        <f t="shared" si="91"/>
        <v>0.12582523913870203</v>
      </c>
      <c r="X31" s="144">
        <f t="shared" si="91"/>
        <v>0.12582523913870203</v>
      </c>
      <c r="Y31" s="144">
        <f t="shared" si="91"/>
        <v>0.12582523913870203</v>
      </c>
      <c r="Z31" s="144">
        <f t="shared" si="91"/>
        <v>0.12582523913870203</v>
      </c>
      <c r="AA31" s="146">
        <f t="shared" si="91"/>
        <v>0.12582523913870203</v>
      </c>
      <c r="AB31" s="151">
        <f t="shared" si="91"/>
        <v>0.12582523913870203</v>
      </c>
    </row>
    <row r="32" spans="1:74" x14ac:dyDescent="0.3">
      <c r="B32" s="99" t="s">
        <v>642</v>
      </c>
      <c r="C32" s="145">
        <f>'2. Integrated Finance'!C69/'2. Integrated Finance'!C9</f>
        <v>0.11800007305859815</v>
      </c>
      <c r="D32" s="144">
        <f>'2. Integrated Finance'!D69/'2. Integrated Finance'!D9</f>
        <v>0.1313245042433113</v>
      </c>
      <c r="E32" s="144">
        <f>'2. Integrated Finance'!E69/'2. Integrated Finance'!E9</f>
        <v>9.7472617792627836E-2</v>
      </c>
      <c r="F32" s="144">
        <f>'2. Integrated Finance'!F69/'2. Integrated Finance'!F9</f>
        <v>4.6493658852323073E-2</v>
      </c>
      <c r="G32" s="144">
        <f>'2. Integrated Finance'!G69/'2. Integrated Finance'!G9</f>
        <v>0.1079423281501098</v>
      </c>
      <c r="H32" s="144">
        <f>'2. Integrated Finance'!H69/'2. Integrated Finance'!H9</f>
        <v>0.12940301046007308</v>
      </c>
      <c r="I32" s="144">
        <f>'2. Integrated Finance'!I69/'2. Integrated Finance'!I9</f>
        <v>0.10335299339999866</v>
      </c>
      <c r="J32" s="144">
        <f>'2. Integrated Finance'!J69/'2. Integrated Finance'!J9</f>
        <v>9.1292174026288142E-2</v>
      </c>
      <c r="K32" s="144">
        <f>'2. Integrated Finance'!K69/'2. Integrated Finance'!K9</f>
        <v>8.3489920946419174E-2</v>
      </c>
      <c r="L32" s="146">
        <f>'2. Integrated Finance'!L69/'2. Integrated Finance'!L9</f>
        <v>8.6344060459639244E-2</v>
      </c>
      <c r="M32" s="144">
        <f>AVERAGE($C$32:$L$32)</f>
        <v>9.9511534138938859E-2</v>
      </c>
      <c r="N32" s="144">
        <f t="shared" ref="N32:AB32" si="92">AVERAGE($C$32:$L$32)</f>
        <v>9.9511534138938859E-2</v>
      </c>
      <c r="O32" s="144">
        <f t="shared" si="92"/>
        <v>9.9511534138938859E-2</v>
      </c>
      <c r="P32" s="144">
        <f t="shared" si="92"/>
        <v>9.9511534138938859E-2</v>
      </c>
      <c r="Q32" s="146">
        <f t="shared" si="92"/>
        <v>9.9511534138938859E-2</v>
      </c>
      <c r="R32" s="144">
        <f t="shared" si="92"/>
        <v>9.9511534138938859E-2</v>
      </c>
      <c r="S32" s="144">
        <f t="shared" si="92"/>
        <v>9.9511534138938859E-2</v>
      </c>
      <c r="T32" s="144">
        <f t="shared" si="92"/>
        <v>9.9511534138938859E-2</v>
      </c>
      <c r="U32" s="144">
        <f t="shared" si="92"/>
        <v>9.9511534138938859E-2</v>
      </c>
      <c r="V32" s="144">
        <f t="shared" si="92"/>
        <v>9.9511534138938859E-2</v>
      </c>
      <c r="W32" s="144">
        <f t="shared" si="92"/>
        <v>9.9511534138938859E-2</v>
      </c>
      <c r="X32" s="144">
        <f t="shared" si="92"/>
        <v>9.9511534138938859E-2</v>
      </c>
      <c r="Y32" s="144">
        <f t="shared" si="92"/>
        <v>9.9511534138938859E-2</v>
      </c>
      <c r="Z32" s="144">
        <f t="shared" si="92"/>
        <v>9.9511534138938859E-2</v>
      </c>
      <c r="AA32" s="146">
        <f t="shared" si="92"/>
        <v>9.9511534138938859E-2</v>
      </c>
      <c r="AB32" s="151">
        <f t="shared" si="92"/>
        <v>9.9511534138938859E-2</v>
      </c>
    </row>
    <row r="33" spans="2:41" x14ac:dyDescent="0.3">
      <c r="B33" s="106"/>
      <c r="C33" s="87"/>
      <c r="L33" s="147"/>
      <c r="Q33" s="147"/>
      <c r="AA33" s="147"/>
      <c r="AB33" s="152"/>
    </row>
    <row r="34" spans="2:41" x14ac:dyDescent="0.3">
      <c r="B34" s="106" t="s">
        <v>643</v>
      </c>
      <c r="C34" s="148"/>
      <c r="D34" s="149">
        <f>('2. Integrated Finance'!D84-'2. Integrated Finance'!C84)/'2. Integrated Finance'!C84</f>
        <v>0.36408945686900951</v>
      </c>
      <c r="E34" s="149">
        <f>('2. Integrated Finance'!E84-'2. Integrated Finance'!D84)/'2. Integrated Finance'!D84</f>
        <v>0.22809318593466996</v>
      </c>
      <c r="F34" s="149">
        <f>('2. Integrated Finance'!F84-'2. Integrated Finance'!E84)/'2. Integrated Finance'!E84</f>
        <v>1.3114987540049841</v>
      </c>
      <c r="G34" s="149">
        <f>('2. Integrated Finance'!G84-'2. Integrated Finance'!F84)/'2. Integrated Finance'!F84</f>
        <v>0.22846582033398596</v>
      </c>
      <c r="H34" s="149">
        <f>('2. Integrated Finance'!H84-'2. Integrated Finance'!G84)/'2. Integrated Finance'!G84</f>
        <v>0.99886272051580538</v>
      </c>
      <c r="I34" s="149">
        <f>('2. Integrated Finance'!I84-'2. Integrated Finance'!H84)/'2. Integrated Finance'!H84</f>
        <v>-4.3294969379023523E-2</v>
      </c>
      <c r="J34" s="149">
        <f>('2. Integrated Finance'!J84-'2. Integrated Finance'!I84)/'2. Integrated Finance'!I84</f>
        <v>-3.3706549784827039E-2</v>
      </c>
      <c r="K34" s="149">
        <f>('2. Integrated Finance'!K84-'2. Integrated Finance'!J84)/'2. Integrated Finance'!J84</f>
        <v>4.0576493450480151E-2</v>
      </c>
      <c r="L34" s="150">
        <f>('2. Integrated Finance'!L84-'2. Integrated Finance'!K84)/'2. Integrated Finance'!K84</f>
        <v>7.5385145582235663E-2</v>
      </c>
      <c r="M34" s="144">
        <v>0.04</v>
      </c>
      <c r="N34" s="144">
        <v>0.04</v>
      </c>
      <c r="O34" s="144">
        <v>0.03</v>
      </c>
      <c r="P34" s="144">
        <v>0.03</v>
      </c>
      <c r="Q34" s="146">
        <v>0.03</v>
      </c>
      <c r="R34" s="144">
        <v>0.03</v>
      </c>
      <c r="S34" s="144">
        <v>0.02</v>
      </c>
      <c r="T34" s="144">
        <v>0.02</v>
      </c>
      <c r="U34" s="144">
        <v>0.02</v>
      </c>
      <c r="V34" s="144">
        <v>0.02</v>
      </c>
      <c r="W34" s="144">
        <v>0.02</v>
      </c>
      <c r="X34" s="144">
        <v>0.02</v>
      </c>
      <c r="Y34" s="144">
        <v>0.02</v>
      </c>
      <c r="Z34" s="144">
        <v>0.02</v>
      </c>
      <c r="AA34" s="146">
        <v>0.02</v>
      </c>
      <c r="AB34" s="151">
        <v>0.02</v>
      </c>
    </row>
    <row r="35" spans="2:41" x14ac:dyDescent="0.3">
      <c r="B35" s="106" t="s">
        <v>644</v>
      </c>
      <c r="C35" s="145">
        <f>-'2. Integrated Finance'!C78/'2. Integrated Finance'!C77</f>
        <v>0.3685355769928193</v>
      </c>
      <c r="D35" s="144">
        <f>-'2. Integrated Finance'!D78/'2. Integrated Finance'!D77</f>
        <v>0.4422756148631859</v>
      </c>
      <c r="E35" s="144">
        <f>-'2. Integrated Finance'!E78/'2. Integrated Finance'!E77</f>
        <v>0.52549658543349431</v>
      </c>
      <c r="F35" s="144">
        <f>-'2. Integrated Finance'!F78/'2. Integrated Finance'!F77</f>
        <v>0.38963769559347555</v>
      </c>
      <c r="G35" s="144">
        <f>-'2. Integrated Finance'!G78/'2. Integrated Finance'!G77</f>
        <v>0.50055567903978693</v>
      </c>
      <c r="H35" s="144">
        <f>-'2. Integrated Finance'!H78/'2. Integrated Finance'!H77</f>
        <v>1.5475600560163765</v>
      </c>
      <c r="I35" s="144">
        <f>-'2. Integrated Finance'!I78/'2. Integrated Finance'!I77</f>
        <v>0.64229752577810617</v>
      </c>
      <c r="J35" s="144">
        <f>-'2. Integrated Finance'!J78/'2. Integrated Finance'!J77</f>
        <v>0.69889687957094115</v>
      </c>
      <c r="K35" s="144">
        <f>-'2. Integrated Finance'!K78/'2. Integrated Finance'!K77</f>
        <v>0.5999757546369261</v>
      </c>
      <c r="L35" s="146">
        <f>-'2. Integrated Finance'!L78/'2. Integrated Finance'!L77</f>
        <v>0.69797123029062202</v>
      </c>
      <c r="M35" s="144">
        <f>AVERAGE($C$35:$L$35)</f>
        <v>0.64132025982157337</v>
      </c>
      <c r="N35" s="144">
        <f t="shared" ref="N35:AB35" si="93">AVERAGE($C$35:$L$35)</f>
        <v>0.64132025982157337</v>
      </c>
      <c r="O35" s="144">
        <f t="shared" si="93"/>
        <v>0.64132025982157337</v>
      </c>
      <c r="P35" s="144">
        <f t="shared" si="93"/>
        <v>0.64132025982157337</v>
      </c>
      <c r="Q35" s="146">
        <f t="shared" si="93"/>
        <v>0.64132025982157337</v>
      </c>
      <c r="R35" s="144">
        <f t="shared" si="93"/>
        <v>0.64132025982157337</v>
      </c>
      <c r="S35" s="144">
        <f t="shared" si="93"/>
        <v>0.64132025982157337</v>
      </c>
      <c r="T35" s="144">
        <f t="shared" si="93"/>
        <v>0.64132025982157337</v>
      </c>
      <c r="U35" s="144">
        <f t="shared" si="93"/>
        <v>0.64132025982157337</v>
      </c>
      <c r="V35" s="144">
        <f t="shared" si="93"/>
        <v>0.64132025982157337</v>
      </c>
      <c r="W35" s="144">
        <f t="shared" si="93"/>
        <v>0.64132025982157337</v>
      </c>
      <c r="X35" s="144">
        <f t="shared" si="93"/>
        <v>0.64132025982157337</v>
      </c>
      <c r="Y35" s="144">
        <f t="shared" si="93"/>
        <v>0.64132025982157337</v>
      </c>
      <c r="Z35" s="144">
        <f t="shared" si="93"/>
        <v>0.64132025982157337</v>
      </c>
      <c r="AA35" s="146">
        <f t="shared" si="93"/>
        <v>0.64132025982157337</v>
      </c>
      <c r="AB35" s="151">
        <f t="shared" si="93"/>
        <v>0.64132025982157337</v>
      </c>
    </row>
    <row r="36" spans="2:41" ht="15" customHeight="1" thickBot="1" x14ac:dyDescent="0.35">
      <c r="B36" s="124" t="s">
        <v>645</v>
      </c>
      <c r="C36" s="154"/>
      <c r="D36" s="155">
        <f>('2. Integrated Finance'!D89-'2. Integrated Finance'!C89)/'2. Integrated Finance'!C89</f>
        <v>0</v>
      </c>
      <c r="E36" s="155">
        <f>('2. Integrated Finance'!E89-'2. Integrated Finance'!D89)/'2. Integrated Finance'!D89</f>
        <v>-2.3474178403756203E-3</v>
      </c>
      <c r="F36" s="155">
        <f>('2. Integrated Finance'!F89-'2. Integrated Finance'!E89)/'2. Integrated Finance'!E89</f>
        <v>-2.3529411764706219E-3</v>
      </c>
      <c r="G36" s="155">
        <f>('2. Integrated Finance'!G89-'2. Integrated Finance'!F89)/'2. Integrated Finance'!F89</f>
        <v>-2.3584905660377696E-3</v>
      </c>
      <c r="H36" s="155">
        <f>('2. Integrated Finance'!H89-'2. Integrated Finance'!G89)/'2. Integrated Finance'!G89</f>
        <v>7.8676122931442087</v>
      </c>
      <c r="I36" s="155">
        <f>('2. Integrated Finance'!I89-'2. Integrated Finance'!H89)/'2. Integrated Finance'!H89</f>
        <v>1.2588643028525723</v>
      </c>
      <c r="J36" s="155">
        <f>('2. Integrated Finance'!J89-'2. Integrated Finance'!I89)/'2. Integrated Finance'!I89</f>
        <v>-0.75640269090050749</v>
      </c>
      <c r="K36" s="155">
        <f>('2. Integrated Finance'!K89-'2. Integrated Finance'!J89)/'2. Integrated Finance'!J89</f>
        <v>-0.81007751937984485</v>
      </c>
      <c r="L36" s="156">
        <f>('2. Integrated Finance'!L89-'2. Integrated Finance'!K89)/'2. Integrated Finance'!K89</f>
        <v>7.2576530612244889</v>
      </c>
      <c r="M36" s="155">
        <v>-0.01</v>
      </c>
      <c r="N36" s="155">
        <v>-0.02</v>
      </c>
      <c r="O36" s="155">
        <v>0</v>
      </c>
      <c r="P36" s="155">
        <v>0</v>
      </c>
      <c r="Q36" s="156">
        <v>0</v>
      </c>
      <c r="R36" s="155">
        <v>0</v>
      </c>
      <c r="S36" s="155">
        <v>0.01</v>
      </c>
      <c r="T36" s="155">
        <v>0.01</v>
      </c>
      <c r="U36" s="155">
        <v>0.01</v>
      </c>
      <c r="V36" s="155">
        <v>0.01</v>
      </c>
      <c r="W36" s="155">
        <v>0.01</v>
      </c>
      <c r="X36" s="155">
        <v>0.01</v>
      </c>
      <c r="Y36" s="155">
        <v>0.01</v>
      </c>
      <c r="Z36" s="155">
        <v>0.01</v>
      </c>
      <c r="AA36" s="156">
        <v>0.01</v>
      </c>
      <c r="AB36" s="157">
        <v>0.01</v>
      </c>
      <c r="AC36" s="317" t="s">
        <v>646</v>
      </c>
      <c r="AD36" s="317"/>
      <c r="AE36" s="317"/>
      <c r="AF36" s="317"/>
      <c r="AG36" s="317"/>
      <c r="AH36" s="317"/>
      <c r="AI36" s="317"/>
      <c r="AJ36" s="317"/>
      <c r="AK36" s="317"/>
      <c r="AL36" s="317"/>
      <c r="AM36" s="317"/>
      <c r="AN36" s="317"/>
      <c r="AO36" s="317"/>
    </row>
    <row r="37" spans="2:41" x14ac:dyDescent="0.3">
      <c r="AC37" s="317"/>
      <c r="AD37" s="317"/>
      <c r="AE37" s="317"/>
      <c r="AF37" s="317"/>
      <c r="AG37" s="317"/>
      <c r="AH37" s="317"/>
      <c r="AI37" s="317"/>
      <c r="AJ37" s="317"/>
      <c r="AK37" s="317"/>
      <c r="AL37" s="317"/>
      <c r="AM37" s="317"/>
      <c r="AN37" s="317"/>
      <c r="AO37" s="317"/>
    </row>
    <row r="38" spans="2:41" x14ac:dyDescent="0.3">
      <c r="I38" s="30" t="s">
        <v>647</v>
      </c>
      <c r="AC38" s="317"/>
      <c r="AD38" s="317"/>
      <c r="AE38" s="317"/>
      <c r="AF38" s="317"/>
      <c r="AG38" s="317"/>
      <c r="AH38" s="317"/>
      <c r="AI38" s="317"/>
      <c r="AJ38" s="317"/>
      <c r="AK38" s="317"/>
      <c r="AL38" s="317"/>
      <c r="AM38" s="317"/>
      <c r="AN38" s="317"/>
      <c r="AO38" s="317"/>
    </row>
    <row r="39" spans="2:41" x14ac:dyDescent="0.3">
      <c r="AC39" s="317"/>
      <c r="AD39" s="317"/>
      <c r="AE39" s="317"/>
      <c r="AF39" s="317"/>
      <c r="AG39" s="317"/>
      <c r="AH39" s="317"/>
      <c r="AI39" s="317"/>
      <c r="AJ39" s="317"/>
      <c r="AK39" s="317"/>
      <c r="AL39" s="317"/>
      <c r="AM39" s="317"/>
      <c r="AN39" s="317"/>
      <c r="AO39" s="317"/>
    </row>
  </sheetData>
  <mergeCells count="10">
    <mergeCell ref="AC36:AO39"/>
    <mergeCell ref="B2:AB4"/>
    <mergeCell ref="B25:AB25"/>
    <mergeCell ref="C26:L26"/>
    <mergeCell ref="M26:Q26"/>
    <mergeCell ref="R26:AA26"/>
    <mergeCell ref="C6:L6"/>
    <mergeCell ref="M6:Q6"/>
    <mergeCell ref="R6:AA6"/>
    <mergeCell ref="B5:AB5"/>
  </mergeCells>
  <pageMargins left="0.7" right="0.7" top="0.75" bottom="0.75" header="0.3" footer="0.3"/>
  <ignoredErrors>
    <ignoredError sqref="M11:AB11"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A74C-C23E-4B5A-B055-5525674862A3}">
  <dimension ref="A1:K14"/>
  <sheetViews>
    <sheetView showGridLines="0" zoomScale="70" zoomScaleNormal="70" workbookViewId="0"/>
  </sheetViews>
  <sheetFormatPr defaultColWidth="9.109375" defaultRowHeight="14.4" x14ac:dyDescent="0.3"/>
  <cols>
    <col min="1" max="1" width="2.88671875" style="30" customWidth="1"/>
    <col min="2" max="11" width="13.109375" style="30" customWidth="1"/>
    <col min="12" max="16384" width="9.109375" style="30"/>
  </cols>
  <sheetData>
    <row r="1" spans="1:11" ht="15" thickBot="1" x14ac:dyDescent="0.35">
      <c r="B1" s="28" t="s">
        <v>648</v>
      </c>
    </row>
    <row r="2" spans="1:11" x14ac:dyDescent="0.3">
      <c r="A2" s="28"/>
      <c r="B2" s="318" t="s">
        <v>649</v>
      </c>
      <c r="C2" s="319"/>
      <c r="D2" s="319"/>
      <c r="E2" s="319"/>
      <c r="F2" s="319"/>
      <c r="G2" s="319"/>
      <c r="H2" s="319"/>
      <c r="I2" s="319"/>
      <c r="J2" s="319"/>
      <c r="K2" s="320"/>
    </row>
    <row r="3" spans="1:11" ht="15" thickBot="1" x14ac:dyDescent="0.35">
      <c r="A3" s="34"/>
      <c r="B3" s="240">
        <v>2015</v>
      </c>
      <c r="C3" s="241">
        <f>B3+1</f>
        <v>2016</v>
      </c>
      <c r="D3" s="241">
        <f t="shared" ref="D3:K3" si="0">C3+1</f>
        <v>2017</v>
      </c>
      <c r="E3" s="241">
        <f t="shared" si="0"/>
        <v>2018</v>
      </c>
      <c r="F3" s="241">
        <f t="shared" si="0"/>
        <v>2019</v>
      </c>
      <c r="G3" s="241">
        <f t="shared" si="0"/>
        <v>2020</v>
      </c>
      <c r="H3" s="241">
        <f t="shared" si="0"/>
        <v>2021</v>
      </c>
      <c r="I3" s="241">
        <f t="shared" si="0"/>
        <v>2022</v>
      </c>
      <c r="J3" s="241">
        <f t="shared" si="0"/>
        <v>2023</v>
      </c>
      <c r="K3" s="242">
        <f t="shared" si="0"/>
        <v>2024</v>
      </c>
    </row>
    <row r="4" spans="1:11" ht="15" thickBot="1" x14ac:dyDescent="0.35">
      <c r="A4" s="34"/>
      <c r="B4" s="163">
        <v>8.5000000000000006E-2</v>
      </c>
      <c r="C4" s="164">
        <v>8.3000000000000004E-2</v>
      </c>
      <c r="D4" s="164">
        <v>9.1999999999999998E-2</v>
      </c>
      <c r="E4" s="164">
        <v>8.4000000000000005E-2</v>
      </c>
      <c r="F4" s="164">
        <v>7.0999999999999994E-2</v>
      </c>
      <c r="G4" s="164">
        <v>7.2999999999999995E-2</v>
      </c>
      <c r="H4" s="164">
        <v>9.9000000000000005E-2</v>
      </c>
      <c r="I4" s="164">
        <v>8.2000000000000003E-2</v>
      </c>
      <c r="J4" s="164">
        <v>9.0999999999999998E-2</v>
      </c>
      <c r="K4" s="165">
        <v>8.8999999999999996E-2</v>
      </c>
    </row>
    <row r="5" spans="1:11" ht="15" thickBot="1" x14ac:dyDescent="0.35">
      <c r="A5" s="34"/>
      <c r="B5" s="35"/>
    </row>
    <row r="6" spans="1:11" x14ac:dyDescent="0.3">
      <c r="A6" s="34"/>
      <c r="B6" s="243" t="s">
        <v>650</v>
      </c>
    </row>
    <row r="7" spans="1:11" ht="15" thickBot="1" x14ac:dyDescent="0.35">
      <c r="B7" s="166">
        <f>AVERAGE(B4:K4)</f>
        <v>8.4900000000000003E-2</v>
      </c>
    </row>
    <row r="8" spans="1:11" ht="15" thickBot="1" x14ac:dyDescent="0.35"/>
    <row r="9" spans="1:11" x14ac:dyDescent="0.3">
      <c r="B9" s="318" t="s">
        <v>651</v>
      </c>
      <c r="C9" s="319"/>
      <c r="D9" s="319"/>
      <c r="E9" s="319"/>
      <c r="F9" s="319"/>
      <c r="G9" s="319"/>
      <c r="H9" s="319"/>
      <c r="I9" s="319"/>
      <c r="J9" s="319"/>
      <c r="K9" s="320"/>
    </row>
    <row r="10" spans="1:11" ht="15" thickBot="1" x14ac:dyDescent="0.35">
      <c r="B10" s="240">
        <f>B3</f>
        <v>2015</v>
      </c>
      <c r="C10" s="241">
        <f>C3</f>
        <v>2016</v>
      </c>
      <c r="D10" s="241">
        <f t="shared" ref="D10:K10" si="1">D3</f>
        <v>2017</v>
      </c>
      <c r="E10" s="241">
        <f t="shared" si="1"/>
        <v>2018</v>
      </c>
      <c r="F10" s="241">
        <f t="shared" si="1"/>
        <v>2019</v>
      </c>
      <c r="G10" s="241">
        <f t="shared" si="1"/>
        <v>2020</v>
      </c>
      <c r="H10" s="241">
        <f t="shared" si="1"/>
        <v>2021</v>
      </c>
      <c r="I10" s="241">
        <f t="shared" si="1"/>
        <v>2022</v>
      </c>
      <c r="J10" s="241">
        <f t="shared" si="1"/>
        <v>2023</v>
      </c>
      <c r="K10" s="242">
        <f t="shared" si="1"/>
        <v>2024</v>
      </c>
    </row>
    <row r="11" spans="1:11" ht="15" thickBot="1" x14ac:dyDescent="0.35">
      <c r="B11" s="163">
        <v>8.6999999999999994E-2</v>
      </c>
      <c r="C11" s="231">
        <v>8.5999999999999993E-2</v>
      </c>
      <c r="D11" s="231">
        <v>9.6000000000000002E-2</v>
      </c>
      <c r="E11" s="231">
        <v>0.09</v>
      </c>
      <c r="F11" s="231">
        <v>7.6999999999999999E-2</v>
      </c>
      <c r="G11" s="231">
        <v>0.09</v>
      </c>
      <c r="H11" s="164">
        <v>0.114</v>
      </c>
      <c r="I11" s="164">
        <v>9.1999999999999998E-2</v>
      </c>
      <c r="J11" s="164">
        <v>0.10100000000000001</v>
      </c>
      <c r="K11" s="165">
        <v>0.10100000000000001</v>
      </c>
    </row>
    <row r="12" spans="1:11" ht="15" thickBot="1" x14ac:dyDescent="0.35"/>
    <row r="13" spans="1:11" x14ac:dyDescent="0.3">
      <c r="B13" s="243" t="s">
        <v>652</v>
      </c>
    </row>
    <row r="14" spans="1:11" ht="15" thickBot="1" x14ac:dyDescent="0.35">
      <c r="B14" s="166">
        <f>AVERAGE(B11:K11)</f>
        <v>9.3399999999999997E-2</v>
      </c>
    </row>
  </sheetData>
  <mergeCells count="2">
    <mergeCell ref="B2:K2"/>
    <mergeCell ref="B9:K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54F66-DBF4-406E-8DA7-7B4BB218BDB7}">
  <dimension ref="A1:BV33"/>
  <sheetViews>
    <sheetView showGridLines="0" topLeftCell="B1" zoomScale="70" zoomScaleNormal="70" workbookViewId="0">
      <selection activeCell="B5" sqref="B5:AB5"/>
    </sheetView>
  </sheetViews>
  <sheetFormatPr defaultColWidth="9.109375" defaultRowHeight="14.4" x14ac:dyDescent="0.3"/>
  <cols>
    <col min="1" max="1" width="3.44140625" style="30" customWidth="1"/>
    <col min="2" max="2" width="29.5546875" style="30" bestFit="1" customWidth="1"/>
    <col min="3" max="28" width="14.5546875" style="30" customWidth="1"/>
    <col min="29" max="16384" width="9.109375" style="30"/>
  </cols>
  <sheetData>
    <row r="1" spans="1:74" ht="15" thickBot="1" x14ac:dyDescent="0.35"/>
    <row r="2" spans="1:74" ht="14.4" customHeight="1" x14ac:dyDescent="0.3">
      <c r="A2" s="27"/>
      <c r="B2" s="299" t="s">
        <v>653</v>
      </c>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1"/>
    </row>
    <row r="3" spans="1:74" ht="14.4" customHeight="1" x14ac:dyDescent="0.3">
      <c r="A3" s="27"/>
      <c r="B3" s="302"/>
      <c r="C3" s="303"/>
      <c r="D3" s="303"/>
      <c r="E3" s="303"/>
      <c r="F3" s="303"/>
      <c r="G3" s="303"/>
      <c r="H3" s="303"/>
      <c r="I3" s="303"/>
      <c r="J3" s="303"/>
      <c r="K3" s="303"/>
      <c r="L3" s="303"/>
      <c r="M3" s="303"/>
      <c r="N3" s="303"/>
      <c r="O3" s="303"/>
      <c r="P3" s="303"/>
      <c r="Q3" s="303"/>
      <c r="R3" s="303"/>
      <c r="S3" s="303"/>
      <c r="T3" s="303"/>
      <c r="U3" s="303"/>
      <c r="V3" s="303"/>
      <c r="W3" s="303"/>
      <c r="X3" s="303"/>
      <c r="Y3" s="303"/>
      <c r="Z3" s="303"/>
      <c r="AA3" s="303"/>
      <c r="AB3" s="304"/>
    </row>
    <row r="4" spans="1:74" ht="14.4" customHeight="1" x14ac:dyDescent="0.3">
      <c r="A4" s="27"/>
      <c r="B4" s="302"/>
      <c r="C4" s="303"/>
      <c r="D4" s="303"/>
      <c r="E4" s="303"/>
      <c r="F4" s="303"/>
      <c r="G4" s="303"/>
      <c r="H4" s="303"/>
      <c r="I4" s="303"/>
      <c r="J4" s="303"/>
      <c r="K4" s="303"/>
      <c r="L4" s="303"/>
      <c r="M4" s="303"/>
      <c r="N4" s="303"/>
      <c r="O4" s="303"/>
      <c r="P4" s="303"/>
      <c r="Q4" s="303"/>
      <c r="R4" s="303"/>
      <c r="S4" s="303"/>
      <c r="T4" s="303"/>
      <c r="U4" s="303"/>
      <c r="V4" s="303"/>
      <c r="W4" s="303"/>
      <c r="X4" s="303"/>
      <c r="Y4" s="303"/>
      <c r="Z4" s="303"/>
      <c r="AA4" s="303"/>
      <c r="AB4" s="304"/>
    </row>
    <row r="5" spans="1:74" x14ac:dyDescent="0.3">
      <c r="B5" s="305" t="s">
        <v>568</v>
      </c>
      <c r="C5" s="306"/>
      <c r="D5" s="306"/>
      <c r="E5" s="306"/>
      <c r="F5" s="306"/>
      <c r="G5" s="306"/>
      <c r="H5" s="306"/>
      <c r="I5" s="306"/>
      <c r="J5" s="306"/>
      <c r="K5" s="306"/>
      <c r="L5" s="306"/>
      <c r="M5" s="306"/>
      <c r="N5" s="306"/>
      <c r="O5" s="306"/>
      <c r="P5" s="306"/>
      <c r="Q5" s="306"/>
      <c r="R5" s="306"/>
      <c r="S5" s="306"/>
      <c r="T5" s="306"/>
      <c r="U5" s="306"/>
      <c r="V5" s="306"/>
      <c r="W5" s="306"/>
      <c r="X5" s="306"/>
      <c r="Y5" s="306"/>
      <c r="Z5" s="306"/>
      <c r="AA5" s="306"/>
      <c r="AB5" s="307"/>
    </row>
    <row r="6" spans="1:74" x14ac:dyDescent="0.3">
      <c r="A6" s="27"/>
      <c r="B6" s="223" t="s">
        <v>570</v>
      </c>
      <c r="C6" s="314" t="s">
        <v>571</v>
      </c>
      <c r="D6" s="315"/>
      <c r="E6" s="315"/>
      <c r="F6" s="315"/>
      <c r="G6" s="315"/>
      <c r="H6" s="315"/>
      <c r="I6" s="315"/>
      <c r="J6" s="315"/>
      <c r="K6" s="315"/>
      <c r="L6" s="316"/>
      <c r="M6" s="308" t="s">
        <v>572</v>
      </c>
      <c r="N6" s="309"/>
      <c r="O6" s="309"/>
      <c r="P6" s="309"/>
      <c r="Q6" s="310"/>
      <c r="R6" s="308" t="s">
        <v>573</v>
      </c>
      <c r="S6" s="309"/>
      <c r="T6" s="309"/>
      <c r="U6" s="309"/>
      <c r="V6" s="309"/>
      <c r="W6" s="309"/>
      <c r="X6" s="309"/>
      <c r="Y6" s="309"/>
      <c r="Z6" s="309"/>
      <c r="AA6" s="310"/>
      <c r="AB6" s="224" t="s">
        <v>574</v>
      </c>
    </row>
    <row r="7" spans="1:74" ht="14.4" hidden="1" customHeight="1" x14ac:dyDescent="0.3">
      <c r="A7" s="27"/>
      <c r="B7" s="127"/>
      <c r="C7" s="129">
        <f>2015</f>
        <v>2015</v>
      </c>
      <c r="D7" s="69">
        <f>C7+1</f>
        <v>2016</v>
      </c>
      <c r="E7" s="69">
        <f>D7+1</f>
        <v>2017</v>
      </c>
      <c r="F7" s="69">
        <f t="shared" ref="F7:BQ7" si="0">E7+1</f>
        <v>2018</v>
      </c>
      <c r="G7" s="69">
        <f t="shared" si="0"/>
        <v>2019</v>
      </c>
      <c r="H7" s="69">
        <f t="shared" si="0"/>
        <v>2020</v>
      </c>
      <c r="I7" s="69">
        <f t="shared" si="0"/>
        <v>2021</v>
      </c>
      <c r="J7" s="69">
        <f t="shared" si="0"/>
        <v>2022</v>
      </c>
      <c r="K7" s="69">
        <f t="shared" si="0"/>
        <v>2023</v>
      </c>
      <c r="L7" s="82">
        <f t="shared" si="0"/>
        <v>2024</v>
      </c>
      <c r="M7" s="128">
        <f t="shared" si="0"/>
        <v>2025</v>
      </c>
      <c r="N7" s="69">
        <f t="shared" si="0"/>
        <v>2026</v>
      </c>
      <c r="O7" s="69">
        <f t="shared" si="0"/>
        <v>2027</v>
      </c>
      <c r="P7" s="69">
        <f t="shared" si="0"/>
        <v>2028</v>
      </c>
      <c r="Q7" s="82">
        <f t="shared" si="0"/>
        <v>2029</v>
      </c>
      <c r="R7" s="128">
        <f t="shared" si="0"/>
        <v>2030</v>
      </c>
      <c r="S7" s="69">
        <f t="shared" si="0"/>
        <v>2031</v>
      </c>
      <c r="T7" s="69">
        <f t="shared" si="0"/>
        <v>2032</v>
      </c>
      <c r="U7" s="69">
        <f t="shared" si="0"/>
        <v>2033</v>
      </c>
      <c r="V7" s="69">
        <f t="shared" si="0"/>
        <v>2034</v>
      </c>
      <c r="W7" s="69">
        <f t="shared" si="0"/>
        <v>2035</v>
      </c>
      <c r="X7" s="69">
        <f t="shared" si="0"/>
        <v>2036</v>
      </c>
      <c r="Y7" s="69">
        <f t="shared" si="0"/>
        <v>2037</v>
      </c>
      <c r="Z7" s="69">
        <f t="shared" si="0"/>
        <v>2038</v>
      </c>
      <c r="AA7" s="82">
        <f t="shared" si="0"/>
        <v>2039</v>
      </c>
      <c r="AB7" s="139">
        <f t="shared" si="0"/>
        <v>2040</v>
      </c>
      <c r="AC7" s="27">
        <f t="shared" si="0"/>
        <v>2041</v>
      </c>
      <c r="AD7" s="27">
        <f t="shared" si="0"/>
        <v>2042</v>
      </c>
      <c r="AE7" s="27">
        <f t="shared" si="0"/>
        <v>2043</v>
      </c>
      <c r="AF7" s="27">
        <f t="shared" si="0"/>
        <v>2044</v>
      </c>
      <c r="AG7" s="27">
        <f t="shared" si="0"/>
        <v>2045</v>
      </c>
      <c r="AH7" s="27">
        <f t="shared" si="0"/>
        <v>2046</v>
      </c>
      <c r="AI7" s="27">
        <f t="shared" si="0"/>
        <v>2047</v>
      </c>
      <c r="AJ7" s="27">
        <f t="shared" si="0"/>
        <v>2048</v>
      </c>
      <c r="AK7" s="27">
        <f t="shared" si="0"/>
        <v>2049</v>
      </c>
      <c r="AL7" s="27">
        <f t="shared" si="0"/>
        <v>2050</v>
      </c>
      <c r="AM7" s="27">
        <f t="shared" si="0"/>
        <v>2051</v>
      </c>
      <c r="AN7" s="27">
        <f t="shared" si="0"/>
        <v>2052</v>
      </c>
      <c r="AO7" s="27">
        <f t="shared" si="0"/>
        <v>2053</v>
      </c>
      <c r="AP7" s="27">
        <f t="shared" si="0"/>
        <v>2054</v>
      </c>
      <c r="AQ7" s="27">
        <f t="shared" si="0"/>
        <v>2055</v>
      </c>
      <c r="AR7" s="27">
        <f t="shared" si="0"/>
        <v>2056</v>
      </c>
      <c r="AS7" s="27">
        <f t="shared" si="0"/>
        <v>2057</v>
      </c>
      <c r="AT7" s="27">
        <f t="shared" si="0"/>
        <v>2058</v>
      </c>
      <c r="AU7" s="27">
        <f t="shared" si="0"/>
        <v>2059</v>
      </c>
      <c r="AV7" s="27">
        <f t="shared" si="0"/>
        <v>2060</v>
      </c>
      <c r="AW7" s="27">
        <f t="shared" si="0"/>
        <v>2061</v>
      </c>
      <c r="AX7" s="27">
        <f t="shared" si="0"/>
        <v>2062</v>
      </c>
      <c r="AY7" s="27">
        <f t="shared" si="0"/>
        <v>2063</v>
      </c>
      <c r="AZ7" s="27">
        <f t="shared" si="0"/>
        <v>2064</v>
      </c>
      <c r="BA7" s="27">
        <f t="shared" si="0"/>
        <v>2065</v>
      </c>
      <c r="BB7" s="27">
        <f t="shared" si="0"/>
        <v>2066</v>
      </c>
      <c r="BC7" s="27">
        <f t="shared" si="0"/>
        <v>2067</v>
      </c>
      <c r="BD7" s="27">
        <f t="shared" si="0"/>
        <v>2068</v>
      </c>
      <c r="BE7" s="27">
        <f t="shared" si="0"/>
        <v>2069</v>
      </c>
      <c r="BF7" s="27">
        <f t="shared" si="0"/>
        <v>2070</v>
      </c>
      <c r="BG7" s="27">
        <f t="shared" si="0"/>
        <v>2071</v>
      </c>
      <c r="BH7" s="27">
        <f t="shared" si="0"/>
        <v>2072</v>
      </c>
      <c r="BI7" s="27">
        <f t="shared" si="0"/>
        <v>2073</v>
      </c>
      <c r="BJ7" s="27">
        <f t="shared" si="0"/>
        <v>2074</v>
      </c>
      <c r="BK7" s="27">
        <f t="shared" si="0"/>
        <v>2075</v>
      </c>
      <c r="BL7" s="27">
        <f t="shared" si="0"/>
        <v>2076</v>
      </c>
      <c r="BM7" s="27">
        <f t="shared" si="0"/>
        <v>2077</v>
      </c>
      <c r="BN7" s="27">
        <f t="shared" si="0"/>
        <v>2078</v>
      </c>
      <c r="BO7" s="27">
        <f t="shared" si="0"/>
        <v>2079</v>
      </c>
      <c r="BP7" s="27">
        <f t="shared" si="0"/>
        <v>2080</v>
      </c>
      <c r="BQ7" s="27">
        <f t="shared" si="0"/>
        <v>2081</v>
      </c>
      <c r="BR7" s="27">
        <f t="shared" ref="BR7:BV7" si="1">BQ7+1</f>
        <v>2082</v>
      </c>
      <c r="BS7" s="27">
        <f t="shared" si="1"/>
        <v>2083</v>
      </c>
      <c r="BT7" s="27">
        <f t="shared" si="1"/>
        <v>2084</v>
      </c>
      <c r="BU7" s="27">
        <f t="shared" si="1"/>
        <v>2085</v>
      </c>
      <c r="BV7" s="27">
        <f t="shared" si="1"/>
        <v>2086</v>
      </c>
    </row>
    <row r="8" spans="1:74" ht="15" thickBot="1" x14ac:dyDescent="0.35">
      <c r="A8" s="27"/>
      <c r="B8" s="225"/>
      <c r="C8" s="226" t="str">
        <f>"FY "&amp;C7</f>
        <v>FY 2015</v>
      </c>
      <c r="D8" s="227" t="str">
        <f t="shared" ref="D8:AA8" si="2">"FY "&amp;D7</f>
        <v>FY 2016</v>
      </c>
      <c r="E8" s="227" t="str">
        <f t="shared" si="2"/>
        <v>FY 2017</v>
      </c>
      <c r="F8" s="227" t="str">
        <f t="shared" si="2"/>
        <v>FY 2018</v>
      </c>
      <c r="G8" s="227" t="str">
        <f t="shared" si="2"/>
        <v>FY 2019</v>
      </c>
      <c r="H8" s="227" t="str">
        <f t="shared" si="2"/>
        <v>FY 2020</v>
      </c>
      <c r="I8" s="227" t="str">
        <f t="shared" si="2"/>
        <v>FY 2021</v>
      </c>
      <c r="J8" s="227" t="str">
        <f t="shared" si="2"/>
        <v>FY 2022</v>
      </c>
      <c r="K8" s="227" t="str">
        <f t="shared" si="2"/>
        <v>FY 2023</v>
      </c>
      <c r="L8" s="228" t="str">
        <f t="shared" si="2"/>
        <v>FY 2024</v>
      </c>
      <c r="M8" s="229" t="str">
        <f t="shared" si="2"/>
        <v>FY 2025</v>
      </c>
      <c r="N8" s="227" t="str">
        <f t="shared" si="2"/>
        <v>FY 2026</v>
      </c>
      <c r="O8" s="227" t="str">
        <f t="shared" si="2"/>
        <v>FY 2027</v>
      </c>
      <c r="P8" s="227" t="str">
        <f t="shared" si="2"/>
        <v>FY 2028</v>
      </c>
      <c r="Q8" s="228" t="str">
        <f t="shared" si="2"/>
        <v>FY 2029</v>
      </c>
      <c r="R8" s="229" t="str">
        <f t="shared" si="2"/>
        <v>FY 2030</v>
      </c>
      <c r="S8" s="227" t="str">
        <f t="shared" si="2"/>
        <v>FY 2031</v>
      </c>
      <c r="T8" s="227" t="str">
        <f t="shared" si="2"/>
        <v>FY 2032</v>
      </c>
      <c r="U8" s="227" t="str">
        <f t="shared" si="2"/>
        <v>FY 2033</v>
      </c>
      <c r="V8" s="227" t="str">
        <f t="shared" si="2"/>
        <v>FY 2034</v>
      </c>
      <c r="W8" s="227" t="str">
        <f t="shared" si="2"/>
        <v>FY 2035</v>
      </c>
      <c r="X8" s="227" t="str">
        <f t="shared" si="2"/>
        <v>FY 2036</v>
      </c>
      <c r="Y8" s="227" t="str">
        <f t="shared" si="2"/>
        <v>FY 2037</v>
      </c>
      <c r="Z8" s="227" t="str">
        <f t="shared" si="2"/>
        <v>FY 2038</v>
      </c>
      <c r="AA8" s="228" t="str">
        <f t="shared" si="2"/>
        <v>FY 2039</v>
      </c>
      <c r="AB8" s="230" t="s">
        <v>575</v>
      </c>
    </row>
    <row r="9" spans="1:74" x14ac:dyDescent="0.3">
      <c r="B9" s="106" t="s">
        <v>654</v>
      </c>
      <c r="C9" s="179">
        <f>'2. Integrated Finance'!C24-'2. Integrated Finance'!C39</f>
        <v>2511.9000000000005</v>
      </c>
      <c r="D9" s="170">
        <f>'2. Integrated Finance'!D24-'2. Integrated Finance'!D39</f>
        <v>2792.2000000000025</v>
      </c>
      <c r="E9" s="170">
        <f>'2. Integrated Finance'!E24-'2. Integrated Finance'!E39</f>
        <v>2918.5999999999981</v>
      </c>
      <c r="F9" s="170">
        <f>'2. Integrated Finance'!F24-'2. Integrated Finance'!F39</f>
        <v>3232.9999999999982</v>
      </c>
      <c r="G9" s="170">
        <f>'2. Integrated Finance'!G24-'2. Integrated Finance'!G39</f>
        <v>3698.8999999999983</v>
      </c>
      <c r="H9" s="170">
        <f>'2. Integrated Finance'!H24-'2. Integrated Finance'!H39</f>
        <v>1893.4999999999984</v>
      </c>
      <c r="I9" s="170">
        <f>'2. Integrated Finance'!I24-'2. Integrated Finance'!I39</f>
        <v>4061.2999999999979</v>
      </c>
      <c r="J9" s="170">
        <f>'2. Integrated Finance'!J24-'2. Integrated Finance'!J39</f>
        <v>3906.4999999999991</v>
      </c>
      <c r="K9" s="170">
        <f>'2. Integrated Finance'!K24-'2. Integrated Finance'!K39</f>
        <v>4524.1999999999971</v>
      </c>
      <c r="L9" s="181">
        <f>'2. Integrated Finance'!L24-'2. Integrated Finance'!L39</f>
        <v>4322.9999999999991</v>
      </c>
      <c r="M9" s="170">
        <f>'2. Integrated Finance'!M24-'2. Integrated Finance'!M39</f>
        <v>5503.3205755165254</v>
      </c>
      <c r="N9" s="170">
        <f>'2. Integrated Finance'!N24-'2. Integrated Finance'!N39</f>
        <v>5604.8221069216743</v>
      </c>
      <c r="O9" s="170">
        <f>'2. Integrated Finance'!O24-'2. Integrated Finance'!O39</f>
        <v>6364.0786134039436</v>
      </c>
      <c r="P9" s="170">
        <f>'2. Integrated Finance'!P24-'2. Integrated Finance'!P39</f>
        <v>6776.6083285388668</v>
      </c>
      <c r="Q9" s="181">
        <f>'2. Integrated Finance'!Q24-'2. Integrated Finance'!Q39</f>
        <v>7502.2168089905244</v>
      </c>
      <c r="R9" s="170">
        <f>'2. Integrated Finance'!R24-'2. Integrated Finance'!R39</f>
        <v>8121.0261728331898</v>
      </c>
      <c r="S9" s="170">
        <f>'2. Integrated Finance'!S24-'2. Integrated Finance'!S39</f>
        <v>8914.8880936987753</v>
      </c>
      <c r="T9" s="170">
        <f>'2. Integrated Finance'!T24-'2. Integrated Finance'!T39</f>
        <v>9710.9997489381149</v>
      </c>
      <c r="U9" s="170">
        <f>'2. Integrated Finance'!U24-'2. Integrated Finance'!U39</f>
        <v>10632.696893582313</v>
      </c>
      <c r="V9" s="170">
        <f>'2. Integrated Finance'!V24-'2. Integrated Finance'!V39</f>
        <v>11612.147818151199</v>
      </c>
      <c r="W9" s="170">
        <f>'2. Integrated Finance'!W24-'2. Integrated Finance'!W39</f>
        <v>12706.810346633963</v>
      </c>
      <c r="X9" s="170">
        <f>'2. Integrated Finance'!X24-'2. Integrated Finance'!X39</f>
        <v>13894.109729273743</v>
      </c>
      <c r="Y9" s="170">
        <f>'2. Integrated Finance'!Y24-'2. Integrated Finance'!Y39</f>
        <v>15204.858521133632</v>
      </c>
      <c r="Z9" s="170">
        <f>'2. Integrated Finance'!Z24-'2. Integrated Finance'!Z39</f>
        <v>16636.783577894901</v>
      </c>
      <c r="AA9" s="181">
        <f>'2. Integrated Finance'!AA24-'2. Integrated Finance'!AA39</f>
        <v>18210.817981844593</v>
      </c>
      <c r="AB9" s="171">
        <f>'2. Integrated Finance'!AB24-'2. Integrated Finance'!AB39</f>
        <v>19934.727885995166</v>
      </c>
    </row>
    <row r="10" spans="1:74" x14ac:dyDescent="0.3">
      <c r="B10" s="106" t="s">
        <v>655</v>
      </c>
      <c r="C10" s="179">
        <f>'2. Integrated Finance'!C47</f>
        <v>20.658685626441198</v>
      </c>
      <c r="D10" s="170">
        <f>'2. Integrated Finance'!D47</f>
        <v>26.715955318439466</v>
      </c>
      <c r="E10" s="170">
        <f>'2. Integrated Finance'!E47</f>
        <v>30.692646207295901</v>
      </c>
      <c r="F10" s="170">
        <f>'2. Integrated Finance'!F47</f>
        <v>37.183148788927348</v>
      </c>
      <c r="G10" s="170">
        <f>'2. Integrated Finance'!G47</f>
        <v>64.596211544489748</v>
      </c>
      <c r="H10" s="170">
        <f>'2. Integrated Finance'!H47</f>
        <v>89.959549982823887</v>
      </c>
      <c r="I10" s="170">
        <f>'2. Integrated Finance'!I47</f>
        <v>101.43379193190094</v>
      </c>
      <c r="J10" s="170">
        <f>'2. Integrated Finance'!J47</f>
        <v>108.23286230771048</v>
      </c>
      <c r="K10" s="170">
        <f>'2. Integrated Finance'!K47</f>
        <v>130.06307410355623</v>
      </c>
      <c r="L10" s="181">
        <f>'2. Integrated Finance'!L47</f>
        <v>136.53062620734065</v>
      </c>
      <c r="M10" s="170">
        <f>'2. Integrated Finance'!M47</f>
        <v>71.385402525410981</v>
      </c>
      <c r="N10" s="170">
        <f>'2. Integrated Finance'!N47</f>
        <v>71.385402525410981</v>
      </c>
      <c r="O10" s="170">
        <f>'2. Integrated Finance'!O47</f>
        <v>71.385402525410981</v>
      </c>
      <c r="P10" s="170">
        <f>'2. Integrated Finance'!P47</f>
        <v>71.385402525410981</v>
      </c>
      <c r="Q10" s="181">
        <f>'2. Integrated Finance'!Q47</f>
        <v>71.385402525410981</v>
      </c>
      <c r="R10" s="170">
        <f>'2. Integrated Finance'!R47</f>
        <v>71.385402525410981</v>
      </c>
      <c r="S10" s="170">
        <f>'2. Integrated Finance'!S47</f>
        <v>71.385402525410981</v>
      </c>
      <c r="T10" s="170">
        <f>'2. Integrated Finance'!T47</f>
        <v>71.385402525410981</v>
      </c>
      <c r="U10" s="170">
        <f>'2. Integrated Finance'!U47</f>
        <v>71.385402525410981</v>
      </c>
      <c r="V10" s="170">
        <f>'2. Integrated Finance'!V47</f>
        <v>71.385402525410981</v>
      </c>
      <c r="W10" s="170">
        <f>'2. Integrated Finance'!W47</f>
        <v>71.385402525410981</v>
      </c>
      <c r="X10" s="170">
        <f>'2. Integrated Finance'!X47</f>
        <v>71.385402525410981</v>
      </c>
      <c r="Y10" s="170">
        <f>'2. Integrated Finance'!Y47</f>
        <v>71.385402525410981</v>
      </c>
      <c r="Z10" s="170">
        <f>'2. Integrated Finance'!Z47</f>
        <v>71.385402525410981</v>
      </c>
      <c r="AA10" s="181">
        <f>'2. Integrated Finance'!AA47</f>
        <v>71.385402525410981</v>
      </c>
      <c r="AB10" s="171">
        <f>'2. Integrated Finance'!AB47</f>
        <v>71.385402525410981</v>
      </c>
    </row>
    <row r="11" spans="1:74" ht="15" thickBot="1" x14ac:dyDescent="0.35">
      <c r="B11" s="172" t="s">
        <v>596</v>
      </c>
      <c r="C11" s="180">
        <f>C9-C10</f>
        <v>2491.2413143735594</v>
      </c>
      <c r="D11" s="167">
        <f t="shared" ref="D11:AB11" si="3">D9-D10</f>
        <v>2765.4840446815629</v>
      </c>
      <c r="E11" s="167">
        <f t="shared" si="3"/>
        <v>2887.907353792702</v>
      </c>
      <c r="F11" s="167">
        <f t="shared" si="3"/>
        <v>3195.816851211071</v>
      </c>
      <c r="G11" s="167">
        <f t="shared" si="3"/>
        <v>3634.3037884555083</v>
      </c>
      <c r="H11" s="167">
        <f t="shared" si="3"/>
        <v>1803.5404500171744</v>
      </c>
      <c r="I11" s="167">
        <f t="shared" si="3"/>
        <v>3959.866208068097</v>
      </c>
      <c r="J11" s="167">
        <f t="shared" si="3"/>
        <v>3798.2671376922885</v>
      </c>
      <c r="K11" s="167">
        <f t="shared" si="3"/>
        <v>4394.1369258964405</v>
      </c>
      <c r="L11" s="182">
        <f t="shared" si="3"/>
        <v>4186.4693737926582</v>
      </c>
      <c r="M11" s="167">
        <f t="shared" si="3"/>
        <v>5431.9351729911141</v>
      </c>
      <c r="N11" s="167">
        <f t="shared" si="3"/>
        <v>5533.4367043962629</v>
      </c>
      <c r="O11" s="167">
        <f t="shared" si="3"/>
        <v>6292.6932108785322</v>
      </c>
      <c r="P11" s="167">
        <f t="shared" si="3"/>
        <v>6705.2229260134554</v>
      </c>
      <c r="Q11" s="182">
        <f t="shared" si="3"/>
        <v>7430.8314064651131</v>
      </c>
      <c r="R11" s="167">
        <f t="shared" si="3"/>
        <v>8049.6407703077784</v>
      </c>
      <c r="S11" s="167">
        <f t="shared" si="3"/>
        <v>8843.5026911733639</v>
      </c>
      <c r="T11" s="167">
        <f t="shared" si="3"/>
        <v>9639.6143464127035</v>
      </c>
      <c r="U11" s="167">
        <f t="shared" si="3"/>
        <v>10561.311491056902</v>
      </c>
      <c r="V11" s="167">
        <f t="shared" si="3"/>
        <v>11540.762415625788</v>
      </c>
      <c r="W11" s="167">
        <f t="shared" si="3"/>
        <v>12635.424944108552</v>
      </c>
      <c r="X11" s="167">
        <f t="shared" si="3"/>
        <v>13822.724326748332</v>
      </c>
      <c r="Y11" s="167">
        <f t="shared" si="3"/>
        <v>15133.473118608221</v>
      </c>
      <c r="Z11" s="167">
        <f t="shared" si="3"/>
        <v>16565.39817536949</v>
      </c>
      <c r="AA11" s="182">
        <f t="shared" si="3"/>
        <v>18139.432579319182</v>
      </c>
      <c r="AB11" s="173">
        <f t="shared" si="3"/>
        <v>19863.342483469754</v>
      </c>
    </row>
    <row r="12" spans="1:74" ht="15" thickTop="1" x14ac:dyDescent="0.3">
      <c r="B12" s="106" t="s">
        <v>656</v>
      </c>
      <c r="C12" s="179">
        <f>'2. Integrated Finance'!C28-'2. Integrated Finance'!C47</f>
        <v>49.841314373558802</v>
      </c>
      <c r="D12" s="170">
        <f>'2. Integrated Finance'!D28-'2. Integrated Finance'!D47</f>
        <v>54.584044681560528</v>
      </c>
      <c r="E12" s="170">
        <f>'2. Integrated Finance'!E28-'2. Integrated Finance'!E47</f>
        <v>61.807353792704099</v>
      </c>
      <c r="F12" s="170">
        <f>'2. Integrated Finance'!F28-'2. Integrated Finance'!F47</f>
        <v>133.11685121107266</v>
      </c>
      <c r="G12" s="170">
        <f>'2. Integrated Finance'!G28-'2. Integrated Finance'!G47</f>
        <v>266.40378845551027</v>
      </c>
      <c r="H12" s="170">
        <f>'2. Integrated Finance'!H28-'2. Integrated Finance'!H47</f>
        <v>347.04045001717611</v>
      </c>
      <c r="I12" s="170">
        <f>'2. Integrated Finance'!I28-'2. Integrated Finance'!I47</f>
        <v>368.36620806809907</v>
      </c>
      <c r="J12" s="170">
        <f>'2. Integrated Finance'!J28-'2. Integrated Finance'!J47</f>
        <v>374.66713769228949</v>
      </c>
      <c r="K12" s="170">
        <f>'2. Integrated Finance'!K28-'2. Integrated Finance'!K47</f>
        <v>420.03692589644379</v>
      </c>
      <c r="L12" s="181">
        <f>'2. Integrated Finance'!L28-'2. Integrated Finance'!L47</f>
        <v>425.46937379265933</v>
      </c>
      <c r="M12" s="170">
        <f>'2. Integrated Finance'!M28-'2. Integrated Finance'!M47</f>
        <v>253.35459747458896</v>
      </c>
      <c r="N12" s="170">
        <f>'2. Integrated Finance'!N28-'2. Integrated Finance'!N47</f>
        <v>253.35459747458896</v>
      </c>
      <c r="O12" s="170">
        <f>'2. Integrated Finance'!O28-'2. Integrated Finance'!O47</f>
        <v>253.35459747458896</v>
      </c>
      <c r="P12" s="170">
        <f>'2. Integrated Finance'!P28-'2. Integrated Finance'!P47</f>
        <v>253.35459747458896</v>
      </c>
      <c r="Q12" s="181">
        <f>'2. Integrated Finance'!Q28-'2. Integrated Finance'!Q47</f>
        <v>253.35459747458896</v>
      </c>
      <c r="R12" s="170">
        <f>'2. Integrated Finance'!R28-'2. Integrated Finance'!R47</f>
        <v>253.35459747458896</v>
      </c>
      <c r="S12" s="170">
        <f>'2. Integrated Finance'!S28-'2. Integrated Finance'!S47</f>
        <v>253.35459747458896</v>
      </c>
      <c r="T12" s="170">
        <f>'2. Integrated Finance'!T28-'2. Integrated Finance'!T47</f>
        <v>253.35459747458896</v>
      </c>
      <c r="U12" s="170">
        <f>'2. Integrated Finance'!U28-'2. Integrated Finance'!U47</f>
        <v>253.35459747458896</v>
      </c>
      <c r="V12" s="170">
        <f>'2. Integrated Finance'!V28-'2. Integrated Finance'!V47</f>
        <v>253.35459747458896</v>
      </c>
      <c r="W12" s="170">
        <f>'2. Integrated Finance'!W28-'2. Integrated Finance'!W47</f>
        <v>253.35459747458896</v>
      </c>
      <c r="X12" s="170">
        <f>'2. Integrated Finance'!X28-'2. Integrated Finance'!X47</f>
        <v>253.35459747458896</v>
      </c>
      <c r="Y12" s="170">
        <f>'2. Integrated Finance'!Y28-'2. Integrated Finance'!Y47</f>
        <v>253.35459747458896</v>
      </c>
      <c r="Z12" s="170">
        <f>'2. Integrated Finance'!Z28-'2. Integrated Finance'!Z47</f>
        <v>253.35459747458896</v>
      </c>
      <c r="AA12" s="181">
        <f>'2. Integrated Finance'!AA28-'2. Integrated Finance'!AA47</f>
        <v>253.35459747458896</v>
      </c>
      <c r="AB12" s="171">
        <f>'2. Integrated Finance'!AB28-'2. Integrated Finance'!AB47</f>
        <v>253.35459747458896</v>
      </c>
    </row>
    <row r="13" spans="1:74" ht="15" thickBot="1" x14ac:dyDescent="0.35">
      <c r="B13" s="106"/>
      <c r="C13" s="87"/>
      <c r="L13" s="147"/>
      <c r="Q13" s="147"/>
      <c r="AA13" s="147"/>
      <c r="AB13" s="152"/>
    </row>
    <row r="14" spans="1:74" x14ac:dyDescent="0.3">
      <c r="B14" s="311" t="s">
        <v>597</v>
      </c>
      <c r="C14" s="312"/>
      <c r="D14" s="312"/>
      <c r="E14" s="312"/>
      <c r="F14" s="312"/>
      <c r="G14" s="312"/>
      <c r="H14" s="312"/>
      <c r="I14" s="312"/>
      <c r="J14" s="312"/>
      <c r="K14" s="312"/>
      <c r="L14" s="312"/>
      <c r="M14" s="312"/>
      <c r="N14" s="312"/>
      <c r="O14" s="312"/>
      <c r="P14" s="312"/>
      <c r="Q14" s="312"/>
      <c r="R14" s="312"/>
      <c r="S14" s="312"/>
      <c r="T14" s="312"/>
      <c r="U14" s="312"/>
      <c r="V14" s="312"/>
      <c r="W14" s="312"/>
      <c r="X14" s="312"/>
      <c r="Y14" s="312"/>
      <c r="Z14" s="312"/>
      <c r="AA14" s="312"/>
      <c r="AB14" s="313"/>
    </row>
    <row r="15" spans="1:74" x14ac:dyDescent="0.3">
      <c r="A15" s="27"/>
      <c r="B15" s="223" t="s">
        <v>570</v>
      </c>
      <c r="C15" s="314" t="s">
        <v>571</v>
      </c>
      <c r="D15" s="315"/>
      <c r="E15" s="315"/>
      <c r="F15" s="315"/>
      <c r="G15" s="315"/>
      <c r="H15" s="315"/>
      <c r="I15" s="315"/>
      <c r="J15" s="315"/>
      <c r="K15" s="315"/>
      <c r="L15" s="316"/>
      <c r="M15" s="308" t="s">
        <v>572</v>
      </c>
      <c r="N15" s="309"/>
      <c r="O15" s="309"/>
      <c r="P15" s="309"/>
      <c r="Q15" s="310"/>
      <c r="R15" s="308" t="s">
        <v>573</v>
      </c>
      <c r="S15" s="309"/>
      <c r="T15" s="309"/>
      <c r="U15" s="309"/>
      <c r="V15" s="309"/>
      <c r="W15" s="309"/>
      <c r="X15" s="309"/>
      <c r="Y15" s="309"/>
      <c r="Z15" s="309"/>
      <c r="AA15" s="310"/>
      <c r="AB15" s="224" t="s">
        <v>574</v>
      </c>
    </row>
    <row r="16" spans="1:74" ht="14.4" hidden="1" customHeight="1" x14ac:dyDescent="0.3">
      <c r="A16" s="27"/>
      <c r="B16" s="127"/>
      <c r="C16" s="129">
        <f>2015</f>
        <v>2015</v>
      </c>
      <c r="D16" s="69">
        <f>C16+1</f>
        <v>2016</v>
      </c>
      <c r="E16" s="69">
        <f>D16+1</f>
        <v>2017</v>
      </c>
      <c r="F16" s="69">
        <f t="shared" ref="F16" si="4">E16+1</f>
        <v>2018</v>
      </c>
      <c r="G16" s="69">
        <f t="shared" ref="G16" si="5">F16+1</f>
        <v>2019</v>
      </c>
      <c r="H16" s="69">
        <f t="shared" ref="H16" si="6">G16+1</f>
        <v>2020</v>
      </c>
      <c r="I16" s="69">
        <f t="shared" ref="I16" si="7">H16+1</f>
        <v>2021</v>
      </c>
      <c r="J16" s="69">
        <f t="shared" ref="J16" si="8">I16+1</f>
        <v>2022</v>
      </c>
      <c r="K16" s="69">
        <f t="shared" ref="K16" si="9">J16+1</f>
        <v>2023</v>
      </c>
      <c r="L16" s="82">
        <f t="shared" ref="L16" si="10">K16+1</f>
        <v>2024</v>
      </c>
      <c r="M16" s="128">
        <f t="shared" ref="M16" si="11">L16+1</f>
        <v>2025</v>
      </c>
      <c r="N16" s="69">
        <f t="shared" ref="N16" si="12">M16+1</f>
        <v>2026</v>
      </c>
      <c r="O16" s="69">
        <f t="shared" ref="O16" si="13">N16+1</f>
        <v>2027</v>
      </c>
      <c r="P16" s="69">
        <f t="shared" ref="P16" si="14">O16+1</f>
        <v>2028</v>
      </c>
      <c r="Q16" s="82">
        <f t="shared" ref="Q16" si="15">P16+1</f>
        <v>2029</v>
      </c>
      <c r="R16" s="128">
        <f t="shared" ref="R16" si="16">Q16+1</f>
        <v>2030</v>
      </c>
      <c r="S16" s="69">
        <f t="shared" ref="S16" si="17">R16+1</f>
        <v>2031</v>
      </c>
      <c r="T16" s="69">
        <f t="shared" ref="T16" si="18">S16+1</f>
        <v>2032</v>
      </c>
      <c r="U16" s="69">
        <f t="shared" ref="U16" si="19">T16+1</f>
        <v>2033</v>
      </c>
      <c r="V16" s="69">
        <f t="shared" ref="V16" si="20">U16+1</f>
        <v>2034</v>
      </c>
      <c r="W16" s="69">
        <f t="shared" ref="W16" si="21">V16+1</f>
        <v>2035</v>
      </c>
      <c r="X16" s="69">
        <f t="shared" ref="X16" si="22">W16+1</f>
        <v>2036</v>
      </c>
      <c r="Y16" s="69">
        <f t="shared" ref="Y16" si="23">X16+1</f>
        <v>2037</v>
      </c>
      <c r="Z16" s="69">
        <f t="shared" ref="Z16" si="24">Y16+1</f>
        <v>2038</v>
      </c>
      <c r="AA16" s="82">
        <f t="shared" ref="AA16" si="25">Z16+1</f>
        <v>2039</v>
      </c>
      <c r="AB16" s="139">
        <f t="shared" ref="AB16" si="26">AA16+1</f>
        <v>2040</v>
      </c>
      <c r="AC16" s="27">
        <f t="shared" ref="AC16" si="27">AB16+1</f>
        <v>2041</v>
      </c>
      <c r="AD16" s="27">
        <f t="shared" ref="AD16" si="28">AC16+1</f>
        <v>2042</v>
      </c>
      <c r="AE16" s="27">
        <f t="shared" ref="AE16" si="29">AD16+1</f>
        <v>2043</v>
      </c>
      <c r="AF16" s="27">
        <f t="shared" ref="AF16" si="30">AE16+1</f>
        <v>2044</v>
      </c>
      <c r="AG16" s="27">
        <f t="shared" ref="AG16" si="31">AF16+1</f>
        <v>2045</v>
      </c>
      <c r="AH16" s="27">
        <f t="shared" ref="AH16" si="32">AG16+1</f>
        <v>2046</v>
      </c>
      <c r="AI16" s="27">
        <f t="shared" ref="AI16" si="33">AH16+1</f>
        <v>2047</v>
      </c>
      <c r="AJ16" s="27">
        <f t="shared" ref="AJ16" si="34">AI16+1</f>
        <v>2048</v>
      </c>
      <c r="AK16" s="27">
        <f t="shared" ref="AK16" si="35">AJ16+1</f>
        <v>2049</v>
      </c>
      <c r="AL16" s="27">
        <f t="shared" ref="AL16" si="36">AK16+1</f>
        <v>2050</v>
      </c>
      <c r="AM16" s="27">
        <f t="shared" ref="AM16" si="37">AL16+1</f>
        <v>2051</v>
      </c>
      <c r="AN16" s="27">
        <f t="shared" ref="AN16" si="38">AM16+1</f>
        <v>2052</v>
      </c>
      <c r="AO16" s="27">
        <f t="shared" ref="AO16" si="39">AN16+1</f>
        <v>2053</v>
      </c>
      <c r="AP16" s="27">
        <f t="shared" ref="AP16" si="40">AO16+1</f>
        <v>2054</v>
      </c>
      <c r="AQ16" s="27">
        <f t="shared" ref="AQ16" si="41">AP16+1</f>
        <v>2055</v>
      </c>
      <c r="AR16" s="27">
        <f t="shared" ref="AR16" si="42">AQ16+1</f>
        <v>2056</v>
      </c>
      <c r="AS16" s="27">
        <f t="shared" ref="AS16" si="43">AR16+1</f>
        <v>2057</v>
      </c>
      <c r="AT16" s="27">
        <f t="shared" ref="AT16" si="44">AS16+1</f>
        <v>2058</v>
      </c>
      <c r="AU16" s="27">
        <f t="shared" ref="AU16" si="45">AT16+1</f>
        <v>2059</v>
      </c>
      <c r="AV16" s="27">
        <f t="shared" ref="AV16" si="46">AU16+1</f>
        <v>2060</v>
      </c>
      <c r="AW16" s="27">
        <f t="shared" ref="AW16" si="47">AV16+1</f>
        <v>2061</v>
      </c>
      <c r="AX16" s="27">
        <f t="shared" ref="AX16" si="48">AW16+1</f>
        <v>2062</v>
      </c>
      <c r="AY16" s="27">
        <f t="shared" ref="AY16" si="49">AX16+1</f>
        <v>2063</v>
      </c>
      <c r="AZ16" s="27">
        <f t="shared" ref="AZ16" si="50">AY16+1</f>
        <v>2064</v>
      </c>
      <c r="BA16" s="27">
        <f t="shared" ref="BA16" si="51">AZ16+1</f>
        <v>2065</v>
      </c>
      <c r="BB16" s="27">
        <f t="shared" ref="BB16" si="52">BA16+1</f>
        <v>2066</v>
      </c>
      <c r="BC16" s="27">
        <f t="shared" ref="BC16" si="53">BB16+1</f>
        <v>2067</v>
      </c>
      <c r="BD16" s="27">
        <f t="shared" ref="BD16" si="54">BC16+1</f>
        <v>2068</v>
      </c>
      <c r="BE16" s="27">
        <f t="shared" ref="BE16" si="55">BD16+1</f>
        <v>2069</v>
      </c>
      <c r="BF16" s="27">
        <f t="shared" ref="BF16" si="56">BE16+1</f>
        <v>2070</v>
      </c>
      <c r="BG16" s="27">
        <f t="shared" ref="BG16" si="57">BF16+1</f>
        <v>2071</v>
      </c>
      <c r="BH16" s="27">
        <f t="shared" ref="BH16" si="58">BG16+1</f>
        <v>2072</v>
      </c>
      <c r="BI16" s="27">
        <f t="shared" ref="BI16" si="59">BH16+1</f>
        <v>2073</v>
      </c>
      <c r="BJ16" s="27">
        <f t="shared" ref="BJ16" si="60">BI16+1</f>
        <v>2074</v>
      </c>
      <c r="BK16" s="27">
        <f t="shared" ref="BK16" si="61">BJ16+1</f>
        <v>2075</v>
      </c>
      <c r="BL16" s="27">
        <f t="shared" ref="BL16" si="62">BK16+1</f>
        <v>2076</v>
      </c>
      <c r="BM16" s="27">
        <f t="shared" ref="BM16" si="63">BL16+1</f>
        <v>2077</v>
      </c>
      <c r="BN16" s="27">
        <f t="shared" ref="BN16" si="64">BM16+1</f>
        <v>2078</v>
      </c>
      <c r="BO16" s="27">
        <f t="shared" ref="BO16" si="65">BN16+1</f>
        <v>2079</v>
      </c>
      <c r="BP16" s="27">
        <f t="shared" ref="BP16" si="66">BO16+1</f>
        <v>2080</v>
      </c>
      <c r="BQ16" s="27">
        <f t="shared" ref="BQ16" si="67">BP16+1</f>
        <v>2081</v>
      </c>
      <c r="BR16" s="27">
        <f t="shared" ref="BR16" si="68">BQ16+1</f>
        <v>2082</v>
      </c>
      <c r="BS16" s="27">
        <f t="shared" ref="BS16" si="69">BR16+1</f>
        <v>2083</v>
      </c>
      <c r="BT16" s="27">
        <f t="shared" ref="BT16" si="70">BS16+1</f>
        <v>2084</v>
      </c>
      <c r="BU16" s="27">
        <f t="shared" ref="BU16" si="71">BT16+1</f>
        <v>2085</v>
      </c>
      <c r="BV16" s="27">
        <f t="shared" ref="BV16" si="72">BU16+1</f>
        <v>2086</v>
      </c>
    </row>
    <row r="17" spans="1:28" ht="15" thickBot="1" x14ac:dyDescent="0.35">
      <c r="A17" s="27"/>
      <c r="B17" s="225"/>
      <c r="C17" s="226" t="str">
        <f>"FY "&amp;C16</f>
        <v>FY 2015</v>
      </c>
      <c r="D17" s="227" t="str">
        <f t="shared" ref="D17:AA17" si="73">"FY "&amp;D16</f>
        <v>FY 2016</v>
      </c>
      <c r="E17" s="227" t="str">
        <f t="shared" si="73"/>
        <v>FY 2017</v>
      </c>
      <c r="F17" s="227" t="str">
        <f t="shared" si="73"/>
        <v>FY 2018</v>
      </c>
      <c r="G17" s="227" t="str">
        <f t="shared" si="73"/>
        <v>FY 2019</v>
      </c>
      <c r="H17" s="227" t="str">
        <f t="shared" si="73"/>
        <v>FY 2020</v>
      </c>
      <c r="I17" s="227" t="str">
        <f t="shared" si="73"/>
        <v>FY 2021</v>
      </c>
      <c r="J17" s="227" t="str">
        <f t="shared" si="73"/>
        <v>FY 2022</v>
      </c>
      <c r="K17" s="227" t="str">
        <f t="shared" si="73"/>
        <v>FY 2023</v>
      </c>
      <c r="L17" s="228" t="str">
        <f t="shared" si="73"/>
        <v>FY 2024</v>
      </c>
      <c r="M17" s="229" t="str">
        <f t="shared" si="73"/>
        <v>FY 2025</v>
      </c>
      <c r="N17" s="227" t="str">
        <f t="shared" si="73"/>
        <v>FY 2026</v>
      </c>
      <c r="O17" s="227" t="str">
        <f t="shared" si="73"/>
        <v>FY 2027</v>
      </c>
      <c r="P17" s="227" t="str">
        <f t="shared" si="73"/>
        <v>FY 2028</v>
      </c>
      <c r="Q17" s="228" t="str">
        <f t="shared" si="73"/>
        <v>FY 2029</v>
      </c>
      <c r="R17" s="229" t="str">
        <f t="shared" si="73"/>
        <v>FY 2030</v>
      </c>
      <c r="S17" s="227" t="str">
        <f t="shared" si="73"/>
        <v>FY 2031</v>
      </c>
      <c r="T17" s="227" t="str">
        <f t="shared" si="73"/>
        <v>FY 2032</v>
      </c>
      <c r="U17" s="227" t="str">
        <f t="shared" si="73"/>
        <v>FY 2033</v>
      </c>
      <c r="V17" s="227" t="str">
        <f t="shared" si="73"/>
        <v>FY 2034</v>
      </c>
      <c r="W17" s="227" t="str">
        <f t="shared" si="73"/>
        <v>FY 2035</v>
      </c>
      <c r="X17" s="227" t="str">
        <f t="shared" si="73"/>
        <v>FY 2036</v>
      </c>
      <c r="Y17" s="227" t="str">
        <f t="shared" si="73"/>
        <v>FY 2037</v>
      </c>
      <c r="Z17" s="227" t="str">
        <f t="shared" si="73"/>
        <v>FY 2038</v>
      </c>
      <c r="AA17" s="228" t="str">
        <f t="shared" si="73"/>
        <v>FY 2039</v>
      </c>
      <c r="AB17" s="230" t="s">
        <v>575</v>
      </c>
    </row>
    <row r="18" spans="1:28" x14ac:dyDescent="0.3">
      <c r="B18" s="106" t="s">
        <v>657</v>
      </c>
      <c r="C18" s="179"/>
      <c r="D18" s="170">
        <f>C20</f>
        <v>322.90000000000009</v>
      </c>
      <c r="E18" s="170">
        <f t="shared" ref="E18:AB18" si="74">D20</f>
        <v>213.60000000000036</v>
      </c>
      <c r="F18" s="170">
        <f t="shared" si="74"/>
        <v>1062.6999999999998</v>
      </c>
      <c r="G18" s="170">
        <f t="shared" si="74"/>
        <v>6810.0000000000009</v>
      </c>
      <c r="H18" s="170">
        <f t="shared" si="74"/>
        <v>-514.80000000000018</v>
      </c>
      <c r="I18" s="170">
        <f t="shared" si="74"/>
        <v>459.59999999999945</v>
      </c>
      <c r="J18" s="170">
        <f t="shared" si="74"/>
        <v>1605</v>
      </c>
      <c r="K18" s="170">
        <f t="shared" si="74"/>
        <v>-2133.0999999999995</v>
      </c>
      <c r="L18" s="181">
        <f t="shared" si="74"/>
        <v>-2041.8999999999996</v>
      </c>
      <c r="M18" s="170">
        <f t="shared" si="74"/>
        <v>-2222.6000000000004</v>
      </c>
      <c r="N18" s="170">
        <f t="shared" si="74"/>
        <v>863.81394697973712</v>
      </c>
      <c r="O18" s="170">
        <f t="shared" si="74"/>
        <v>934.39223305986582</v>
      </c>
      <c r="P18" s="170">
        <f t="shared" si="74"/>
        <v>1011.1778698774145</v>
      </c>
      <c r="Q18" s="181">
        <f t="shared" si="74"/>
        <v>1094.723960207918</v>
      </c>
      <c r="R18" s="170">
        <f t="shared" si="74"/>
        <v>1185.6339670843959</v>
      </c>
      <c r="S18" s="170">
        <f t="shared" si="74"/>
        <v>1284.5664088145265</v>
      </c>
      <c r="T18" s="170">
        <f t="shared" si="74"/>
        <v>1392.240002906419</v>
      </c>
      <c r="U18" s="170">
        <f t="shared" si="74"/>
        <v>1509.4393029394801</v>
      </c>
      <c r="V18" s="170">
        <f t="shared" si="74"/>
        <v>1637.0208768448915</v>
      </c>
      <c r="W18" s="170">
        <f t="shared" si="74"/>
        <v>1775.9200799437378</v>
      </c>
      <c r="X18" s="170">
        <f t="shared" si="74"/>
        <v>1927.1584814776108</v>
      </c>
      <c r="Y18" s="170">
        <f t="shared" si="74"/>
        <v>2091.8520093095258</v>
      </c>
      <c r="Z18" s="170">
        <f t="shared" si="74"/>
        <v>2271.2198840306892</v>
      </c>
      <c r="AA18" s="181">
        <f t="shared" si="74"/>
        <v>2466.5944209459603</v>
      </c>
      <c r="AB18" s="171">
        <f t="shared" si="74"/>
        <v>2679.431786399442</v>
      </c>
    </row>
    <row r="19" spans="1:28" x14ac:dyDescent="0.3">
      <c r="B19" s="174" t="s">
        <v>658</v>
      </c>
      <c r="C19" s="183"/>
      <c r="D19" s="168">
        <f>D20-D18</f>
        <v>-109.29999999999973</v>
      </c>
      <c r="E19" s="168">
        <f t="shared" ref="E19:AB19" si="75">E20-E18</f>
        <v>849.09999999999945</v>
      </c>
      <c r="F19" s="168">
        <f t="shared" si="75"/>
        <v>5747.3000000000011</v>
      </c>
      <c r="G19" s="168">
        <f t="shared" si="75"/>
        <v>-7324.8000000000011</v>
      </c>
      <c r="H19" s="168">
        <f t="shared" si="75"/>
        <v>974.39999999999964</v>
      </c>
      <c r="I19" s="168">
        <f t="shared" si="75"/>
        <v>1145.4000000000005</v>
      </c>
      <c r="J19" s="168">
        <f t="shared" si="75"/>
        <v>-3738.0999999999995</v>
      </c>
      <c r="K19" s="168">
        <f t="shared" si="75"/>
        <v>91.199999999999818</v>
      </c>
      <c r="L19" s="185">
        <f t="shared" si="75"/>
        <v>-180.70000000000073</v>
      </c>
      <c r="M19" s="168">
        <f t="shared" si="75"/>
        <v>3086.4139469797374</v>
      </c>
      <c r="N19" s="168">
        <f t="shared" si="75"/>
        <v>70.578286080128692</v>
      </c>
      <c r="O19" s="168">
        <f t="shared" si="75"/>
        <v>76.785636817548721</v>
      </c>
      <c r="P19" s="168">
        <f t="shared" si="75"/>
        <v>83.546090330503489</v>
      </c>
      <c r="Q19" s="185">
        <f t="shared" si="75"/>
        <v>90.910006876477837</v>
      </c>
      <c r="R19" s="168">
        <f t="shared" si="75"/>
        <v>98.932441730130677</v>
      </c>
      <c r="S19" s="168">
        <f t="shared" si="75"/>
        <v>107.67359409189248</v>
      </c>
      <c r="T19" s="168">
        <f t="shared" si="75"/>
        <v>117.19930003306104</v>
      </c>
      <c r="U19" s="168">
        <f t="shared" si="75"/>
        <v>127.58157390541146</v>
      </c>
      <c r="V19" s="168">
        <f t="shared" si="75"/>
        <v>138.89920309884633</v>
      </c>
      <c r="W19" s="168">
        <f t="shared" si="75"/>
        <v>151.238401533873</v>
      </c>
      <c r="X19" s="168">
        <f t="shared" si="75"/>
        <v>164.69352783191493</v>
      </c>
      <c r="Y19" s="168">
        <f t="shared" si="75"/>
        <v>179.36787472116339</v>
      </c>
      <c r="Z19" s="168">
        <f t="shared" si="75"/>
        <v>195.37453691527116</v>
      </c>
      <c r="AA19" s="185">
        <f t="shared" si="75"/>
        <v>212.83736545348165</v>
      </c>
      <c r="AB19" s="175">
        <f t="shared" si="75"/>
        <v>231.8920173215879</v>
      </c>
    </row>
    <row r="20" spans="1:28" x14ac:dyDescent="0.3">
      <c r="B20" s="106" t="s">
        <v>659</v>
      </c>
      <c r="C20" s="179">
        <f>'2. Integrated Finance'!C59</f>
        <v>322.90000000000009</v>
      </c>
      <c r="D20" s="170">
        <f>'2. Integrated Finance'!D59</f>
        <v>213.60000000000036</v>
      </c>
      <c r="E20" s="170">
        <f>'2. Integrated Finance'!E59</f>
        <v>1062.6999999999998</v>
      </c>
      <c r="F20" s="170">
        <f>'2. Integrated Finance'!F59</f>
        <v>6810.0000000000009</v>
      </c>
      <c r="G20" s="170">
        <f>'2. Integrated Finance'!G59</f>
        <v>-514.80000000000018</v>
      </c>
      <c r="H20" s="170">
        <f>'2. Integrated Finance'!H59</f>
        <v>459.59999999999945</v>
      </c>
      <c r="I20" s="170">
        <f>'2. Integrated Finance'!I59</f>
        <v>1605</v>
      </c>
      <c r="J20" s="170">
        <f>'2. Integrated Finance'!J59</f>
        <v>-2133.0999999999995</v>
      </c>
      <c r="K20" s="170">
        <f>'2. Integrated Finance'!K59</f>
        <v>-2041.8999999999996</v>
      </c>
      <c r="L20" s="181">
        <f>'2. Integrated Finance'!L59</f>
        <v>-2222.6000000000004</v>
      </c>
      <c r="M20" s="170">
        <f>'2. Integrated Finance'!M59</f>
        <v>863.81394697973712</v>
      </c>
      <c r="N20" s="170">
        <f>'2. Integrated Finance'!N59</f>
        <v>934.39223305986582</v>
      </c>
      <c r="O20" s="170">
        <f>'2. Integrated Finance'!O59</f>
        <v>1011.1778698774145</v>
      </c>
      <c r="P20" s="170">
        <f>'2. Integrated Finance'!P59</f>
        <v>1094.723960207918</v>
      </c>
      <c r="Q20" s="181">
        <f>'2. Integrated Finance'!Q59</f>
        <v>1185.6339670843959</v>
      </c>
      <c r="R20" s="170">
        <f>'2. Integrated Finance'!R59</f>
        <v>1284.5664088145265</v>
      </c>
      <c r="S20" s="170">
        <f>'2. Integrated Finance'!S59</f>
        <v>1392.240002906419</v>
      </c>
      <c r="T20" s="170">
        <f>'2. Integrated Finance'!T59</f>
        <v>1509.4393029394801</v>
      </c>
      <c r="U20" s="170">
        <f>'2. Integrated Finance'!U59</f>
        <v>1637.0208768448915</v>
      </c>
      <c r="V20" s="170">
        <f>'2. Integrated Finance'!V59</f>
        <v>1775.9200799437378</v>
      </c>
      <c r="W20" s="170">
        <f>'2. Integrated Finance'!W59</f>
        <v>1927.1584814776108</v>
      </c>
      <c r="X20" s="170">
        <f>'2. Integrated Finance'!X59</f>
        <v>2091.8520093095258</v>
      </c>
      <c r="Y20" s="170">
        <f>'2. Integrated Finance'!Y59</f>
        <v>2271.2198840306892</v>
      </c>
      <c r="Z20" s="170">
        <f>'2. Integrated Finance'!Z59</f>
        <v>2466.5944209459603</v>
      </c>
      <c r="AA20" s="181">
        <f>'2. Integrated Finance'!AA59</f>
        <v>2679.431786399442</v>
      </c>
      <c r="AB20" s="171">
        <f>'2. Integrated Finance'!AB59</f>
        <v>2911.3238037210299</v>
      </c>
    </row>
    <row r="21" spans="1:28" x14ac:dyDescent="0.3">
      <c r="B21" s="106"/>
      <c r="C21" s="87"/>
      <c r="L21" s="147"/>
      <c r="Q21" s="147"/>
      <c r="AA21" s="147"/>
      <c r="AB21" s="152"/>
    </row>
    <row r="22" spans="1:28" x14ac:dyDescent="0.3">
      <c r="B22" s="106" t="s">
        <v>660</v>
      </c>
      <c r="C22" s="179"/>
      <c r="D22" s="170">
        <f>C24</f>
        <v>3487.4</v>
      </c>
      <c r="E22" s="170">
        <f t="shared" ref="E22:AB22" si="76">D24</f>
        <v>3844.1000000000004</v>
      </c>
      <c r="F22" s="170">
        <f t="shared" si="76"/>
        <v>4164.2</v>
      </c>
      <c r="G22" s="170">
        <f t="shared" si="76"/>
        <v>-2277.1000000000004</v>
      </c>
      <c r="H22" s="170">
        <f t="shared" si="76"/>
        <v>-1683.1999999999998</v>
      </c>
      <c r="I22" s="170">
        <f t="shared" si="76"/>
        <v>-792</v>
      </c>
      <c r="J22" s="170">
        <f t="shared" si="76"/>
        <v>-333.29999999999927</v>
      </c>
      <c r="K22" s="170">
        <f t="shared" si="76"/>
        <v>170.70000000000073</v>
      </c>
      <c r="L22" s="181">
        <f t="shared" si="76"/>
        <v>1259.2999999999993</v>
      </c>
      <c r="M22" s="170">
        <f t="shared" si="76"/>
        <v>2560.2999999999993</v>
      </c>
      <c r="N22" s="170">
        <f t="shared" si="76"/>
        <v>1793.9624863127033</v>
      </c>
      <c r="O22" s="170">
        <f t="shared" si="76"/>
        <v>1940.5389545657299</v>
      </c>
      <c r="P22" s="170">
        <f t="shared" si="76"/>
        <v>2100.0068034236338</v>
      </c>
      <c r="Q22" s="181">
        <f t="shared" si="76"/>
        <v>2273.5147126847137</v>
      </c>
      <c r="R22" s="170">
        <f t="shared" si="76"/>
        <v>2462.3159499616304</v>
      </c>
      <c r="S22" s="170">
        <f t="shared" si="76"/>
        <v>2667.7781212587265</v>
      </c>
      <c r="T22" s="170">
        <f t="shared" si="76"/>
        <v>2891.3938538394455</v>
      </c>
      <c r="U22" s="170">
        <f t="shared" si="76"/>
        <v>3134.7925028385112</v>
      </c>
      <c r="V22" s="170">
        <f t="shared" si="76"/>
        <v>3399.7529822696324</v>
      </c>
      <c r="W22" s="170">
        <f t="shared" si="76"/>
        <v>3688.2178312215378</v>
      </c>
      <c r="X22" s="170">
        <f t="shared" si="76"/>
        <v>4002.3086372224166</v>
      </c>
      <c r="Y22" s="170">
        <f t="shared" si="76"/>
        <v>4344.3429510951964</v>
      </c>
      <c r="Z22" s="170">
        <f t="shared" si="76"/>
        <v>4716.8528412451315</v>
      </c>
      <c r="AA22" s="181">
        <f t="shared" si="76"/>
        <v>5122.6052503515048</v>
      </c>
      <c r="AB22" s="171">
        <f t="shared" si="76"/>
        <v>5564.6243340259316</v>
      </c>
    </row>
    <row r="23" spans="1:28" x14ac:dyDescent="0.3">
      <c r="B23" s="174" t="s">
        <v>661</v>
      </c>
      <c r="C23" s="183"/>
      <c r="D23" s="168">
        <f>D24-D22</f>
        <v>356.70000000000027</v>
      </c>
      <c r="E23" s="168">
        <f t="shared" ref="E23:AB23" si="77">E24-E22</f>
        <v>320.09999999999945</v>
      </c>
      <c r="F23" s="168">
        <f t="shared" si="77"/>
        <v>-6441.3</v>
      </c>
      <c r="G23" s="168">
        <f t="shared" si="77"/>
        <v>593.90000000000055</v>
      </c>
      <c r="H23" s="168">
        <f t="shared" si="77"/>
        <v>891.19999999999982</v>
      </c>
      <c r="I23" s="168">
        <f t="shared" si="77"/>
        <v>458.70000000000073</v>
      </c>
      <c r="J23" s="168">
        <f t="shared" si="77"/>
        <v>504</v>
      </c>
      <c r="K23" s="168">
        <f t="shared" si="77"/>
        <v>1088.5999999999985</v>
      </c>
      <c r="L23" s="185">
        <f t="shared" si="77"/>
        <v>1301</v>
      </c>
      <c r="M23" s="168">
        <f t="shared" si="77"/>
        <v>-766.337513687296</v>
      </c>
      <c r="N23" s="168">
        <f t="shared" si="77"/>
        <v>146.57646825302663</v>
      </c>
      <c r="O23" s="168">
        <f t="shared" si="77"/>
        <v>159.46784885790385</v>
      </c>
      <c r="P23" s="168">
        <f t="shared" si="77"/>
        <v>173.50790926107993</v>
      </c>
      <c r="Q23" s="185">
        <f t="shared" si="77"/>
        <v>188.80123727691671</v>
      </c>
      <c r="R23" s="168">
        <f t="shared" si="77"/>
        <v>205.46217129709612</v>
      </c>
      <c r="S23" s="168">
        <f t="shared" si="77"/>
        <v>223.61573258071894</v>
      </c>
      <c r="T23" s="168">
        <f t="shared" si="77"/>
        <v>243.3986489990657</v>
      </c>
      <c r="U23" s="168">
        <f t="shared" si="77"/>
        <v>264.96047943112126</v>
      </c>
      <c r="V23" s="168">
        <f t="shared" si="77"/>
        <v>288.46484895190542</v>
      </c>
      <c r="W23" s="168">
        <f t="shared" si="77"/>
        <v>314.09080600087873</v>
      </c>
      <c r="X23" s="168">
        <f t="shared" si="77"/>
        <v>342.03431387277988</v>
      </c>
      <c r="Y23" s="168">
        <f t="shared" si="77"/>
        <v>372.50989014993502</v>
      </c>
      <c r="Z23" s="168">
        <f t="shared" si="77"/>
        <v>405.75240910637331</v>
      </c>
      <c r="AA23" s="185">
        <f t="shared" si="77"/>
        <v>442.01908367442684</v>
      </c>
      <c r="AB23" s="175">
        <f t="shared" si="77"/>
        <v>481.59164528986639</v>
      </c>
    </row>
    <row r="24" spans="1:28" x14ac:dyDescent="0.3">
      <c r="B24" s="106" t="s">
        <v>662</v>
      </c>
      <c r="C24" s="179">
        <f>'2. Integrated Finance'!C63</f>
        <v>3487.4</v>
      </c>
      <c r="D24" s="170">
        <f>'2. Integrated Finance'!D63</f>
        <v>3844.1000000000004</v>
      </c>
      <c r="E24" s="170">
        <f>'2. Integrated Finance'!E63</f>
        <v>4164.2</v>
      </c>
      <c r="F24" s="170">
        <f>'2. Integrated Finance'!F63</f>
        <v>-2277.1000000000004</v>
      </c>
      <c r="G24" s="170">
        <f>'2. Integrated Finance'!G63</f>
        <v>-1683.1999999999998</v>
      </c>
      <c r="H24" s="170">
        <f>'2. Integrated Finance'!H63</f>
        <v>-792</v>
      </c>
      <c r="I24" s="170">
        <f>'2. Integrated Finance'!I63</f>
        <v>-333.29999999999927</v>
      </c>
      <c r="J24" s="170">
        <f>'2. Integrated Finance'!J63</f>
        <v>170.70000000000073</v>
      </c>
      <c r="K24" s="170">
        <f>'2. Integrated Finance'!K63</f>
        <v>1259.2999999999993</v>
      </c>
      <c r="L24" s="181">
        <f>'2. Integrated Finance'!L63</f>
        <v>2560.2999999999993</v>
      </c>
      <c r="M24" s="170">
        <f>'2. Integrated Finance'!M63</f>
        <v>1793.9624863127033</v>
      </c>
      <c r="N24" s="170">
        <f>'2. Integrated Finance'!N63</f>
        <v>1940.5389545657299</v>
      </c>
      <c r="O24" s="170">
        <f>'2. Integrated Finance'!O63</f>
        <v>2100.0068034236338</v>
      </c>
      <c r="P24" s="170">
        <f>'2. Integrated Finance'!P63</f>
        <v>2273.5147126847137</v>
      </c>
      <c r="Q24" s="181">
        <f>'2. Integrated Finance'!Q63</f>
        <v>2462.3159499616304</v>
      </c>
      <c r="R24" s="170">
        <f>'2. Integrated Finance'!R63</f>
        <v>2667.7781212587265</v>
      </c>
      <c r="S24" s="170">
        <f>'2. Integrated Finance'!S63</f>
        <v>2891.3938538394455</v>
      </c>
      <c r="T24" s="170">
        <f>'2. Integrated Finance'!T63</f>
        <v>3134.7925028385112</v>
      </c>
      <c r="U24" s="170">
        <f>'2. Integrated Finance'!U63</f>
        <v>3399.7529822696324</v>
      </c>
      <c r="V24" s="170">
        <f>'2. Integrated Finance'!V63</f>
        <v>3688.2178312215378</v>
      </c>
      <c r="W24" s="170">
        <f>'2. Integrated Finance'!W63</f>
        <v>4002.3086372224166</v>
      </c>
      <c r="X24" s="170">
        <f>'2. Integrated Finance'!X63</f>
        <v>4344.3429510951964</v>
      </c>
      <c r="Y24" s="170">
        <f>'2. Integrated Finance'!Y63</f>
        <v>4716.8528412451315</v>
      </c>
      <c r="Z24" s="170">
        <f>'2. Integrated Finance'!Z63</f>
        <v>5122.6052503515048</v>
      </c>
      <c r="AA24" s="181">
        <f>'2. Integrated Finance'!AA63</f>
        <v>5564.6243340259316</v>
      </c>
      <c r="AB24" s="171">
        <f>'2. Integrated Finance'!AB63</f>
        <v>6046.215979315798</v>
      </c>
    </row>
    <row r="25" spans="1:28" x14ac:dyDescent="0.3">
      <c r="B25" s="106"/>
      <c r="C25" s="87"/>
      <c r="L25" s="147"/>
      <c r="Q25" s="147"/>
      <c r="AA25" s="147"/>
      <c r="AB25" s="152"/>
    </row>
    <row r="26" spans="1:28" x14ac:dyDescent="0.3">
      <c r="B26" s="106" t="s">
        <v>663</v>
      </c>
      <c r="C26" s="179">
        <f>'1. Raw Data - Bloomberg'!D79</f>
        <v>843.9</v>
      </c>
      <c r="D26" s="170">
        <f>'1. Raw Data - Bloomberg'!E79</f>
        <v>923.5</v>
      </c>
      <c r="E26" s="170">
        <f>'1. Raw Data - Bloomberg'!F79</f>
        <v>953.9</v>
      </c>
      <c r="F26" s="170">
        <f>'1. Raw Data - Bloomberg'!G79</f>
        <v>1060.5</v>
      </c>
      <c r="G26" s="170">
        <f>'1. Raw Data - Bloomberg'!H79</f>
        <v>1144.5</v>
      </c>
      <c r="H26" s="170">
        <f>'1. Raw Data - Bloomberg'!I79</f>
        <v>1207.5999999999999</v>
      </c>
      <c r="I26" s="170">
        <f>'1. Raw Data - Bloomberg'!J79</f>
        <v>1218.3</v>
      </c>
      <c r="J26" s="170">
        <f>'1. Raw Data - Bloomberg'!K79</f>
        <v>1255.2</v>
      </c>
      <c r="K26" s="170">
        <f>'1. Raw Data - Bloomberg'!L79</f>
        <v>1341.1</v>
      </c>
      <c r="L26" s="181">
        <f>'1. Raw Data - Bloomberg'!M79</f>
        <v>1492.2</v>
      </c>
      <c r="M26" s="170">
        <f>'2. Integrated Finance'!M9*'3. Historical &amp; Forecast Ratio '!M23</f>
        <v>1669.2503069116747</v>
      </c>
      <c r="N26" s="170">
        <f>'2. Integrated Finance'!N9*'3. Historical &amp; Forecast Ratio '!N23</f>
        <v>1805.6371134832505</v>
      </c>
      <c r="O26" s="170">
        <f>'2. Integrated Finance'!O9*'3. Historical &amp; Forecast Ratio '!O23</f>
        <v>1954.0191212897398</v>
      </c>
      <c r="P26" s="170">
        <f>'2. Integrated Finance'!P9*'3. Historical &amp; Forecast Ratio '!P23</f>
        <v>2115.4651565303989</v>
      </c>
      <c r="Q26" s="181">
        <f>'2. Integrated Finance'!Q9*'3. Historical &amp; Forecast Ratio '!Q23</f>
        <v>2291.1413625125915</v>
      </c>
      <c r="R26" s="170">
        <f>'2. Integrated Finance'!R9*'3. Historical &amp; Forecast Ratio '!R23</f>
        <v>2482.32027239122</v>
      </c>
      <c r="S26" s="170">
        <f>'2. Integrated Finance'!S9*'3. Historical &amp; Forecast Ratio '!S23</f>
        <v>2690.3907493875713</v>
      </c>
      <c r="T26" s="170">
        <f>'2. Integrated Finance'!T9*'3. Historical &amp; Forecast Ratio '!T23</f>
        <v>2916.8688795845242</v>
      </c>
      <c r="U26" s="170">
        <f>'2. Integrated Finance'!U9*'3. Historical &amp; Forecast Ratio '!U23</f>
        <v>3163.4099109518706</v>
      </c>
      <c r="V26" s="170">
        <f>'2. Integrated Finance'!V9*'3. Historical &amp; Forecast Ratio '!V23</f>
        <v>3431.8213416924937</v>
      </c>
      <c r="W26" s="170">
        <f>'2. Integrated Finance'!W9*'3. Historical &amp; Forecast Ratio '!W23</f>
        <v>3724.0772714096956</v>
      </c>
      <c r="X26" s="170">
        <f>'2. Integrated Finance'!X9*'3. Historical &amp; Forecast Ratio '!X23</f>
        <v>4042.3341400803274</v>
      </c>
      <c r="Y26" s="170">
        <f>'2. Integrated Finance'!Y9*'3. Historical &amp; Forecast Ratio '!Y23</f>
        <v>4388.9479924906318</v>
      </c>
      <c r="Z26" s="170">
        <f>'2. Integrated Finance'!Z9*'3. Historical &amp; Forecast Ratio '!Z23</f>
        <v>4766.4934197771781</v>
      </c>
      <c r="AA26" s="181">
        <f>'2. Integrated Finance'!AA9*'3. Historical &amp; Forecast Ratio '!AA23</f>
        <v>5177.7843451526051</v>
      </c>
      <c r="AB26" s="171">
        <f>'2. Integrated Finance'!AB9*'3. Historical &amp; Forecast Ratio '!AB23</f>
        <v>5625.8968379386333</v>
      </c>
    </row>
    <row r="27" spans="1:28" x14ac:dyDescent="0.3">
      <c r="B27" s="106"/>
      <c r="C27" s="87"/>
      <c r="L27" s="147"/>
      <c r="Q27" s="147"/>
      <c r="AA27" s="147"/>
      <c r="AB27" s="152"/>
    </row>
    <row r="28" spans="1:28" ht="15" thickBot="1" x14ac:dyDescent="0.35">
      <c r="B28" s="244" t="s">
        <v>664</v>
      </c>
      <c r="C28" s="184"/>
      <c r="D28" s="169">
        <f>D23+D26</f>
        <v>1280.2000000000003</v>
      </c>
      <c r="E28" s="169">
        <f t="shared" ref="E28:AB28" si="78">E23+E26</f>
        <v>1273.9999999999995</v>
      </c>
      <c r="F28" s="169">
        <f t="shared" si="78"/>
        <v>-5380.8</v>
      </c>
      <c r="G28" s="169">
        <f t="shared" si="78"/>
        <v>1738.4000000000005</v>
      </c>
      <c r="H28" s="169">
        <f t="shared" si="78"/>
        <v>2098.7999999999997</v>
      </c>
      <c r="I28" s="169">
        <f t="shared" si="78"/>
        <v>1677.0000000000007</v>
      </c>
      <c r="J28" s="169">
        <f t="shared" si="78"/>
        <v>1759.2</v>
      </c>
      <c r="K28" s="169">
        <f t="shared" si="78"/>
        <v>2429.6999999999985</v>
      </c>
      <c r="L28" s="186">
        <f t="shared" si="78"/>
        <v>2793.2</v>
      </c>
      <c r="M28" s="169">
        <f t="shared" si="78"/>
        <v>902.91279322437867</v>
      </c>
      <c r="N28" s="169">
        <f t="shared" si="78"/>
        <v>1952.2135817362771</v>
      </c>
      <c r="O28" s="169">
        <f t="shared" si="78"/>
        <v>2113.4869701476437</v>
      </c>
      <c r="P28" s="169">
        <f t="shared" si="78"/>
        <v>2288.9730657914788</v>
      </c>
      <c r="Q28" s="186">
        <f t="shared" si="78"/>
        <v>2479.9425997895082</v>
      </c>
      <c r="R28" s="169">
        <f t="shared" si="78"/>
        <v>2687.7824436883161</v>
      </c>
      <c r="S28" s="169">
        <f t="shared" si="78"/>
        <v>2914.0064819682902</v>
      </c>
      <c r="T28" s="169">
        <f t="shared" si="78"/>
        <v>3160.2675285835899</v>
      </c>
      <c r="U28" s="169">
        <f t="shared" si="78"/>
        <v>3428.3703903829919</v>
      </c>
      <c r="V28" s="169">
        <f t="shared" si="78"/>
        <v>3720.2861906443991</v>
      </c>
      <c r="W28" s="169">
        <f t="shared" si="78"/>
        <v>4038.1680774105744</v>
      </c>
      <c r="X28" s="169">
        <f t="shared" si="78"/>
        <v>4384.3684539531077</v>
      </c>
      <c r="Y28" s="169">
        <f t="shared" si="78"/>
        <v>4761.4578826405668</v>
      </c>
      <c r="Z28" s="169">
        <f t="shared" si="78"/>
        <v>5172.2458288835514</v>
      </c>
      <c r="AA28" s="186">
        <f t="shared" si="78"/>
        <v>5619.8034288270319</v>
      </c>
      <c r="AB28" s="176">
        <f t="shared" si="78"/>
        <v>6107.4884832284997</v>
      </c>
    </row>
    <row r="29" spans="1:28" x14ac:dyDescent="0.3">
      <c r="B29" s="106"/>
      <c r="C29" s="87"/>
      <c r="L29" s="147"/>
      <c r="Q29" s="147"/>
      <c r="AA29" s="147"/>
      <c r="AB29" s="152"/>
    </row>
    <row r="30" spans="1:28" x14ac:dyDescent="0.3">
      <c r="B30" s="106" t="s">
        <v>665</v>
      </c>
      <c r="C30" s="179"/>
      <c r="D30" s="170">
        <f>C32</f>
        <v>2347.5</v>
      </c>
      <c r="E30" s="170">
        <f t="shared" ref="E30:AB30" si="79">D32</f>
        <v>3202.2</v>
      </c>
      <c r="F30" s="170">
        <f t="shared" si="79"/>
        <v>3932.6</v>
      </c>
      <c r="G30" s="170">
        <f t="shared" si="79"/>
        <v>9090.2000000000007</v>
      </c>
      <c r="H30" s="170">
        <f t="shared" si="79"/>
        <v>11167</v>
      </c>
      <c r="I30" s="170">
        <f t="shared" si="79"/>
        <v>22321.3</v>
      </c>
      <c r="J30" s="170">
        <f t="shared" si="79"/>
        <v>21354.9</v>
      </c>
      <c r="K30" s="170">
        <f t="shared" si="79"/>
        <v>20635.099999999999</v>
      </c>
      <c r="L30" s="181">
        <f t="shared" si="79"/>
        <v>21472.400000000001</v>
      </c>
      <c r="M30" s="170">
        <f t="shared" si="79"/>
        <v>23091.1</v>
      </c>
      <c r="N30" s="170">
        <f t="shared" si="79"/>
        <v>24014.743999999999</v>
      </c>
      <c r="O30" s="170">
        <f t="shared" si="79"/>
        <v>24975.333760000001</v>
      </c>
      <c r="P30" s="170">
        <f t="shared" si="79"/>
        <v>25724.593772800003</v>
      </c>
      <c r="Q30" s="181">
        <f t="shared" si="79"/>
        <v>26496.331585984004</v>
      </c>
      <c r="R30" s="170">
        <f t="shared" si="79"/>
        <v>27291.221533563526</v>
      </c>
      <c r="S30" s="170">
        <f t="shared" si="79"/>
        <v>28109.958179570433</v>
      </c>
      <c r="T30" s="170">
        <f t="shared" si="79"/>
        <v>28672.157343161842</v>
      </c>
      <c r="U30" s="170">
        <f t="shared" si="79"/>
        <v>29245.600490025077</v>
      </c>
      <c r="V30" s="170">
        <f t="shared" si="79"/>
        <v>29830.512499825578</v>
      </c>
      <c r="W30" s="170">
        <f t="shared" si="79"/>
        <v>30427.122749822091</v>
      </c>
      <c r="X30" s="170">
        <f t="shared" si="79"/>
        <v>31035.665204818531</v>
      </c>
      <c r="Y30" s="170">
        <f t="shared" si="79"/>
        <v>31656.378508914902</v>
      </c>
      <c r="Z30" s="170">
        <f t="shared" si="79"/>
        <v>32289.5060790932</v>
      </c>
      <c r="AA30" s="181">
        <f t="shared" si="79"/>
        <v>32935.296200675068</v>
      </c>
      <c r="AB30" s="171">
        <f t="shared" si="79"/>
        <v>33594.002124688566</v>
      </c>
    </row>
    <row r="31" spans="1:28" x14ac:dyDescent="0.3">
      <c r="B31" s="174" t="s">
        <v>666</v>
      </c>
      <c r="C31" s="183"/>
      <c r="D31" s="168">
        <f>D32-D30</f>
        <v>854.69999999999982</v>
      </c>
      <c r="E31" s="168">
        <f t="shared" ref="E31:AB31" si="80">E32-E30</f>
        <v>730.40000000000009</v>
      </c>
      <c r="F31" s="168">
        <f t="shared" si="80"/>
        <v>5157.6000000000004</v>
      </c>
      <c r="G31" s="168">
        <f t="shared" si="80"/>
        <v>2076.7999999999993</v>
      </c>
      <c r="H31" s="168">
        <f t="shared" si="80"/>
        <v>11154.3</v>
      </c>
      <c r="I31" s="168">
        <f t="shared" si="80"/>
        <v>-966.39999999999782</v>
      </c>
      <c r="J31" s="168">
        <f t="shared" si="80"/>
        <v>-719.80000000000291</v>
      </c>
      <c r="K31" s="168">
        <f t="shared" si="80"/>
        <v>837.30000000000291</v>
      </c>
      <c r="L31" s="185">
        <f t="shared" si="80"/>
        <v>1618.6999999999971</v>
      </c>
      <c r="M31" s="168">
        <f t="shared" si="80"/>
        <v>923.64400000000023</v>
      </c>
      <c r="N31" s="168">
        <f t="shared" si="80"/>
        <v>960.58976000000257</v>
      </c>
      <c r="O31" s="168">
        <f t="shared" si="80"/>
        <v>749.26001280000128</v>
      </c>
      <c r="P31" s="168">
        <f t="shared" si="80"/>
        <v>771.73781318400142</v>
      </c>
      <c r="Q31" s="185">
        <f t="shared" si="80"/>
        <v>794.88994757952241</v>
      </c>
      <c r="R31" s="168">
        <f t="shared" si="80"/>
        <v>818.73664600690608</v>
      </c>
      <c r="S31" s="168">
        <f t="shared" si="80"/>
        <v>562.19916359140916</v>
      </c>
      <c r="T31" s="168">
        <f t="shared" si="80"/>
        <v>573.4431468632356</v>
      </c>
      <c r="U31" s="168">
        <f t="shared" si="80"/>
        <v>584.91200980050053</v>
      </c>
      <c r="V31" s="168">
        <f t="shared" si="80"/>
        <v>596.61024999651272</v>
      </c>
      <c r="W31" s="168">
        <f t="shared" si="80"/>
        <v>608.54245499644094</v>
      </c>
      <c r="X31" s="168">
        <f t="shared" si="80"/>
        <v>620.71330409637085</v>
      </c>
      <c r="Y31" s="168">
        <f t="shared" si="80"/>
        <v>633.1275701782979</v>
      </c>
      <c r="Z31" s="168">
        <f t="shared" si="80"/>
        <v>645.79012158186742</v>
      </c>
      <c r="AA31" s="185">
        <f t="shared" si="80"/>
        <v>658.70592401349859</v>
      </c>
      <c r="AB31" s="175">
        <f t="shared" si="80"/>
        <v>671.88004249377263</v>
      </c>
    </row>
    <row r="32" spans="1:28" x14ac:dyDescent="0.3">
      <c r="B32" s="106" t="s">
        <v>667</v>
      </c>
      <c r="C32" s="179">
        <f>'2. Integrated Finance'!C84</f>
        <v>2347.5</v>
      </c>
      <c r="D32" s="170">
        <f>'2. Integrated Finance'!D84</f>
        <v>3202.2</v>
      </c>
      <c r="E32" s="170">
        <f>'2. Integrated Finance'!E84</f>
        <v>3932.6</v>
      </c>
      <c r="F32" s="170">
        <f>'2. Integrated Finance'!F84</f>
        <v>9090.2000000000007</v>
      </c>
      <c r="G32" s="170">
        <f>'2. Integrated Finance'!G84</f>
        <v>11167</v>
      </c>
      <c r="H32" s="170">
        <f>'2. Integrated Finance'!H84</f>
        <v>22321.3</v>
      </c>
      <c r="I32" s="170">
        <f>'2. Integrated Finance'!I84</f>
        <v>21354.9</v>
      </c>
      <c r="J32" s="170">
        <f>'2. Integrated Finance'!J84</f>
        <v>20635.099999999999</v>
      </c>
      <c r="K32" s="170">
        <f>'2. Integrated Finance'!K84</f>
        <v>21472.400000000001</v>
      </c>
      <c r="L32" s="181">
        <f>'2. Integrated Finance'!L84</f>
        <v>23091.1</v>
      </c>
      <c r="M32" s="170">
        <f>'2. Integrated Finance'!M84</f>
        <v>24014.743999999999</v>
      </c>
      <c r="N32" s="170">
        <f>'2. Integrated Finance'!N84</f>
        <v>24975.333760000001</v>
      </c>
      <c r="O32" s="170">
        <f>'2. Integrated Finance'!O84</f>
        <v>25724.593772800003</v>
      </c>
      <c r="P32" s="170">
        <f>'2. Integrated Finance'!P84</f>
        <v>26496.331585984004</v>
      </c>
      <c r="Q32" s="181">
        <f>'2. Integrated Finance'!Q84</f>
        <v>27291.221533563526</v>
      </c>
      <c r="R32" s="170">
        <f>'2. Integrated Finance'!R84</f>
        <v>28109.958179570433</v>
      </c>
      <c r="S32" s="170">
        <f>'2. Integrated Finance'!S84</f>
        <v>28672.157343161842</v>
      </c>
      <c r="T32" s="170">
        <f>'2. Integrated Finance'!T84</f>
        <v>29245.600490025077</v>
      </c>
      <c r="U32" s="170">
        <f>'2. Integrated Finance'!U84</f>
        <v>29830.512499825578</v>
      </c>
      <c r="V32" s="170">
        <f>'2. Integrated Finance'!V84</f>
        <v>30427.122749822091</v>
      </c>
      <c r="W32" s="170">
        <f>'2. Integrated Finance'!W84</f>
        <v>31035.665204818531</v>
      </c>
      <c r="X32" s="170">
        <f>'2. Integrated Finance'!X84</f>
        <v>31656.378508914902</v>
      </c>
      <c r="Y32" s="170">
        <f>'2. Integrated Finance'!Y84</f>
        <v>32289.5060790932</v>
      </c>
      <c r="Z32" s="170">
        <f>'2. Integrated Finance'!Z84</f>
        <v>32935.296200675068</v>
      </c>
      <c r="AA32" s="181">
        <f>'2. Integrated Finance'!AA84</f>
        <v>33594.002124688566</v>
      </c>
      <c r="AB32" s="171">
        <f>'2. Integrated Finance'!AB84</f>
        <v>34265.882167182339</v>
      </c>
    </row>
    <row r="33" spans="2:28" ht="15" thickBot="1" x14ac:dyDescent="0.35">
      <c r="B33" s="124"/>
      <c r="C33" s="154"/>
      <c r="D33" s="177"/>
      <c r="E33" s="177"/>
      <c r="F33" s="177"/>
      <c r="G33" s="177"/>
      <c r="H33" s="177"/>
      <c r="I33" s="177"/>
      <c r="J33" s="177"/>
      <c r="K33" s="177"/>
      <c r="L33" s="187"/>
      <c r="M33" s="177"/>
      <c r="N33" s="177"/>
      <c r="O33" s="177"/>
      <c r="P33" s="177"/>
      <c r="Q33" s="187"/>
      <c r="R33" s="177"/>
      <c r="S33" s="177"/>
      <c r="T33" s="177"/>
      <c r="U33" s="177"/>
      <c r="V33" s="177"/>
      <c r="W33" s="177"/>
      <c r="X33" s="177"/>
      <c r="Y33" s="177"/>
      <c r="Z33" s="177"/>
      <c r="AA33" s="187"/>
      <c r="AB33" s="178"/>
    </row>
  </sheetData>
  <mergeCells count="9">
    <mergeCell ref="C15:L15"/>
    <mergeCell ref="M15:Q15"/>
    <mergeCell ref="R15:AA15"/>
    <mergeCell ref="B2:AB4"/>
    <mergeCell ref="B5:AB5"/>
    <mergeCell ref="C6:L6"/>
    <mergeCell ref="M6:Q6"/>
    <mergeCell ref="R6:AA6"/>
    <mergeCell ref="B14:AB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DABE4-A223-490D-92FF-823FA96C0663}">
  <dimension ref="A1:BV30"/>
  <sheetViews>
    <sheetView showGridLines="0" zoomScale="70" zoomScaleNormal="70" workbookViewId="0"/>
  </sheetViews>
  <sheetFormatPr defaultColWidth="9.109375" defaultRowHeight="14.4" x14ac:dyDescent="0.3"/>
  <cols>
    <col min="1" max="1" width="9.109375" style="30"/>
    <col min="2" max="2" width="34.109375" style="30" bestFit="1" customWidth="1"/>
    <col min="3" max="28" width="15.44140625" style="30" customWidth="1"/>
    <col min="29" max="16384" width="9.109375" style="30"/>
  </cols>
  <sheetData>
    <row r="1" spans="1:74" ht="15" thickBot="1" x14ac:dyDescent="0.35"/>
    <row r="2" spans="1:74" x14ac:dyDescent="0.3">
      <c r="A2" s="27"/>
      <c r="B2" s="299" t="s">
        <v>668</v>
      </c>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1"/>
    </row>
    <row r="3" spans="1:74" x14ac:dyDescent="0.3">
      <c r="A3" s="27"/>
      <c r="B3" s="302"/>
      <c r="C3" s="303"/>
      <c r="D3" s="303"/>
      <c r="E3" s="303"/>
      <c r="F3" s="303"/>
      <c r="G3" s="303"/>
      <c r="H3" s="303"/>
      <c r="I3" s="303"/>
      <c r="J3" s="303"/>
      <c r="K3" s="303"/>
      <c r="L3" s="303"/>
      <c r="M3" s="303"/>
      <c r="N3" s="303"/>
      <c r="O3" s="303"/>
      <c r="P3" s="303"/>
      <c r="Q3" s="303"/>
      <c r="R3" s="303"/>
      <c r="S3" s="303"/>
      <c r="T3" s="303"/>
      <c r="U3" s="303"/>
      <c r="V3" s="303"/>
      <c r="W3" s="303"/>
      <c r="X3" s="303"/>
      <c r="Y3" s="303"/>
      <c r="Z3" s="303"/>
      <c r="AA3" s="303"/>
      <c r="AB3" s="304"/>
    </row>
    <row r="4" spans="1:74" x14ac:dyDescent="0.3">
      <c r="A4" s="27"/>
      <c r="B4" s="302"/>
      <c r="C4" s="303"/>
      <c r="D4" s="303"/>
      <c r="E4" s="303"/>
      <c r="F4" s="303"/>
      <c r="G4" s="303"/>
      <c r="H4" s="303"/>
      <c r="I4" s="303"/>
      <c r="J4" s="303"/>
      <c r="K4" s="303"/>
      <c r="L4" s="303"/>
      <c r="M4" s="303"/>
      <c r="N4" s="303"/>
      <c r="O4" s="303"/>
      <c r="P4" s="303"/>
      <c r="Q4" s="303"/>
      <c r="R4" s="303"/>
      <c r="S4" s="303"/>
      <c r="T4" s="303"/>
      <c r="U4" s="303"/>
      <c r="V4" s="303"/>
      <c r="W4" s="303"/>
      <c r="X4" s="303"/>
      <c r="Y4" s="303"/>
      <c r="Z4" s="303"/>
      <c r="AA4" s="303"/>
      <c r="AB4" s="304"/>
    </row>
    <row r="5" spans="1:74" x14ac:dyDescent="0.3">
      <c r="A5" s="27"/>
      <c r="B5" s="232" t="s">
        <v>570</v>
      </c>
      <c r="C5" s="321" t="s">
        <v>571</v>
      </c>
      <c r="D5" s="322"/>
      <c r="E5" s="322"/>
      <c r="F5" s="322"/>
      <c r="G5" s="322"/>
      <c r="H5" s="322"/>
      <c r="I5" s="322"/>
      <c r="J5" s="322"/>
      <c r="K5" s="322"/>
      <c r="L5" s="323"/>
      <c r="M5" s="324" t="s">
        <v>572</v>
      </c>
      <c r="N5" s="324"/>
      <c r="O5" s="324"/>
      <c r="P5" s="324"/>
      <c r="Q5" s="325"/>
      <c r="R5" s="324" t="s">
        <v>573</v>
      </c>
      <c r="S5" s="324"/>
      <c r="T5" s="324"/>
      <c r="U5" s="324"/>
      <c r="V5" s="324"/>
      <c r="W5" s="324"/>
      <c r="X5" s="324"/>
      <c r="Y5" s="324"/>
      <c r="Z5" s="324"/>
      <c r="AA5" s="325"/>
      <c r="AB5" s="233" t="s">
        <v>574</v>
      </c>
    </row>
    <row r="6" spans="1:74" ht="14.4" hidden="1" customHeight="1" x14ac:dyDescent="0.3">
      <c r="A6" s="27"/>
      <c r="B6" s="127"/>
      <c r="C6" s="129">
        <f>2015</f>
        <v>2015</v>
      </c>
      <c r="D6" s="69">
        <f>C6+1</f>
        <v>2016</v>
      </c>
      <c r="E6" s="69">
        <f>D6+1</f>
        <v>2017</v>
      </c>
      <c r="F6" s="69">
        <f t="shared" ref="F6:BQ6" si="0">E6+1</f>
        <v>2018</v>
      </c>
      <c r="G6" s="69">
        <f t="shared" si="0"/>
        <v>2019</v>
      </c>
      <c r="H6" s="69">
        <f t="shared" si="0"/>
        <v>2020</v>
      </c>
      <c r="I6" s="69">
        <f t="shared" si="0"/>
        <v>2021</v>
      </c>
      <c r="J6" s="69">
        <f t="shared" si="0"/>
        <v>2022</v>
      </c>
      <c r="K6" s="69">
        <f t="shared" si="0"/>
        <v>2023</v>
      </c>
      <c r="L6" s="82">
        <f t="shared" si="0"/>
        <v>2024</v>
      </c>
      <c r="M6" s="128">
        <f t="shared" si="0"/>
        <v>2025</v>
      </c>
      <c r="N6" s="69">
        <f t="shared" si="0"/>
        <v>2026</v>
      </c>
      <c r="O6" s="69">
        <f t="shared" si="0"/>
        <v>2027</v>
      </c>
      <c r="P6" s="69">
        <f t="shared" si="0"/>
        <v>2028</v>
      </c>
      <c r="Q6" s="82">
        <f t="shared" si="0"/>
        <v>2029</v>
      </c>
      <c r="R6" s="128">
        <f t="shared" si="0"/>
        <v>2030</v>
      </c>
      <c r="S6" s="69">
        <f t="shared" si="0"/>
        <v>2031</v>
      </c>
      <c r="T6" s="69">
        <f t="shared" si="0"/>
        <v>2032</v>
      </c>
      <c r="U6" s="69">
        <f t="shared" si="0"/>
        <v>2033</v>
      </c>
      <c r="V6" s="69">
        <f t="shared" si="0"/>
        <v>2034</v>
      </c>
      <c r="W6" s="69">
        <f t="shared" si="0"/>
        <v>2035</v>
      </c>
      <c r="X6" s="69">
        <f t="shared" si="0"/>
        <v>2036</v>
      </c>
      <c r="Y6" s="69">
        <f t="shared" si="0"/>
        <v>2037</v>
      </c>
      <c r="Z6" s="69">
        <f t="shared" si="0"/>
        <v>2038</v>
      </c>
      <c r="AA6" s="82">
        <f t="shared" si="0"/>
        <v>2039</v>
      </c>
      <c r="AB6" s="139">
        <f t="shared" si="0"/>
        <v>2040</v>
      </c>
      <c r="AC6" s="27">
        <f t="shared" si="0"/>
        <v>2041</v>
      </c>
      <c r="AD6" s="27">
        <f t="shared" si="0"/>
        <v>2042</v>
      </c>
      <c r="AE6" s="27">
        <f t="shared" si="0"/>
        <v>2043</v>
      </c>
      <c r="AF6" s="27">
        <f t="shared" si="0"/>
        <v>2044</v>
      </c>
      <c r="AG6" s="27">
        <f t="shared" si="0"/>
        <v>2045</v>
      </c>
      <c r="AH6" s="27">
        <f t="shared" si="0"/>
        <v>2046</v>
      </c>
      <c r="AI6" s="27">
        <f t="shared" si="0"/>
        <v>2047</v>
      </c>
      <c r="AJ6" s="27">
        <f t="shared" si="0"/>
        <v>2048</v>
      </c>
      <c r="AK6" s="27">
        <f t="shared" si="0"/>
        <v>2049</v>
      </c>
      <c r="AL6" s="27">
        <f t="shared" si="0"/>
        <v>2050</v>
      </c>
      <c r="AM6" s="27">
        <f t="shared" si="0"/>
        <v>2051</v>
      </c>
      <c r="AN6" s="27">
        <f t="shared" si="0"/>
        <v>2052</v>
      </c>
      <c r="AO6" s="27">
        <f t="shared" si="0"/>
        <v>2053</v>
      </c>
      <c r="AP6" s="27">
        <f t="shared" si="0"/>
        <v>2054</v>
      </c>
      <c r="AQ6" s="27">
        <f t="shared" si="0"/>
        <v>2055</v>
      </c>
      <c r="AR6" s="27">
        <f t="shared" si="0"/>
        <v>2056</v>
      </c>
      <c r="AS6" s="27">
        <f t="shared" si="0"/>
        <v>2057</v>
      </c>
      <c r="AT6" s="27">
        <f t="shared" si="0"/>
        <v>2058</v>
      </c>
      <c r="AU6" s="27">
        <f t="shared" si="0"/>
        <v>2059</v>
      </c>
      <c r="AV6" s="27">
        <f t="shared" si="0"/>
        <v>2060</v>
      </c>
      <c r="AW6" s="27">
        <f t="shared" si="0"/>
        <v>2061</v>
      </c>
      <c r="AX6" s="27">
        <f t="shared" si="0"/>
        <v>2062</v>
      </c>
      <c r="AY6" s="27">
        <f t="shared" si="0"/>
        <v>2063</v>
      </c>
      <c r="AZ6" s="27">
        <f t="shared" si="0"/>
        <v>2064</v>
      </c>
      <c r="BA6" s="27">
        <f t="shared" si="0"/>
        <v>2065</v>
      </c>
      <c r="BB6" s="27">
        <f t="shared" si="0"/>
        <v>2066</v>
      </c>
      <c r="BC6" s="27">
        <f t="shared" si="0"/>
        <v>2067</v>
      </c>
      <c r="BD6" s="27">
        <f t="shared" si="0"/>
        <v>2068</v>
      </c>
      <c r="BE6" s="27">
        <f t="shared" si="0"/>
        <v>2069</v>
      </c>
      <c r="BF6" s="27">
        <f t="shared" si="0"/>
        <v>2070</v>
      </c>
      <c r="BG6" s="27">
        <f t="shared" si="0"/>
        <v>2071</v>
      </c>
      <c r="BH6" s="27">
        <f t="shared" si="0"/>
        <v>2072</v>
      </c>
      <c r="BI6" s="27">
        <f t="shared" si="0"/>
        <v>2073</v>
      </c>
      <c r="BJ6" s="27">
        <f t="shared" si="0"/>
        <v>2074</v>
      </c>
      <c r="BK6" s="27">
        <f t="shared" si="0"/>
        <v>2075</v>
      </c>
      <c r="BL6" s="27">
        <f t="shared" si="0"/>
        <v>2076</v>
      </c>
      <c r="BM6" s="27">
        <f t="shared" si="0"/>
        <v>2077</v>
      </c>
      <c r="BN6" s="27">
        <f t="shared" si="0"/>
        <v>2078</v>
      </c>
      <c r="BO6" s="27">
        <f t="shared" si="0"/>
        <v>2079</v>
      </c>
      <c r="BP6" s="27">
        <f t="shared" si="0"/>
        <v>2080</v>
      </c>
      <c r="BQ6" s="27">
        <f t="shared" si="0"/>
        <v>2081</v>
      </c>
      <c r="BR6" s="27">
        <f t="shared" ref="BR6:BV6" si="1">BQ6+1</f>
        <v>2082</v>
      </c>
      <c r="BS6" s="27">
        <f t="shared" si="1"/>
        <v>2083</v>
      </c>
      <c r="BT6" s="27">
        <f t="shared" si="1"/>
        <v>2084</v>
      </c>
      <c r="BU6" s="27">
        <f t="shared" si="1"/>
        <v>2085</v>
      </c>
      <c r="BV6" s="27">
        <f t="shared" si="1"/>
        <v>2086</v>
      </c>
    </row>
    <row r="7" spans="1:74" ht="15" thickBot="1" x14ac:dyDescent="0.35">
      <c r="A7" s="27"/>
      <c r="B7" s="225"/>
      <c r="C7" s="226" t="str">
        <f>"FY "&amp;C6</f>
        <v>FY 2015</v>
      </c>
      <c r="D7" s="227" t="str">
        <f t="shared" ref="D7:AA7" si="2">"FY "&amp;D6</f>
        <v>FY 2016</v>
      </c>
      <c r="E7" s="227" t="str">
        <f t="shared" si="2"/>
        <v>FY 2017</v>
      </c>
      <c r="F7" s="227" t="str">
        <f t="shared" si="2"/>
        <v>FY 2018</v>
      </c>
      <c r="G7" s="227" t="str">
        <f t="shared" si="2"/>
        <v>FY 2019</v>
      </c>
      <c r="H7" s="227" t="str">
        <f t="shared" si="2"/>
        <v>FY 2020</v>
      </c>
      <c r="I7" s="227" t="str">
        <f t="shared" si="2"/>
        <v>FY 2021</v>
      </c>
      <c r="J7" s="227" t="str">
        <f t="shared" si="2"/>
        <v>FY 2022</v>
      </c>
      <c r="K7" s="227" t="str">
        <f t="shared" si="2"/>
        <v>FY 2023</v>
      </c>
      <c r="L7" s="228" t="str">
        <f t="shared" si="2"/>
        <v>FY 2024</v>
      </c>
      <c r="M7" s="229" t="str">
        <f t="shared" si="2"/>
        <v>FY 2025</v>
      </c>
      <c r="N7" s="227" t="str">
        <f t="shared" si="2"/>
        <v>FY 2026</v>
      </c>
      <c r="O7" s="227" t="str">
        <f t="shared" si="2"/>
        <v>FY 2027</v>
      </c>
      <c r="P7" s="227" t="str">
        <f t="shared" si="2"/>
        <v>FY 2028</v>
      </c>
      <c r="Q7" s="228" t="str">
        <f t="shared" si="2"/>
        <v>FY 2029</v>
      </c>
      <c r="R7" s="229" t="str">
        <f t="shared" si="2"/>
        <v>FY 2030</v>
      </c>
      <c r="S7" s="227" t="str">
        <f t="shared" si="2"/>
        <v>FY 2031</v>
      </c>
      <c r="T7" s="227" t="str">
        <f t="shared" si="2"/>
        <v>FY 2032</v>
      </c>
      <c r="U7" s="227" t="str">
        <f t="shared" si="2"/>
        <v>FY 2033</v>
      </c>
      <c r="V7" s="227" t="str">
        <f t="shared" si="2"/>
        <v>FY 2034</v>
      </c>
      <c r="W7" s="227" t="str">
        <f t="shared" si="2"/>
        <v>FY 2035</v>
      </c>
      <c r="X7" s="227" t="str">
        <f t="shared" si="2"/>
        <v>FY 2036</v>
      </c>
      <c r="Y7" s="227" t="str">
        <f t="shared" si="2"/>
        <v>FY 2037</v>
      </c>
      <c r="Z7" s="227" t="str">
        <f t="shared" si="2"/>
        <v>FY 2038</v>
      </c>
      <c r="AA7" s="228" t="str">
        <f t="shared" si="2"/>
        <v>FY 2039</v>
      </c>
      <c r="AB7" s="230" t="s">
        <v>575</v>
      </c>
    </row>
    <row r="8" spans="1:74" x14ac:dyDescent="0.3">
      <c r="B8" s="106" t="s">
        <v>596</v>
      </c>
      <c r="C8" s="87"/>
      <c r="D8" s="170">
        <f>'5. Re-org Fin Stmts'!D11</f>
        <v>2765.4840446815629</v>
      </c>
      <c r="E8" s="170">
        <f>'5. Re-org Fin Stmts'!E11</f>
        <v>2887.907353792702</v>
      </c>
      <c r="F8" s="170">
        <f>'5. Re-org Fin Stmts'!F11</f>
        <v>3195.816851211071</v>
      </c>
      <c r="G8" s="170">
        <f>'5. Re-org Fin Stmts'!G11</f>
        <v>3634.3037884555083</v>
      </c>
      <c r="H8" s="170">
        <f>'5. Re-org Fin Stmts'!H11</f>
        <v>1803.5404500171744</v>
      </c>
      <c r="I8" s="170">
        <f>'5. Re-org Fin Stmts'!I11</f>
        <v>3959.866208068097</v>
      </c>
      <c r="J8" s="170">
        <f>'5. Re-org Fin Stmts'!J11</f>
        <v>3798.2671376922885</v>
      </c>
      <c r="K8" s="170">
        <f>'5. Re-org Fin Stmts'!K11</f>
        <v>4394.1369258964405</v>
      </c>
      <c r="L8" s="181">
        <f>'5. Re-org Fin Stmts'!L11</f>
        <v>4186.4693737926582</v>
      </c>
      <c r="M8" s="170">
        <f>'5. Re-org Fin Stmts'!M11</f>
        <v>5431.9351729911141</v>
      </c>
      <c r="N8" s="170">
        <f>'5. Re-org Fin Stmts'!N11</f>
        <v>5533.4367043962629</v>
      </c>
      <c r="O8" s="170">
        <f>'5. Re-org Fin Stmts'!O11</f>
        <v>6292.6932108785322</v>
      </c>
      <c r="P8" s="170">
        <f>'5. Re-org Fin Stmts'!P11</f>
        <v>6705.2229260134554</v>
      </c>
      <c r="Q8" s="181">
        <f>'5. Re-org Fin Stmts'!Q11</f>
        <v>7430.8314064651131</v>
      </c>
      <c r="R8" s="170">
        <f>'5. Re-org Fin Stmts'!R11</f>
        <v>8049.6407703077784</v>
      </c>
      <c r="S8" s="170">
        <f>'5. Re-org Fin Stmts'!S11</f>
        <v>8843.5026911733639</v>
      </c>
      <c r="T8" s="170">
        <f>'5. Re-org Fin Stmts'!T11</f>
        <v>9639.6143464127035</v>
      </c>
      <c r="U8" s="170">
        <f>'5. Re-org Fin Stmts'!U11</f>
        <v>10561.311491056902</v>
      </c>
      <c r="V8" s="170">
        <f>'5. Re-org Fin Stmts'!V11</f>
        <v>11540.762415625788</v>
      </c>
      <c r="W8" s="170">
        <f>'5. Re-org Fin Stmts'!W11</f>
        <v>12635.424944108552</v>
      </c>
      <c r="X8" s="170">
        <f>'5. Re-org Fin Stmts'!X11</f>
        <v>13822.724326748332</v>
      </c>
      <c r="Y8" s="170">
        <f>'5. Re-org Fin Stmts'!Y11</f>
        <v>15133.473118608221</v>
      </c>
      <c r="Z8" s="170">
        <f>'5. Re-org Fin Stmts'!Z11</f>
        <v>16565.39817536949</v>
      </c>
      <c r="AA8" s="181">
        <f>'5. Re-org Fin Stmts'!AA11</f>
        <v>18139.432579319182</v>
      </c>
      <c r="AB8" s="171">
        <f>'5. Re-org Fin Stmts'!AB11</f>
        <v>19863.342483469754</v>
      </c>
    </row>
    <row r="9" spans="1:74" x14ac:dyDescent="0.3">
      <c r="B9" s="106" t="s">
        <v>669</v>
      </c>
      <c r="C9" s="87"/>
      <c r="D9" s="170">
        <f>'5. Re-org Fin Stmts'!D19</f>
        <v>-109.29999999999973</v>
      </c>
      <c r="E9" s="170">
        <f>'5. Re-org Fin Stmts'!E19</f>
        <v>849.09999999999945</v>
      </c>
      <c r="F9" s="170">
        <f>'5. Re-org Fin Stmts'!F19</f>
        <v>5747.3000000000011</v>
      </c>
      <c r="G9" s="170">
        <f>'5. Re-org Fin Stmts'!G19</f>
        <v>-7324.8000000000011</v>
      </c>
      <c r="H9" s="170">
        <f>'5. Re-org Fin Stmts'!H19</f>
        <v>974.39999999999964</v>
      </c>
      <c r="I9" s="170">
        <f>'5. Re-org Fin Stmts'!I19</f>
        <v>1145.4000000000005</v>
      </c>
      <c r="J9" s="170">
        <f>'5. Re-org Fin Stmts'!J19</f>
        <v>-3738.0999999999995</v>
      </c>
      <c r="K9" s="170">
        <f>'5. Re-org Fin Stmts'!K19</f>
        <v>91.199999999999818</v>
      </c>
      <c r="L9" s="181">
        <f>'5. Re-org Fin Stmts'!L19</f>
        <v>-180.70000000000073</v>
      </c>
      <c r="M9" s="170">
        <f>'5. Re-org Fin Stmts'!M19</f>
        <v>3086.4139469797374</v>
      </c>
      <c r="N9" s="170">
        <f>'5. Re-org Fin Stmts'!N19</f>
        <v>70.578286080128692</v>
      </c>
      <c r="O9" s="170">
        <f>'5. Re-org Fin Stmts'!O19</f>
        <v>76.785636817548721</v>
      </c>
      <c r="P9" s="170">
        <f>'5. Re-org Fin Stmts'!P19</f>
        <v>83.546090330503489</v>
      </c>
      <c r="Q9" s="181">
        <f>'5. Re-org Fin Stmts'!Q19</f>
        <v>90.910006876477837</v>
      </c>
      <c r="R9" s="170">
        <f>'5. Re-org Fin Stmts'!R19</f>
        <v>98.932441730130677</v>
      </c>
      <c r="S9" s="170">
        <f>'5. Re-org Fin Stmts'!S19</f>
        <v>107.67359409189248</v>
      </c>
      <c r="T9" s="170">
        <f>'5. Re-org Fin Stmts'!T19</f>
        <v>117.19930003306104</v>
      </c>
      <c r="U9" s="170">
        <f>'5. Re-org Fin Stmts'!U19</f>
        <v>127.58157390541146</v>
      </c>
      <c r="V9" s="170">
        <f>'5. Re-org Fin Stmts'!V19</f>
        <v>138.89920309884633</v>
      </c>
      <c r="W9" s="170">
        <f>'5. Re-org Fin Stmts'!W19</f>
        <v>151.238401533873</v>
      </c>
      <c r="X9" s="170">
        <f>'5. Re-org Fin Stmts'!X19</f>
        <v>164.69352783191493</v>
      </c>
      <c r="Y9" s="170">
        <f>'5. Re-org Fin Stmts'!Y19</f>
        <v>179.36787472116339</v>
      </c>
      <c r="Z9" s="170">
        <f>'5. Re-org Fin Stmts'!Z19</f>
        <v>195.37453691527116</v>
      </c>
      <c r="AA9" s="181">
        <f>'5. Re-org Fin Stmts'!AA19</f>
        <v>212.83736545348165</v>
      </c>
      <c r="AB9" s="171">
        <f>'5. Re-org Fin Stmts'!AB19</f>
        <v>231.8920173215879</v>
      </c>
    </row>
    <row r="10" spans="1:74" x14ac:dyDescent="0.3">
      <c r="B10" s="106" t="s">
        <v>664</v>
      </c>
      <c r="C10" s="87"/>
      <c r="D10" s="170">
        <f>'5. Re-org Fin Stmts'!D28</f>
        <v>1280.2000000000003</v>
      </c>
      <c r="E10" s="170">
        <f>'5. Re-org Fin Stmts'!E28</f>
        <v>1273.9999999999995</v>
      </c>
      <c r="F10" s="170">
        <f>'5. Re-org Fin Stmts'!F28</f>
        <v>-5380.8</v>
      </c>
      <c r="G10" s="170">
        <f>'5. Re-org Fin Stmts'!G28</f>
        <v>1738.4000000000005</v>
      </c>
      <c r="H10" s="170">
        <f>'5. Re-org Fin Stmts'!H28</f>
        <v>2098.7999999999997</v>
      </c>
      <c r="I10" s="170">
        <f>'5. Re-org Fin Stmts'!I28</f>
        <v>1677.0000000000007</v>
      </c>
      <c r="J10" s="170">
        <f>'5. Re-org Fin Stmts'!J28</f>
        <v>1759.2</v>
      </c>
      <c r="K10" s="170">
        <f>'5. Re-org Fin Stmts'!K28</f>
        <v>2429.6999999999985</v>
      </c>
      <c r="L10" s="181">
        <f>'5. Re-org Fin Stmts'!L28</f>
        <v>2793.2</v>
      </c>
      <c r="M10" s="170">
        <f>'5. Re-org Fin Stmts'!M28</f>
        <v>902.91279322437867</v>
      </c>
      <c r="N10" s="170">
        <f>'5. Re-org Fin Stmts'!N28</f>
        <v>1952.2135817362771</v>
      </c>
      <c r="O10" s="170">
        <f>'5. Re-org Fin Stmts'!O28</f>
        <v>2113.4869701476437</v>
      </c>
      <c r="P10" s="170">
        <f>'5. Re-org Fin Stmts'!P28</f>
        <v>2288.9730657914788</v>
      </c>
      <c r="Q10" s="181">
        <f>'5. Re-org Fin Stmts'!Q28</f>
        <v>2479.9425997895082</v>
      </c>
      <c r="R10" s="170">
        <f>'5. Re-org Fin Stmts'!R28</f>
        <v>2687.7824436883161</v>
      </c>
      <c r="S10" s="170">
        <f>'5. Re-org Fin Stmts'!S28</f>
        <v>2914.0064819682902</v>
      </c>
      <c r="T10" s="170">
        <f>'5. Re-org Fin Stmts'!T28</f>
        <v>3160.2675285835899</v>
      </c>
      <c r="U10" s="170">
        <f>'5. Re-org Fin Stmts'!U28</f>
        <v>3428.3703903829919</v>
      </c>
      <c r="V10" s="170">
        <f>'5. Re-org Fin Stmts'!V28</f>
        <v>3720.2861906443991</v>
      </c>
      <c r="W10" s="170">
        <f>'5. Re-org Fin Stmts'!W28</f>
        <v>4038.1680774105744</v>
      </c>
      <c r="X10" s="170">
        <f>'5. Re-org Fin Stmts'!X28</f>
        <v>4384.3684539531077</v>
      </c>
      <c r="Y10" s="170">
        <f>'5. Re-org Fin Stmts'!Y28</f>
        <v>4761.4578826405668</v>
      </c>
      <c r="Z10" s="170">
        <f>'5. Re-org Fin Stmts'!Z28</f>
        <v>5172.2458288835514</v>
      </c>
      <c r="AA10" s="181">
        <f>'5. Re-org Fin Stmts'!AA28</f>
        <v>5619.8034288270319</v>
      </c>
      <c r="AB10" s="171">
        <f>'5. Re-org Fin Stmts'!AB28</f>
        <v>6107.4884832284997</v>
      </c>
    </row>
    <row r="11" spans="1:74" ht="15" thickBot="1" x14ac:dyDescent="0.35">
      <c r="B11" s="113" t="s">
        <v>670</v>
      </c>
      <c r="C11" s="195"/>
      <c r="D11" s="188">
        <f>D8-D9-D10</f>
        <v>1594.5840446815623</v>
      </c>
      <c r="E11" s="188">
        <f t="shared" ref="E11:AB11" si="3">E8-E9-E10</f>
        <v>764.807353792703</v>
      </c>
      <c r="F11" s="188">
        <f t="shared" si="3"/>
        <v>2829.3168512110701</v>
      </c>
      <c r="G11" s="188">
        <f t="shared" si="3"/>
        <v>9220.7037884555102</v>
      </c>
      <c r="H11" s="188">
        <f t="shared" si="3"/>
        <v>-1269.659549982825</v>
      </c>
      <c r="I11" s="188">
        <f t="shared" si="3"/>
        <v>1137.4662080680957</v>
      </c>
      <c r="J11" s="188">
        <f t="shared" si="3"/>
        <v>5777.1671376922886</v>
      </c>
      <c r="K11" s="188">
        <f t="shared" si="3"/>
        <v>1873.2369258964422</v>
      </c>
      <c r="L11" s="196">
        <f t="shared" si="3"/>
        <v>1573.9693737926591</v>
      </c>
      <c r="M11" s="188">
        <f t="shared" si="3"/>
        <v>1442.608432786998</v>
      </c>
      <c r="N11" s="188">
        <f t="shared" si="3"/>
        <v>3510.6448365798578</v>
      </c>
      <c r="O11" s="188">
        <f t="shared" si="3"/>
        <v>4102.4206039133396</v>
      </c>
      <c r="P11" s="188">
        <f t="shared" si="3"/>
        <v>4332.7037698914728</v>
      </c>
      <c r="Q11" s="196">
        <f t="shared" si="3"/>
        <v>4859.9787997991261</v>
      </c>
      <c r="R11" s="188">
        <f t="shared" si="3"/>
        <v>5262.9258848893314</v>
      </c>
      <c r="S11" s="188">
        <f t="shared" si="3"/>
        <v>5821.8226151131803</v>
      </c>
      <c r="T11" s="188">
        <f t="shared" si="3"/>
        <v>6362.1475177960529</v>
      </c>
      <c r="U11" s="188">
        <f t="shared" si="3"/>
        <v>7005.3595267684977</v>
      </c>
      <c r="V11" s="188">
        <f t="shared" si="3"/>
        <v>7681.5770218825419</v>
      </c>
      <c r="W11" s="188">
        <f t="shared" si="3"/>
        <v>8446.0184651641066</v>
      </c>
      <c r="X11" s="188">
        <f t="shared" si="3"/>
        <v>9273.6623449633098</v>
      </c>
      <c r="Y11" s="188">
        <f t="shared" si="3"/>
        <v>10192.647361246491</v>
      </c>
      <c r="Z11" s="188">
        <f t="shared" si="3"/>
        <v>11197.777809570667</v>
      </c>
      <c r="AA11" s="196">
        <f t="shared" si="3"/>
        <v>12306.791785038669</v>
      </c>
      <c r="AB11" s="190">
        <f t="shared" si="3"/>
        <v>13523.961982919667</v>
      </c>
    </row>
    <row r="12" spans="1:74" ht="15" thickTop="1" x14ac:dyDescent="0.3">
      <c r="B12" s="106"/>
      <c r="C12" s="87"/>
      <c r="L12" s="147"/>
      <c r="Q12" s="147"/>
      <c r="AA12" s="147"/>
      <c r="AB12" s="152"/>
    </row>
    <row r="13" spans="1:74" x14ac:dyDescent="0.3">
      <c r="B13" s="106" t="s">
        <v>671</v>
      </c>
      <c r="C13" s="87"/>
      <c r="D13" s="170">
        <f>'5. Re-org Fin Stmts'!D12</f>
        <v>54.584044681560528</v>
      </c>
      <c r="E13" s="170">
        <f>'5. Re-org Fin Stmts'!E12</f>
        <v>61.807353792704099</v>
      </c>
      <c r="F13" s="170">
        <f>'5. Re-org Fin Stmts'!F12</f>
        <v>133.11685121107266</v>
      </c>
      <c r="G13" s="170">
        <f>'5. Re-org Fin Stmts'!G12</f>
        <v>266.40378845551027</v>
      </c>
      <c r="H13" s="170">
        <f>'5. Re-org Fin Stmts'!H12</f>
        <v>347.04045001717611</v>
      </c>
      <c r="I13" s="170">
        <f>'5. Re-org Fin Stmts'!I12</f>
        <v>368.36620806809907</v>
      </c>
      <c r="J13" s="170">
        <f>'5. Re-org Fin Stmts'!J12</f>
        <v>374.66713769228949</v>
      </c>
      <c r="K13" s="170">
        <f>'5. Re-org Fin Stmts'!K12</f>
        <v>420.03692589644379</v>
      </c>
      <c r="L13" s="181">
        <f>'5. Re-org Fin Stmts'!L12</f>
        <v>425.46937379265933</v>
      </c>
      <c r="M13" s="170">
        <f>'5. Re-org Fin Stmts'!M12</f>
        <v>253.35459747458896</v>
      </c>
      <c r="N13" s="170">
        <f>'5. Re-org Fin Stmts'!N12</f>
        <v>253.35459747458896</v>
      </c>
      <c r="O13" s="170">
        <f>'5. Re-org Fin Stmts'!O12</f>
        <v>253.35459747458896</v>
      </c>
      <c r="P13" s="170">
        <f>'5. Re-org Fin Stmts'!P12</f>
        <v>253.35459747458896</v>
      </c>
      <c r="Q13" s="181">
        <f>'5. Re-org Fin Stmts'!Q12</f>
        <v>253.35459747458896</v>
      </c>
      <c r="R13" s="170">
        <f>'5. Re-org Fin Stmts'!R12</f>
        <v>253.35459747458896</v>
      </c>
      <c r="S13" s="170">
        <f>'5. Re-org Fin Stmts'!S12</f>
        <v>253.35459747458896</v>
      </c>
      <c r="T13" s="170">
        <f>'5. Re-org Fin Stmts'!T12</f>
        <v>253.35459747458896</v>
      </c>
      <c r="U13" s="170">
        <f>'5. Re-org Fin Stmts'!U12</f>
        <v>253.35459747458896</v>
      </c>
      <c r="V13" s="170">
        <f>'5. Re-org Fin Stmts'!V12</f>
        <v>253.35459747458896</v>
      </c>
      <c r="W13" s="170">
        <f>'5. Re-org Fin Stmts'!W12</f>
        <v>253.35459747458896</v>
      </c>
      <c r="X13" s="170">
        <f>'5. Re-org Fin Stmts'!X12</f>
        <v>253.35459747458896</v>
      </c>
      <c r="Y13" s="170">
        <f>'5. Re-org Fin Stmts'!Y12</f>
        <v>253.35459747458896</v>
      </c>
      <c r="Z13" s="170">
        <f>'5. Re-org Fin Stmts'!Z12</f>
        <v>253.35459747458896</v>
      </c>
      <c r="AA13" s="181">
        <f>'5. Re-org Fin Stmts'!AA12</f>
        <v>253.35459747458896</v>
      </c>
      <c r="AB13" s="171">
        <f>'5. Re-org Fin Stmts'!AB12</f>
        <v>253.35459747458896</v>
      </c>
    </row>
    <row r="14" spans="1:74" x14ac:dyDescent="0.3">
      <c r="B14" s="106" t="s">
        <v>672</v>
      </c>
      <c r="C14" s="87"/>
      <c r="D14" s="170">
        <f>'5. Re-org Fin Stmts'!D31</f>
        <v>854.69999999999982</v>
      </c>
      <c r="E14" s="170">
        <f>'5. Re-org Fin Stmts'!E31</f>
        <v>730.40000000000009</v>
      </c>
      <c r="F14" s="170">
        <f>'5. Re-org Fin Stmts'!F31</f>
        <v>5157.6000000000004</v>
      </c>
      <c r="G14" s="170">
        <f>'5. Re-org Fin Stmts'!G31</f>
        <v>2076.7999999999993</v>
      </c>
      <c r="H14" s="170">
        <f>'5. Re-org Fin Stmts'!H31</f>
        <v>11154.3</v>
      </c>
      <c r="I14" s="170">
        <f>'5. Re-org Fin Stmts'!I31</f>
        <v>-966.39999999999782</v>
      </c>
      <c r="J14" s="170">
        <f>'5. Re-org Fin Stmts'!J31</f>
        <v>-719.80000000000291</v>
      </c>
      <c r="K14" s="170">
        <f>'5. Re-org Fin Stmts'!K31</f>
        <v>837.30000000000291</v>
      </c>
      <c r="L14" s="181">
        <f>'5. Re-org Fin Stmts'!L31</f>
        <v>1618.6999999999971</v>
      </c>
      <c r="M14" s="170">
        <f>'5. Re-org Fin Stmts'!M31</f>
        <v>923.64400000000023</v>
      </c>
      <c r="N14" s="170">
        <f>'5. Re-org Fin Stmts'!N31</f>
        <v>960.58976000000257</v>
      </c>
      <c r="O14" s="170">
        <f>'5. Re-org Fin Stmts'!O31</f>
        <v>749.26001280000128</v>
      </c>
      <c r="P14" s="170">
        <f>'5. Re-org Fin Stmts'!P31</f>
        <v>771.73781318400142</v>
      </c>
      <c r="Q14" s="181">
        <f>'5. Re-org Fin Stmts'!Q31</f>
        <v>794.88994757952241</v>
      </c>
      <c r="R14" s="170">
        <f>'5. Re-org Fin Stmts'!R31</f>
        <v>818.73664600690608</v>
      </c>
      <c r="S14" s="170">
        <f>'5. Re-org Fin Stmts'!S31</f>
        <v>562.19916359140916</v>
      </c>
      <c r="T14" s="170">
        <f>'5. Re-org Fin Stmts'!T31</f>
        <v>573.4431468632356</v>
      </c>
      <c r="U14" s="170">
        <f>'5. Re-org Fin Stmts'!U31</f>
        <v>584.91200980050053</v>
      </c>
      <c r="V14" s="170">
        <f>'5. Re-org Fin Stmts'!V31</f>
        <v>596.61024999651272</v>
      </c>
      <c r="W14" s="170">
        <f>'5. Re-org Fin Stmts'!W31</f>
        <v>608.54245499644094</v>
      </c>
      <c r="X14" s="170">
        <f>'5. Re-org Fin Stmts'!X31</f>
        <v>620.71330409637085</v>
      </c>
      <c r="Y14" s="170">
        <f>'5. Re-org Fin Stmts'!Y31</f>
        <v>633.1275701782979</v>
      </c>
      <c r="Z14" s="170">
        <f>'5. Re-org Fin Stmts'!Z31</f>
        <v>645.79012158186742</v>
      </c>
      <c r="AA14" s="181">
        <f>'5. Re-org Fin Stmts'!AA31</f>
        <v>658.70592401349859</v>
      </c>
      <c r="AB14" s="171">
        <f>'5. Re-org Fin Stmts'!AB31</f>
        <v>671.88004249377263</v>
      </c>
    </row>
    <row r="15" spans="1:74" ht="15" thickBot="1" x14ac:dyDescent="0.35">
      <c r="B15" s="113" t="s">
        <v>673</v>
      </c>
      <c r="C15" s="195"/>
      <c r="D15" s="188">
        <f>D11-D13+D14</f>
        <v>2394.7000000000016</v>
      </c>
      <c r="E15" s="188">
        <f t="shared" ref="E15:AB15" si="4">E11-E13+E14</f>
        <v>1433.399999999999</v>
      </c>
      <c r="F15" s="188">
        <f t="shared" si="4"/>
        <v>7853.7999999999975</v>
      </c>
      <c r="G15" s="188">
        <f t="shared" si="4"/>
        <v>11031.099999999999</v>
      </c>
      <c r="H15" s="188">
        <f t="shared" si="4"/>
        <v>9537.5999999999985</v>
      </c>
      <c r="I15" s="188">
        <f t="shared" si="4"/>
        <v>-197.30000000000109</v>
      </c>
      <c r="J15" s="188">
        <f t="shared" si="4"/>
        <v>4682.6999999999962</v>
      </c>
      <c r="K15" s="188">
        <f t="shared" si="4"/>
        <v>2290.5000000000014</v>
      </c>
      <c r="L15" s="196">
        <f t="shared" si="4"/>
        <v>2767.1999999999971</v>
      </c>
      <c r="M15" s="188">
        <f t="shared" si="4"/>
        <v>2112.8978353124094</v>
      </c>
      <c r="N15" s="188">
        <f t="shared" si="4"/>
        <v>4217.8799991052711</v>
      </c>
      <c r="O15" s="188">
        <f t="shared" si="4"/>
        <v>4598.3260192387515</v>
      </c>
      <c r="P15" s="188">
        <f t="shared" si="4"/>
        <v>4851.0869856008849</v>
      </c>
      <c r="Q15" s="196">
        <f t="shared" si="4"/>
        <v>5401.5141499040592</v>
      </c>
      <c r="R15" s="188">
        <f t="shared" si="4"/>
        <v>5828.3079334216482</v>
      </c>
      <c r="S15" s="188">
        <f t="shared" si="4"/>
        <v>6130.6671812300001</v>
      </c>
      <c r="T15" s="188">
        <f t="shared" si="4"/>
        <v>6682.2360671846991</v>
      </c>
      <c r="U15" s="188">
        <f t="shared" si="4"/>
        <v>7336.9169390944089</v>
      </c>
      <c r="V15" s="188">
        <f t="shared" si="4"/>
        <v>8024.8326744044653</v>
      </c>
      <c r="W15" s="188">
        <f t="shared" si="4"/>
        <v>8801.2063226859591</v>
      </c>
      <c r="X15" s="188">
        <f t="shared" si="4"/>
        <v>9641.0210515850922</v>
      </c>
      <c r="Y15" s="188">
        <f t="shared" si="4"/>
        <v>10572.4203339502</v>
      </c>
      <c r="Z15" s="188">
        <f t="shared" si="4"/>
        <v>11590.213333677946</v>
      </c>
      <c r="AA15" s="196">
        <f t="shared" si="4"/>
        <v>12712.143111577579</v>
      </c>
      <c r="AB15" s="190">
        <f t="shared" si="4"/>
        <v>13942.487427938851</v>
      </c>
    </row>
    <row r="16" spans="1:74" ht="15" thickTop="1" x14ac:dyDescent="0.3">
      <c r="B16" s="106"/>
      <c r="C16" s="87"/>
      <c r="L16" s="147"/>
      <c r="Q16" s="147"/>
      <c r="AA16" s="147"/>
      <c r="AB16" s="152"/>
    </row>
    <row r="17" spans="2:28" x14ac:dyDescent="0.3">
      <c r="B17" s="106"/>
      <c r="C17" s="87"/>
      <c r="L17" s="147"/>
      <c r="Q17" s="147"/>
      <c r="AA17" s="147"/>
      <c r="AB17" s="152"/>
    </row>
    <row r="18" spans="2:28" x14ac:dyDescent="0.3">
      <c r="B18" s="106" t="s">
        <v>596</v>
      </c>
      <c r="C18" s="87"/>
      <c r="D18" s="191">
        <f>D8</f>
        <v>2765.4840446815629</v>
      </c>
      <c r="E18" s="191">
        <f t="shared" ref="E18:AB18" si="5">E8</f>
        <v>2887.907353792702</v>
      </c>
      <c r="F18" s="191">
        <f t="shared" si="5"/>
        <v>3195.816851211071</v>
      </c>
      <c r="G18" s="191">
        <f t="shared" si="5"/>
        <v>3634.3037884555083</v>
      </c>
      <c r="H18" s="191">
        <f t="shared" si="5"/>
        <v>1803.5404500171744</v>
      </c>
      <c r="I18" s="191">
        <f t="shared" si="5"/>
        <v>3959.866208068097</v>
      </c>
      <c r="J18" s="191">
        <f t="shared" si="5"/>
        <v>3798.2671376922885</v>
      </c>
      <c r="K18" s="191">
        <f t="shared" si="5"/>
        <v>4394.1369258964405</v>
      </c>
      <c r="L18" s="197">
        <f t="shared" si="5"/>
        <v>4186.4693737926582</v>
      </c>
      <c r="M18" s="191">
        <f t="shared" si="5"/>
        <v>5431.9351729911141</v>
      </c>
      <c r="N18" s="191">
        <f t="shared" si="5"/>
        <v>5533.4367043962629</v>
      </c>
      <c r="O18" s="191">
        <f t="shared" si="5"/>
        <v>6292.6932108785322</v>
      </c>
      <c r="P18" s="191">
        <f t="shared" si="5"/>
        <v>6705.2229260134554</v>
      </c>
      <c r="Q18" s="197">
        <f t="shared" si="5"/>
        <v>7430.8314064651131</v>
      </c>
      <c r="R18" s="191">
        <f t="shared" si="5"/>
        <v>8049.6407703077784</v>
      </c>
      <c r="S18" s="191">
        <f t="shared" si="5"/>
        <v>8843.5026911733639</v>
      </c>
      <c r="T18" s="191">
        <f t="shared" si="5"/>
        <v>9639.6143464127035</v>
      </c>
      <c r="U18" s="191">
        <f t="shared" si="5"/>
        <v>10561.311491056902</v>
      </c>
      <c r="V18" s="191">
        <f t="shared" si="5"/>
        <v>11540.762415625788</v>
      </c>
      <c r="W18" s="191">
        <f t="shared" si="5"/>
        <v>12635.424944108552</v>
      </c>
      <c r="X18" s="191">
        <f t="shared" si="5"/>
        <v>13822.724326748332</v>
      </c>
      <c r="Y18" s="191">
        <f t="shared" si="5"/>
        <v>15133.473118608221</v>
      </c>
      <c r="Z18" s="191">
        <f t="shared" si="5"/>
        <v>16565.39817536949</v>
      </c>
      <c r="AA18" s="197">
        <f t="shared" si="5"/>
        <v>18139.432579319182</v>
      </c>
      <c r="AB18" s="192">
        <f t="shared" si="5"/>
        <v>19863.342483469754</v>
      </c>
    </row>
    <row r="19" spans="2:28" x14ac:dyDescent="0.3">
      <c r="B19" s="106" t="s">
        <v>674</v>
      </c>
      <c r="C19" s="87"/>
      <c r="D19" s="191">
        <f>'2. Integrated Finance'!D67</f>
        <v>6293.6</v>
      </c>
      <c r="E19" s="191">
        <f>'2. Integrated Finance'!E67</f>
        <v>7207.5</v>
      </c>
      <c r="F19" s="191">
        <f>'2. Integrated Finance'!F67</f>
        <v>9116.7000000000007</v>
      </c>
      <c r="G19" s="191">
        <f>'2. Integrated Finance'!G67</f>
        <v>2074.6000000000004</v>
      </c>
      <c r="H19" s="191">
        <f>'2. Integrated Finance'!H67</f>
        <v>3816.8999999999996</v>
      </c>
      <c r="I19" s="191">
        <f>'2. Integrated Finance'!I67</f>
        <v>5298.9000000000005</v>
      </c>
      <c r="J19" s="191">
        <f>'2. Integrated Finance'!J67</f>
        <v>1477.0000000000014</v>
      </c>
      <c r="K19" s="191">
        <f>'2. Integrated Finance'!K67</f>
        <v>2556.1999999999998</v>
      </c>
      <c r="L19" s="197">
        <f>'2. Integrated Finance'!L67</f>
        <v>3754.2999999999988</v>
      </c>
      <c r="M19" s="191">
        <f>'2. Integrated Finance'!M67</f>
        <v>7579.2928786820885</v>
      </c>
      <c r="N19" s="191">
        <f>'2. Integrated Finance'!N67</f>
        <v>8198.5622282301738</v>
      </c>
      <c r="O19" s="191">
        <f>'2. Integrated Finance'!O67</f>
        <v>8872.2962335112534</v>
      </c>
      <c r="P19" s="191">
        <f>'2. Integrated Finance'!P67</f>
        <v>9605.3479394922979</v>
      </c>
      <c r="Q19" s="197">
        <f>'2. Integrated Finance'!Q67</f>
        <v>10403.01226307608</v>
      </c>
      <c r="R19" s="191">
        <f>'2. Integrated Finance'!R67</f>
        <v>11271.067188210782</v>
      </c>
      <c r="S19" s="191">
        <f>'2. Integrated Finance'!S67</f>
        <v>12215.818899822045</v>
      </c>
      <c r="T19" s="191">
        <f>'2. Integrated Finance'!T67</f>
        <v>13244.15124295327</v>
      </c>
      <c r="U19" s="191">
        <f>'2. Integrated Finance'!U67</f>
        <v>14363.579932352543</v>
      </c>
      <c r="V19" s="191">
        <f>'2. Integrated Finance'!V67</f>
        <v>15582.311980593477</v>
      </c>
      <c r="W19" s="191">
        <f>'2. Integrated Finance'!W67</f>
        <v>16909.310860082322</v>
      </c>
      <c r="X19" s="191">
        <f>'2. Integrated Finance'!X67</f>
        <v>18354.367966448703</v>
      </c>
      <c r="Y19" s="191">
        <f>'2. Integrated Finance'!Y67</f>
        <v>19928.181008356376</v>
      </c>
      <c r="Z19" s="191">
        <f>'2. Integrated Finance'!Z67</f>
        <v>21642.440012271793</v>
      </c>
      <c r="AA19" s="197">
        <f>'2. Integrated Finance'!AA67</f>
        <v>23509.921700822106</v>
      </c>
      <c r="AB19" s="192">
        <f>'2. Integrated Finance'!AB67</f>
        <v>25544.593080757539</v>
      </c>
    </row>
    <row r="20" spans="2:28" ht="15" thickBot="1" x14ac:dyDescent="0.35">
      <c r="B20" s="113" t="s">
        <v>675</v>
      </c>
      <c r="C20" s="195"/>
      <c r="D20" s="189">
        <f>D18/D19</f>
        <v>0.43941210828167704</v>
      </c>
      <c r="E20" s="189">
        <f t="shared" ref="E20:AB20" si="6">E18/E19</f>
        <v>0.40068086767848798</v>
      </c>
      <c r="F20" s="189">
        <f t="shared" si="6"/>
        <v>0.3505453564569494</v>
      </c>
      <c r="G20" s="189">
        <f t="shared" si="6"/>
        <v>1.7518094034780236</v>
      </c>
      <c r="H20" s="189">
        <f t="shared" si="6"/>
        <v>0.47251446200245606</v>
      </c>
      <c r="I20" s="189">
        <f t="shared" si="6"/>
        <v>0.74729966749100696</v>
      </c>
      <c r="J20" s="189">
        <f t="shared" si="6"/>
        <v>2.5716094364876674</v>
      </c>
      <c r="K20" s="189">
        <f t="shared" si="6"/>
        <v>1.7190113942165874</v>
      </c>
      <c r="L20" s="198">
        <f t="shared" si="6"/>
        <v>1.1151131699098793</v>
      </c>
      <c r="M20" s="189">
        <f t="shared" si="6"/>
        <v>0.71668099649101258</v>
      </c>
      <c r="N20" s="189">
        <f t="shared" si="6"/>
        <v>0.67492769468077429</v>
      </c>
      <c r="O20" s="189">
        <f t="shared" si="6"/>
        <v>0.70925192816608296</v>
      </c>
      <c r="P20" s="189">
        <f t="shared" si="6"/>
        <v>0.69807184167113767</v>
      </c>
      <c r="Q20" s="198">
        <f t="shared" si="6"/>
        <v>0.71429613063513597</v>
      </c>
      <c r="R20" s="189">
        <f t="shared" si="6"/>
        <v>0.71418621110940372</v>
      </c>
      <c r="S20" s="189">
        <f t="shared" si="6"/>
        <v>0.7239385884561691</v>
      </c>
      <c r="T20" s="189">
        <f t="shared" si="6"/>
        <v>0.72783934353978252</v>
      </c>
      <c r="U20" s="189">
        <f t="shared" si="6"/>
        <v>0.73528406851195871</v>
      </c>
      <c r="V20" s="189">
        <f t="shared" si="6"/>
        <v>0.74063222646285642</v>
      </c>
      <c r="W20" s="189">
        <f t="shared" si="6"/>
        <v>0.74724659382405123</v>
      </c>
      <c r="X20" s="189">
        <f t="shared" si="6"/>
        <v>0.75310271386167615</v>
      </c>
      <c r="Y20" s="189">
        <f t="shared" si="6"/>
        <v>0.75940062528849894</v>
      </c>
      <c r="Z20" s="189">
        <f t="shared" si="6"/>
        <v>0.76541268757018632</v>
      </c>
      <c r="AA20" s="198">
        <f t="shared" si="6"/>
        <v>0.77156499328897699</v>
      </c>
      <c r="AB20" s="193">
        <f t="shared" si="6"/>
        <v>0.77759478965560791</v>
      </c>
    </row>
    <row r="21" spans="2:28" ht="15" hidden="1" thickTop="1" x14ac:dyDescent="0.3">
      <c r="B21" s="106"/>
      <c r="C21" s="148">
        <v>0.36359999999999998</v>
      </c>
      <c r="D21" s="149">
        <v>0.3105</v>
      </c>
      <c r="E21" s="149">
        <v>0.26119999999999999</v>
      </c>
      <c r="F21" s="149">
        <v>0.28649999999999998</v>
      </c>
      <c r="G21" s="149">
        <v>0.34979999999999994</v>
      </c>
      <c r="H21" s="149">
        <v>9.06E-2</v>
      </c>
      <c r="I21" s="149">
        <v>0.19109999999999999</v>
      </c>
      <c r="J21" s="149">
        <v>0.1898</v>
      </c>
      <c r="K21" s="149">
        <v>0.25079999999999997</v>
      </c>
      <c r="L21" s="150">
        <v>0.21030000000000001</v>
      </c>
      <c r="Q21" s="147"/>
      <c r="AA21" s="147"/>
      <c r="AB21" s="152"/>
    </row>
    <row r="22" spans="2:28" ht="15" hidden="1" thickTop="1" x14ac:dyDescent="0.3">
      <c r="B22" s="106"/>
      <c r="C22" s="87"/>
      <c r="L22" s="147"/>
      <c r="Q22" s="147"/>
      <c r="AA22" s="147"/>
      <c r="AB22" s="152"/>
    </row>
    <row r="23" spans="2:28" ht="15" hidden="1" thickTop="1" x14ac:dyDescent="0.3">
      <c r="B23" s="106"/>
      <c r="C23" s="87"/>
      <c r="D23" s="194">
        <f>D18/D21</f>
        <v>8906.5508685396544</v>
      </c>
      <c r="E23" s="194">
        <f t="shared" ref="E23:L23" si="7">E18/E21</f>
        <v>11056.306867506517</v>
      </c>
      <c r="F23" s="194">
        <f t="shared" si="7"/>
        <v>11154.683599340562</v>
      </c>
      <c r="G23" s="194">
        <f t="shared" si="7"/>
        <v>10389.662059621238</v>
      </c>
      <c r="H23" s="194">
        <f t="shared" si="7"/>
        <v>19906.62748363327</v>
      </c>
      <c r="I23" s="194">
        <f t="shared" si="7"/>
        <v>20721.434893082664</v>
      </c>
      <c r="J23" s="194">
        <f t="shared" si="7"/>
        <v>20011.94487719857</v>
      </c>
      <c r="K23" s="194">
        <f t="shared" si="7"/>
        <v>17520.482160671614</v>
      </c>
      <c r="L23" s="199">
        <f t="shared" si="7"/>
        <v>19907.1296899318</v>
      </c>
      <c r="Q23" s="147"/>
      <c r="AA23" s="147"/>
      <c r="AB23" s="152"/>
    </row>
    <row r="24" spans="2:28" ht="15" hidden="1" thickTop="1" x14ac:dyDescent="0.3">
      <c r="B24" s="106"/>
      <c r="C24" s="87"/>
      <c r="D24" s="194">
        <f>D23-D19</f>
        <v>2612.950868539654</v>
      </c>
      <c r="E24" s="194">
        <f t="shared" ref="E24:L24" si="8">E23-E19</f>
        <v>3848.8068675065169</v>
      </c>
      <c r="F24" s="194">
        <f t="shared" si="8"/>
        <v>2037.9835993405613</v>
      </c>
      <c r="G24" s="194">
        <f t="shared" si="8"/>
        <v>8315.0620596212375</v>
      </c>
      <c r="H24" s="194">
        <f t="shared" si="8"/>
        <v>16089.727483633271</v>
      </c>
      <c r="I24" s="194">
        <f t="shared" si="8"/>
        <v>15422.534893082662</v>
      </c>
      <c r="J24" s="194">
        <f t="shared" si="8"/>
        <v>18534.94487719857</v>
      </c>
      <c r="K24" s="194">
        <f t="shared" si="8"/>
        <v>14964.282160671613</v>
      </c>
      <c r="L24" s="199">
        <f t="shared" si="8"/>
        <v>16152.829689931801</v>
      </c>
      <c r="Q24" s="147"/>
      <c r="AA24" s="147"/>
      <c r="AB24" s="152"/>
    </row>
    <row r="25" spans="2:28" ht="15" hidden="1" thickTop="1" x14ac:dyDescent="0.3">
      <c r="B25" s="106"/>
      <c r="C25" s="87"/>
      <c r="F25" s="191"/>
      <c r="G25" s="194"/>
      <c r="L25" s="147"/>
      <c r="Q25" s="147"/>
      <c r="AA25" s="147"/>
      <c r="AB25" s="152"/>
    </row>
    <row r="26" spans="2:28" ht="15" hidden="1" thickTop="1" x14ac:dyDescent="0.3">
      <c r="B26" s="106"/>
      <c r="C26" s="87"/>
      <c r="L26" s="147"/>
      <c r="Q26" s="147"/>
      <c r="AA26" s="147"/>
      <c r="AB26" s="152"/>
    </row>
    <row r="27" spans="2:28" ht="15" hidden="1" thickTop="1" x14ac:dyDescent="0.3">
      <c r="B27" s="106"/>
      <c r="C27" s="87"/>
      <c r="D27" s="245">
        <v>9782.6000000000022</v>
      </c>
      <c r="E27" s="144">
        <f>D18/D27</f>
        <v>0.28269417585116047</v>
      </c>
      <c r="L27" s="147"/>
      <c r="Q27" s="147"/>
      <c r="AA27" s="147"/>
      <c r="AB27" s="152"/>
    </row>
    <row r="28" spans="2:28" ht="15" hidden="1" thickTop="1" x14ac:dyDescent="0.3">
      <c r="B28" s="106"/>
      <c r="C28" s="87"/>
      <c r="L28" s="147"/>
      <c r="Q28" s="147"/>
      <c r="AA28" s="147"/>
      <c r="AB28" s="152"/>
    </row>
    <row r="29" spans="2:28" ht="15" hidden="1" thickTop="1" x14ac:dyDescent="0.3">
      <c r="B29" s="106"/>
      <c r="C29" s="87"/>
      <c r="L29" s="147"/>
      <c r="Q29" s="147"/>
      <c r="AA29" s="147"/>
      <c r="AB29" s="152"/>
    </row>
    <row r="30" spans="2:28" ht="15.6" thickTop="1" thickBot="1" x14ac:dyDescent="0.35">
      <c r="B30" s="124"/>
      <c r="C30" s="154"/>
      <c r="D30" s="177"/>
      <c r="E30" s="177"/>
      <c r="F30" s="177"/>
      <c r="G30" s="177"/>
      <c r="H30" s="177"/>
      <c r="I30" s="177"/>
      <c r="J30" s="177"/>
      <c r="K30" s="177"/>
      <c r="L30" s="187"/>
      <c r="M30" s="177"/>
      <c r="N30" s="177"/>
      <c r="O30" s="177"/>
      <c r="P30" s="177"/>
      <c r="Q30" s="187"/>
      <c r="R30" s="177"/>
      <c r="S30" s="177"/>
      <c r="T30" s="177"/>
      <c r="U30" s="177"/>
      <c r="V30" s="177"/>
      <c r="W30" s="177"/>
      <c r="X30" s="177"/>
      <c r="Y30" s="177"/>
      <c r="Z30" s="177"/>
      <c r="AA30" s="187"/>
      <c r="AB30" s="178"/>
    </row>
  </sheetData>
  <mergeCells count="4">
    <mergeCell ref="B2:AB4"/>
    <mergeCell ref="C5:L5"/>
    <mergeCell ref="M5:Q5"/>
    <mergeCell ref="R5:AA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7AB3A-A50A-49BF-8752-FC3595DDF4C9}">
  <dimension ref="A1:BM35"/>
  <sheetViews>
    <sheetView showGridLines="0" zoomScale="70" zoomScaleNormal="70" workbookViewId="0">
      <selection activeCell="S12" sqref="S12"/>
    </sheetView>
  </sheetViews>
  <sheetFormatPr defaultRowHeight="14.4" x14ac:dyDescent="0.3"/>
  <cols>
    <col min="1" max="1" width="1.88671875" bestFit="1" customWidth="1"/>
    <col min="2" max="2" width="32.44140625" bestFit="1" customWidth="1"/>
    <col min="3" max="3" width="12.88671875" customWidth="1"/>
    <col min="4" max="4" width="13.44140625" bestFit="1" customWidth="1"/>
    <col min="5" max="5" width="16.5546875" bestFit="1" customWidth="1"/>
    <col min="6" max="17" width="12.88671875" customWidth="1"/>
    <col min="18" max="18" width="13.44140625" bestFit="1" customWidth="1"/>
    <col min="19" max="19" width="12.88671875" customWidth="1"/>
  </cols>
  <sheetData>
    <row r="1" spans="1:65" ht="15" thickBot="1" x14ac:dyDescent="0.35"/>
    <row r="2" spans="1:65" s="30" customFormat="1" ht="14.4" customHeight="1" x14ac:dyDescent="0.3">
      <c r="A2" s="27"/>
      <c r="B2" s="299" t="s">
        <v>676</v>
      </c>
      <c r="C2" s="300"/>
      <c r="D2" s="300"/>
      <c r="E2" s="300"/>
      <c r="F2" s="300"/>
      <c r="G2" s="300"/>
      <c r="H2" s="300"/>
      <c r="I2" s="300"/>
      <c r="J2" s="300"/>
      <c r="K2" s="300"/>
      <c r="L2" s="300"/>
      <c r="M2" s="300"/>
      <c r="N2" s="300"/>
      <c r="O2" s="300"/>
      <c r="P2" s="300"/>
      <c r="Q2" s="300"/>
      <c r="R2" s="300"/>
      <c r="S2" s="301"/>
    </row>
    <row r="3" spans="1:65" s="30" customFormat="1" ht="14.4" customHeight="1" x14ac:dyDescent="0.3">
      <c r="A3" s="27"/>
      <c r="B3" s="302"/>
      <c r="C3" s="303"/>
      <c r="D3" s="303"/>
      <c r="E3" s="303"/>
      <c r="F3" s="303"/>
      <c r="G3" s="303"/>
      <c r="H3" s="303"/>
      <c r="I3" s="303"/>
      <c r="J3" s="303"/>
      <c r="K3" s="303"/>
      <c r="L3" s="303"/>
      <c r="M3" s="303"/>
      <c r="N3" s="303"/>
      <c r="O3" s="303"/>
      <c r="P3" s="303"/>
      <c r="Q3" s="303"/>
      <c r="R3" s="303"/>
      <c r="S3" s="304"/>
    </row>
    <row r="4" spans="1:65" s="30" customFormat="1" ht="14.4" customHeight="1" x14ac:dyDescent="0.3">
      <c r="A4" s="27"/>
      <c r="B4" s="302"/>
      <c r="C4" s="303"/>
      <c r="D4" s="303"/>
      <c r="E4" s="303"/>
      <c r="F4" s="303"/>
      <c r="G4" s="303"/>
      <c r="H4" s="303"/>
      <c r="I4" s="303"/>
      <c r="J4" s="303"/>
      <c r="K4" s="303"/>
      <c r="L4" s="303"/>
      <c r="M4" s="303"/>
      <c r="N4" s="303"/>
      <c r="O4" s="303"/>
      <c r="P4" s="303"/>
      <c r="Q4" s="303"/>
      <c r="R4" s="303"/>
      <c r="S4" s="304"/>
    </row>
    <row r="5" spans="1:65" s="30" customFormat="1" x14ac:dyDescent="0.3">
      <c r="A5" s="27"/>
      <c r="B5" s="202" t="s">
        <v>570</v>
      </c>
      <c r="C5" s="200"/>
      <c r="D5" s="326" t="s">
        <v>572</v>
      </c>
      <c r="E5" s="326"/>
      <c r="F5" s="326"/>
      <c r="G5" s="326"/>
      <c r="H5" s="326"/>
      <c r="I5" s="326" t="s">
        <v>573</v>
      </c>
      <c r="J5" s="326"/>
      <c r="K5" s="326"/>
      <c r="L5" s="326"/>
      <c r="M5" s="326"/>
      <c r="N5" s="326"/>
      <c r="O5" s="326"/>
      <c r="P5" s="326"/>
      <c r="Q5" s="326"/>
      <c r="R5" s="326"/>
      <c r="S5" s="203" t="s">
        <v>574</v>
      </c>
    </row>
    <row r="6" spans="1:65" s="30" customFormat="1" ht="14.4" hidden="1" customHeight="1" x14ac:dyDescent="0.3">
      <c r="A6" s="27"/>
      <c r="B6" s="98"/>
      <c r="C6" s="31">
        <v>2024</v>
      </c>
      <c r="D6" s="31">
        <f t="shared" ref="D6:BH6" si="0">C6+1</f>
        <v>2025</v>
      </c>
      <c r="E6" s="31">
        <f t="shared" si="0"/>
        <v>2026</v>
      </c>
      <c r="F6" s="31">
        <f t="shared" si="0"/>
        <v>2027</v>
      </c>
      <c r="G6" s="31">
        <f t="shared" si="0"/>
        <v>2028</v>
      </c>
      <c r="H6" s="31">
        <f t="shared" si="0"/>
        <v>2029</v>
      </c>
      <c r="I6" s="31">
        <f t="shared" si="0"/>
        <v>2030</v>
      </c>
      <c r="J6" s="31">
        <f t="shared" si="0"/>
        <v>2031</v>
      </c>
      <c r="K6" s="31">
        <f t="shared" si="0"/>
        <v>2032</v>
      </c>
      <c r="L6" s="31">
        <f t="shared" si="0"/>
        <v>2033</v>
      </c>
      <c r="M6" s="31">
        <f t="shared" si="0"/>
        <v>2034</v>
      </c>
      <c r="N6" s="31">
        <f t="shared" si="0"/>
        <v>2035</v>
      </c>
      <c r="O6" s="31">
        <f t="shared" si="0"/>
        <v>2036</v>
      </c>
      <c r="P6" s="31">
        <f t="shared" si="0"/>
        <v>2037</v>
      </c>
      <c r="Q6" s="31">
        <f t="shared" si="0"/>
        <v>2038</v>
      </c>
      <c r="R6" s="31">
        <f t="shared" si="0"/>
        <v>2039</v>
      </c>
      <c r="S6" s="204">
        <f t="shared" si="0"/>
        <v>2040</v>
      </c>
      <c r="T6" s="27">
        <f t="shared" si="0"/>
        <v>2041</v>
      </c>
      <c r="U6" s="27">
        <f t="shared" si="0"/>
        <v>2042</v>
      </c>
      <c r="V6" s="27">
        <f t="shared" si="0"/>
        <v>2043</v>
      </c>
      <c r="W6" s="27">
        <f t="shared" si="0"/>
        <v>2044</v>
      </c>
      <c r="X6" s="27">
        <f t="shared" si="0"/>
        <v>2045</v>
      </c>
      <c r="Y6" s="27">
        <f t="shared" si="0"/>
        <v>2046</v>
      </c>
      <c r="Z6" s="27">
        <f t="shared" si="0"/>
        <v>2047</v>
      </c>
      <c r="AA6" s="27">
        <f t="shared" si="0"/>
        <v>2048</v>
      </c>
      <c r="AB6" s="27">
        <f t="shared" si="0"/>
        <v>2049</v>
      </c>
      <c r="AC6" s="27">
        <f t="shared" si="0"/>
        <v>2050</v>
      </c>
      <c r="AD6" s="27">
        <f t="shared" si="0"/>
        <v>2051</v>
      </c>
      <c r="AE6" s="27">
        <f t="shared" si="0"/>
        <v>2052</v>
      </c>
      <c r="AF6" s="27">
        <f t="shared" si="0"/>
        <v>2053</v>
      </c>
      <c r="AG6" s="27">
        <f t="shared" si="0"/>
        <v>2054</v>
      </c>
      <c r="AH6" s="27">
        <f t="shared" si="0"/>
        <v>2055</v>
      </c>
      <c r="AI6" s="27">
        <f t="shared" si="0"/>
        <v>2056</v>
      </c>
      <c r="AJ6" s="27">
        <f t="shared" si="0"/>
        <v>2057</v>
      </c>
      <c r="AK6" s="27">
        <f t="shared" si="0"/>
        <v>2058</v>
      </c>
      <c r="AL6" s="27">
        <f t="shared" si="0"/>
        <v>2059</v>
      </c>
      <c r="AM6" s="27">
        <f t="shared" si="0"/>
        <v>2060</v>
      </c>
      <c r="AN6" s="27">
        <f t="shared" si="0"/>
        <v>2061</v>
      </c>
      <c r="AO6" s="27">
        <f t="shared" si="0"/>
        <v>2062</v>
      </c>
      <c r="AP6" s="27">
        <f t="shared" si="0"/>
        <v>2063</v>
      </c>
      <c r="AQ6" s="27">
        <f t="shared" si="0"/>
        <v>2064</v>
      </c>
      <c r="AR6" s="27">
        <f t="shared" si="0"/>
        <v>2065</v>
      </c>
      <c r="AS6" s="27">
        <f t="shared" si="0"/>
        <v>2066</v>
      </c>
      <c r="AT6" s="27">
        <f t="shared" si="0"/>
        <v>2067</v>
      </c>
      <c r="AU6" s="27">
        <f t="shared" si="0"/>
        <v>2068</v>
      </c>
      <c r="AV6" s="27">
        <f t="shared" si="0"/>
        <v>2069</v>
      </c>
      <c r="AW6" s="27">
        <f t="shared" si="0"/>
        <v>2070</v>
      </c>
      <c r="AX6" s="27">
        <f t="shared" si="0"/>
        <v>2071</v>
      </c>
      <c r="AY6" s="27">
        <f t="shared" si="0"/>
        <v>2072</v>
      </c>
      <c r="AZ6" s="27">
        <f t="shared" si="0"/>
        <v>2073</v>
      </c>
      <c r="BA6" s="27">
        <f t="shared" si="0"/>
        <v>2074</v>
      </c>
      <c r="BB6" s="27">
        <f t="shared" si="0"/>
        <v>2075</v>
      </c>
      <c r="BC6" s="27">
        <f t="shared" si="0"/>
        <v>2076</v>
      </c>
      <c r="BD6" s="27">
        <f t="shared" si="0"/>
        <v>2077</v>
      </c>
      <c r="BE6" s="27">
        <f t="shared" si="0"/>
        <v>2078</v>
      </c>
      <c r="BF6" s="27">
        <f t="shared" si="0"/>
        <v>2079</v>
      </c>
      <c r="BG6" s="27">
        <f t="shared" si="0"/>
        <v>2080</v>
      </c>
      <c r="BH6" s="27">
        <f t="shared" si="0"/>
        <v>2081</v>
      </c>
      <c r="BI6" s="27">
        <f t="shared" ref="BI6:BM6" si="1">BH6+1</f>
        <v>2082</v>
      </c>
      <c r="BJ6" s="27">
        <f t="shared" si="1"/>
        <v>2083</v>
      </c>
      <c r="BK6" s="27">
        <f t="shared" si="1"/>
        <v>2084</v>
      </c>
      <c r="BL6" s="27">
        <f t="shared" si="1"/>
        <v>2085</v>
      </c>
      <c r="BM6" s="27">
        <f t="shared" si="1"/>
        <v>2086</v>
      </c>
    </row>
    <row r="7" spans="1:65" s="30" customFormat="1" x14ac:dyDescent="0.3">
      <c r="A7" s="27"/>
      <c r="B7" s="205"/>
      <c r="C7" s="201" t="str">
        <f t="shared" ref="C7:R7" si="2">"FY "&amp;C6</f>
        <v>FY 2024</v>
      </c>
      <c r="D7" s="201" t="str">
        <f t="shared" si="2"/>
        <v>FY 2025</v>
      </c>
      <c r="E7" s="201" t="str">
        <f t="shared" si="2"/>
        <v>FY 2026</v>
      </c>
      <c r="F7" s="201" t="str">
        <f t="shared" si="2"/>
        <v>FY 2027</v>
      </c>
      <c r="G7" s="201" t="str">
        <f t="shared" si="2"/>
        <v>FY 2028</v>
      </c>
      <c r="H7" s="201" t="str">
        <f t="shared" si="2"/>
        <v>FY 2029</v>
      </c>
      <c r="I7" s="201" t="str">
        <f t="shared" si="2"/>
        <v>FY 2030</v>
      </c>
      <c r="J7" s="201" t="str">
        <f t="shared" si="2"/>
        <v>FY 2031</v>
      </c>
      <c r="K7" s="201" t="str">
        <f t="shared" si="2"/>
        <v>FY 2032</v>
      </c>
      <c r="L7" s="201" t="str">
        <f t="shared" si="2"/>
        <v>FY 2033</v>
      </c>
      <c r="M7" s="201" t="str">
        <f t="shared" si="2"/>
        <v>FY 2034</v>
      </c>
      <c r="N7" s="201" t="str">
        <f t="shared" si="2"/>
        <v>FY 2035</v>
      </c>
      <c r="O7" s="201" t="str">
        <f t="shared" si="2"/>
        <v>FY 2036</v>
      </c>
      <c r="P7" s="201" t="str">
        <f t="shared" si="2"/>
        <v>FY 2037</v>
      </c>
      <c r="Q7" s="201" t="str">
        <f t="shared" si="2"/>
        <v>FY 2038</v>
      </c>
      <c r="R7" s="201" t="str">
        <f t="shared" si="2"/>
        <v>FY 2039</v>
      </c>
      <c r="S7" s="206" t="s">
        <v>575</v>
      </c>
    </row>
    <row r="8" spans="1:65" ht="15.6" x14ac:dyDescent="0.3">
      <c r="B8" s="207" t="s">
        <v>677</v>
      </c>
      <c r="S8" s="208"/>
    </row>
    <row r="9" spans="1:65" x14ac:dyDescent="0.3">
      <c r="B9" s="209" t="s">
        <v>678</v>
      </c>
      <c r="C9" s="26">
        <v>0</v>
      </c>
      <c r="D9" s="26">
        <f>C9+1</f>
        <v>1</v>
      </c>
      <c r="E9" s="26">
        <f t="shared" ref="E9:S9" si="3">D9+1</f>
        <v>2</v>
      </c>
      <c r="F9" s="26">
        <f t="shared" si="3"/>
        <v>3</v>
      </c>
      <c r="G9" s="26">
        <f t="shared" si="3"/>
        <v>4</v>
      </c>
      <c r="H9" s="26">
        <f t="shared" si="3"/>
        <v>5</v>
      </c>
      <c r="I9" s="26">
        <f t="shared" si="3"/>
        <v>6</v>
      </c>
      <c r="J9" s="26">
        <f t="shared" si="3"/>
        <v>7</v>
      </c>
      <c r="K9" s="26">
        <f t="shared" si="3"/>
        <v>8</v>
      </c>
      <c r="L9" s="26">
        <f t="shared" si="3"/>
        <v>9</v>
      </c>
      <c r="M9" s="26">
        <f t="shared" si="3"/>
        <v>10</v>
      </c>
      <c r="N9" s="26">
        <f t="shared" si="3"/>
        <v>11</v>
      </c>
      <c r="O9" s="26">
        <f t="shared" si="3"/>
        <v>12</v>
      </c>
      <c r="P9" s="26">
        <f t="shared" si="3"/>
        <v>13</v>
      </c>
      <c r="Q9" s="26">
        <f t="shared" si="3"/>
        <v>14</v>
      </c>
      <c r="R9" s="26">
        <f t="shared" si="3"/>
        <v>15</v>
      </c>
      <c r="S9" s="210">
        <f t="shared" si="3"/>
        <v>16</v>
      </c>
    </row>
    <row r="10" spans="1:65" x14ac:dyDescent="0.3">
      <c r="B10" s="209" t="s">
        <v>679</v>
      </c>
      <c r="S10" s="211">
        <f>'Sensitivity Analysis'!C6</f>
        <v>3.5000000000000003E-2</v>
      </c>
    </row>
    <row r="11" spans="1:65" x14ac:dyDescent="0.3">
      <c r="B11" s="209" t="s">
        <v>649</v>
      </c>
      <c r="S11" s="211">
        <f>'Sensitivity Analysis'!C7</f>
        <v>8.4900000000000003E-2</v>
      </c>
      <c r="T11" s="246"/>
    </row>
    <row r="12" spans="1:65" x14ac:dyDescent="0.3">
      <c r="B12" s="209" t="s">
        <v>670</v>
      </c>
      <c r="C12" s="170">
        <f>'6. ROIC &amp; FCF'!L11</f>
        <v>1573.9693737926591</v>
      </c>
      <c r="D12" s="170">
        <f>'6. ROIC &amp; FCF'!M11</f>
        <v>1442.608432786998</v>
      </c>
      <c r="E12" s="170">
        <f>'6. ROIC &amp; FCF'!N11</f>
        <v>3510.6448365798578</v>
      </c>
      <c r="F12" s="170">
        <f>'6. ROIC &amp; FCF'!O11</f>
        <v>4102.4206039133396</v>
      </c>
      <c r="G12" s="170">
        <f>'6. ROIC &amp; FCF'!P11</f>
        <v>4332.7037698914728</v>
      </c>
      <c r="H12" s="170">
        <f>'6. ROIC &amp; FCF'!Q11</f>
        <v>4859.9787997991261</v>
      </c>
      <c r="I12" s="170">
        <f>'6. ROIC &amp; FCF'!R11</f>
        <v>5262.9258848893314</v>
      </c>
      <c r="J12" s="170">
        <f>'6. ROIC &amp; FCF'!S11</f>
        <v>5821.8226151131803</v>
      </c>
      <c r="K12" s="170">
        <f>'6. ROIC &amp; FCF'!T11</f>
        <v>6362.1475177960529</v>
      </c>
      <c r="L12" s="170">
        <f>'6. ROIC &amp; FCF'!U11</f>
        <v>7005.3595267684977</v>
      </c>
      <c r="M12" s="170">
        <f>'6. ROIC &amp; FCF'!V11</f>
        <v>7681.5770218825419</v>
      </c>
      <c r="N12" s="170">
        <f>'6. ROIC &amp; FCF'!W11</f>
        <v>8446.0184651641066</v>
      </c>
      <c r="O12" s="170">
        <f>'6. ROIC &amp; FCF'!X11</f>
        <v>9273.6623449633098</v>
      </c>
      <c r="P12" s="170">
        <f>'6. ROIC &amp; FCF'!Y11</f>
        <v>10192.647361246491</v>
      </c>
      <c r="Q12" s="170">
        <f>'6. ROIC &amp; FCF'!Z11</f>
        <v>11197.777809570667</v>
      </c>
      <c r="R12" s="170">
        <f>'6. ROIC &amp; FCF'!AA11</f>
        <v>12306.791785038669</v>
      </c>
      <c r="S12" s="171">
        <f>'6. ROIC &amp; FCF'!AB11</f>
        <v>13523.961982919667</v>
      </c>
    </row>
    <row r="13" spans="1:65" x14ac:dyDescent="0.3">
      <c r="B13" s="209" t="s">
        <v>680</v>
      </c>
      <c r="D13" s="36">
        <f>D12/(1+$S$11)^D9</f>
        <v>1329.7155800414766</v>
      </c>
      <c r="E13" s="36">
        <f t="shared" ref="E13:R13" si="4">E12/(1+$S$11)^E9</f>
        <v>2982.6855949602736</v>
      </c>
      <c r="F13" s="36">
        <f t="shared" si="4"/>
        <v>3212.7065380590589</v>
      </c>
      <c r="G13" s="36">
        <f t="shared" si="4"/>
        <v>3127.5204652494658</v>
      </c>
      <c r="H13" s="36">
        <f t="shared" si="4"/>
        <v>3233.5965200761812</v>
      </c>
      <c r="I13" s="36">
        <f t="shared" si="4"/>
        <v>3227.6690581752077</v>
      </c>
      <c r="J13" s="36">
        <f t="shared" si="4"/>
        <v>3291.0236588912458</v>
      </c>
      <c r="K13" s="36">
        <f t="shared" si="4"/>
        <v>3315.019299921767</v>
      </c>
      <c r="L13" s="36">
        <f t="shared" si="4"/>
        <v>3364.5194721538805</v>
      </c>
      <c r="M13" s="36">
        <f t="shared" si="4"/>
        <v>3400.5823589808119</v>
      </c>
      <c r="N13" s="36">
        <f t="shared" si="4"/>
        <v>3446.3963794963925</v>
      </c>
      <c r="O13" s="36">
        <f t="shared" si="4"/>
        <v>3487.9862863387061</v>
      </c>
      <c r="P13" s="36">
        <f t="shared" si="4"/>
        <v>3533.6276085376189</v>
      </c>
      <c r="Q13" s="36">
        <f t="shared" si="4"/>
        <v>3578.2931497525365</v>
      </c>
      <c r="R13" s="36">
        <f t="shared" si="4"/>
        <v>3624.926582274169</v>
      </c>
      <c r="S13" s="212"/>
    </row>
    <row r="14" spans="1:65" x14ac:dyDescent="0.3">
      <c r="B14" s="209" t="s">
        <v>681</v>
      </c>
      <c r="R14" s="29">
        <f>S12/(S11-S10)</f>
        <v>271021.28222283901</v>
      </c>
      <c r="S14" s="208"/>
    </row>
    <row r="15" spans="1:65" x14ac:dyDescent="0.3">
      <c r="B15" s="209" t="s">
        <v>682</v>
      </c>
      <c r="R15" s="36">
        <f>R14/(1+$S$11)^R9</f>
        <v>79828.461182380517</v>
      </c>
      <c r="S15" s="208"/>
    </row>
    <row r="16" spans="1:65" x14ac:dyDescent="0.3">
      <c r="B16" s="209" t="s">
        <v>683</v>
      </c>
      <c r="D16" s="29">
        <f>SUM(D13:R13)+R15</f>
        <v>127984.72973528931</v>
      </c>
      <c r="S16" s="208"/>
    </row>
    <row r="17" spans="2:20" x14ac:dyDescent="0.3">
      <c r="B17" s="209" t="s">
        <v>684</v>
      </c>
      <c r="D17" s="29">
        <f>'2. Integrated Finance'!L84+'2. Integrated Finance'!L85</f>
        <v>29710.899999999998</v>
      </c>
      <c r="S17" s="208"/>
    </row>
    <row r="18" spans="2:20" x14ac:dyDescent="0.3">
      <c r="B18" s="209" t="s">
        <v>176</v>
      </c>
      <c r="D18" s="29">
        <f>D16-D17</f>
        <v>98273.829735289313</v>
      </c>
      <c r="S18" s="208"/>
    </row>
    <row r="19" spans="2:20" x14ac:dyDescent="0.3">
      <c r="B19" s="209" t="s">
        <v>685</v>
      </c>
      <c r="D19" s="37">
        <f>'1. Raw Data - Bloomberg'!M168</f>
        <v>1133.5</v>
      </c>
      <c r="S19" s="208"/>
    </row>
    <row r="20" spans="2:20" x14ac:dyDescent="0.3">
      <c r="B20" s="209" t="s">
        <v>686</v>
      </c>
      <c r="D20" s="29">
        <f>D18/D19</f>
        <v>86.699452788080563</v>
      </c>
      <c r="E20" s="247"/>
      <c r="S20" s="208"/>
    </row>
    <row r="21" spans="2:20" x14ac:dyDescent="0.3">
      <c r="B21" s="209" t="s">
        <v>687</v>
      </c>
      <c r="D21" s="29">
        <v>86.72</v>
      </c>
      <c r="S21" s="208"/>
    </row>
    <row r="22" spans="2:20" x14ac:dyDescent="0.3">
      <c r="B22" s="216"/>
      <c r="C22" s="217"/>
      <c r="D22" s="217"/>
      <c r="E22" s="217"/>
      <c r="F22" s="217"/>
      <c r="G22" s="217"/>
      <c r="H22" s="217"/>
      <c r="I22" s="217"/>
      <c r="J22" s="217"/>
      <c r="K22" s="217"/>
      <c r="L22" s="217"/>
      <c r="M22" s="217"/>
      <c r="N22" s="217"/>
      <c r="O22" s="217"/>
      <c r="P22" s="217"/>
      <c r="Q22" s="217"/>
      <c r="R22" s="217"/>
      <c r="S22" s="218"/>
    </row>
    <row r="23" spans="2:20" ht="15.6" x14ac:dyDescent="0.3">
      <c r="B23" s="207" t="s">
        <v>688</v>
      </c>
      <c r="S23" s="208"/>
    </row>
    <row r="24" spans="2:20" x14ac:dyDescent="0.3">
      <c r="B24" s="209" t="s">
        <v>678</v>
      </c>
      <c r="C24" s="26">
        <v>0</v>
      </c>
      <c r="D24" s="26">
        <f>C24+1</f>
        <v>1</v>
      </c>
      <c r="E24" s="26">
        <f t="shared" ref="E24:S24" si="5">D24+1</f>
        <v>2</v>
      </c>
      <c r="F24" s="26">
        <f t="shared" si="5"/>
        <v>3</v>
      </c>
      <c r="G24" s="26">
        <f t="shared" si="5"/>
        <v>4</v>
      </c>
      <c r="H24" s="26">
        <f t="shared" si="5"/>
        <v>5</v>
      </c>
      <c r="I24" s="26">
        <f t="shared" si="5"/>
        <v>6</v>
      </c>
      <c r="J24" s="26">
        <f t="shared" si="5"/>
        <v>7</v>
      </c>
      <c r="K24" s="26">
        <f t="shared" si="5"/>
        <v>8</v>
      </c>
      <c r="L24" s="26">
        <f t="shared" si="5"/>
        <v>9</v>
      </c>
      <c r="M24" s="26">
        <f t="shared" si="5"/>
        <v>10</v>
      </c>
      <c r="N24" s="26">
        <f t="shared" si="5"/>
        <v>11</v>
      </c>
      <c r="O24" s="26">
        <f t="shared" si="5"/>
        <v>12</v>
      </c>
      <c r="P24" s="26">
        <f t="shared" si="5"/>
        <v>13</v>
      </c>
      <c r="Q24" s="26">
        <f t="shared" si="5"/>
        <v>14</v>
      </c>
      <c r="R24" s="26">
        <f t="shared" si="5"/>
        <v>15</v>
      </c>
      <c r="S24" s="210">
        <f t="shared" si="5"/>
        <v>16</v>
      </c>
    </row>
    <row r="25" spans="2:20" x14ac:dyDescent="0.3">
      <c r="B25" s="209" t="s">
        <v>679</v>
      </c>
      <c r="S25" s="211">
        <f>S10</f>
        <v>3.5000000000000003E-2</v>
      </c>
    </row>
    <row r="26" spans="2:20" x14ac:dyDescent="0.3">
      <c r="B26" s="209" t="s">
        <v>651</v>
      </c>
      <c r="S26" s="211">
        <f>'4. Market Data &amp; WACC'!B14</f>
        <v>9.3399999999999997E-2</v>
      </c>
      <c r="T26" s="246"/>
    </row>
    <row r="27" spans="2:20" x14ac:dyDescent="0.3">
      <c r="B27" s="209" t="s">
        <v>673</v>
      </c>
      <c r="C27" s="170">
        <f>'6. ROIC &amp; FCF'!L15</f>
        <v>2767.1999999999971</v>
      </c>
      <c r="D27" s="170">
        <f>'6. ROIC &amp; FCF'!M15</f>
        <v>2112.8978353124094</v>
      </c>
      <c r="E27" s="170">
        <f>'6. ROIC &amp; FCF'!N15</f>
        <v>4217.8799991052711</v>
      </c>
      <c r="F27" s="170">
        <f>'6. ROIC &amp; FCF'!O15</f>
        <v>4598.3260192387515</v>
      </c>
      <c r="G27" s="170">
        <f>'6. ROIC &amp; FCF'!P15</f>
        <v>4851.0869856008849</v>
      </c>
      <c r="H27" s="170">
        <f>'6. ROIC &amp; FCF'!Q15</f>
        <v>5401.5141499040592</v>
      </c>
      <c r="I27" s="170">
        <f>'6. ROIC &amp; FCF'!R15</f>
        <v>5828.3079334216482</v>
      </c>
      <c r="J27" s="170">
        <f>'6. ROIC &amp; FCF'!S15</f>
        <v>6130.6671812300001</v>
      </c>
      <c r="K27" s="170">
        <f>'6. ROIC &amp; FCF'!T15</f>
        <v>6682.2360671846991</v>
      </c>
      <c r="L27" s="170">
        <f>'6. ROIC &amp; FCF'!U15</f>
        <v>7336.9169390944089</v>
      </c>
      <c r="M27" s="170">
        <f>'6. ROIC &amp; FCF'!V15</f>
        <v>8024.8326744044653</v>
      </c>
      <c r="N27" s="170">
        <f>'6. ROIC &amp; FCF'!W15</f>
        <v>8801.2063226859591</v>
      </c>
      <c r="O27" s="170">
        <f>'6. ROIC &amp; FCF'!X15</f>
        <v>9641.0210515850922</v>
      </c>
      <c r="P27" s="170">
        <f>'6. ROIC &amp; FCF'!Y15</f>
        <v>10572.4203339502</v>
      </c>
      <c r="Q27" s="170">
        <f>'6. ROIC &amp; FCF'!Z15</f>
        <v>11590.213333677946</v>
      </c>
      <c r="R27" s="170">
        <f>'6. ROIC &amp; FCF'!AA15</f>
        <v>12712.143111577579</v>
      </c>
      <c r="S27" s="171">
        <f>'6. ROIC &amp; FCF'!AB15</f>
        <v>13942.487427938851</v>
      </c>
    </row>
    <row r="28" spans="2:20" x14ac:dyDescent="0.3">
      <c r="B28" s="209" t="s">
        <v>680</v>
      </c>
      <c r="D28" s="36">
        <f>D27/(1+$S$26)^D24</f>
        <v>1932.410677988302</v>
      </c>
      <c r="E28" s="36">
        <f t="shared" ref="E28:R28" si="6">E27/(1+$S$26)^E24</f>
        <v>3528.0609602585096</v>
      </c>
      <c r="F28" s="36">
        <f t="shared" si="6"/>
        <v>3517.7303895851296</v>
      </c>
      <c r="G28" s="36">
        <f t="shared" si="6"/>
        <v>3394.0855429566418</v>
      </c>
      <c r="H28" s="36">
        <f t="shared" si="6"/>
        <v>3456.369549310572</v>
      </c>
      <c r="I28" s="36">
        <f t="shared" si="6"/>
        <v>3410.8928127919044</v>
      </c>
      <c r="J28" s="36">
        <f t="shared" si="6"/>
        <v>3281.3628212118761</v>
      </c>
      <c r="K28" s="36">
        <f t="shared" si="6"/>
        <v>3271.0656291702107</v>
      </c>
      <c r="L28" s="36">
        <f t="shared" si="6"/>
        <v>3284.7473918846144</v>
      </c>
      <c r="M28" s="36">
        <f t="shared" si="6"/>
        <v>3285.8315109056939</v>
      </c>
      <c r="N28" s="36">
        <f t="shared" si="6"/>
        <v>3295.8879375723955</v>
      </c>
      <c r="O28" s="36">
        <f t="shared" si="6"/>
        <v>3301.9781605935705</v>
      </c>
      <c r="P28" s="36">
        <f t="shared" si="6"/>
        <v>3311.6659068464442</v>
      </c>
      <c r="Q28" s="36">
        <f t="shared" si="6"/>
        <v>3320.3545160877338</v>
      </c>
      <c r="R28" s="36">
        <f t="shared" si="6"/>
        <v>3330.6786265297237</v>
      </c>
      <c r="S28" s="212"/>
    </row>
    <row r="29" spans="2:20" x14ac:dyDescent="0.3">
      <c r="B29" s="209" t="s">
        <v>681</v>
      </c>
      <c r="R29" s="29">
        <f>S27/(S26-S25)</f>
        <v>238741.22308114474</v>
      </c>
      <c r="S29" s="208"/>
    </row>
    <row r="30" spans="2:20" x14ac:dyDescent="0.3">
      <c r="B30" s="209" t="s">
        <v>682</v>
      </c>
      <c r="R30" s="36">
        <f>R29/(1+$S$26)^R24</f>
        <v>62552.024627832616</v>
      </c>
      <c r="S30" s="208"/>
    </row>
    <row r="31" spans="2:20" x14ac:dyDescent="0.3">
      <c r="B31" s="209" t="s">
        <v>176</v>
      </c>
      <c r="D31" s="29">
        <f>SUM(D28:R28)+R30</f>
        <v>111475.14706152593</v>
      </c>
      <c r="S31" s="208"/>
    </row>
    <row r="32" spans="2:20" x14ac:dyDescent="0.3">
      <c r="B32" s="209" t="s">
        <v>685</v>
      </c>
      <c r="D32" s="37">
        <f>D19</f>
        <v>1133.5</v>
      </c>
      <c r="S32" s="208"/>
    </row>
    <row r="33" spans="2:19" x14ac:dyDescent="0.3">
      <c r="B33" s="209" t="s">
        <v>686</v>
      </c>
      <c r="D33" s="29">
        <f>D31/D32</f>
        <v>98.345961236458692</v>
      </c>
      <c r="E33" s="247"/>
      <c r="S33" s="208"/>
    </row>
    <row r="34" spans="2:19" x14ac:dyDescent="0.3">
      <c r="B34" s="209" t="str">
        <f>B21</f>
        <v>Current Price per share (02/10/2025)</v>
      </c>
      <c r="D34" s="29">
        <f>D21</f>
        <v>86.72</v>
      </c>
      <c r="S34" s="208"/>
    </row>
    <row r="35" spans="2:19" ht="15" thickBot="1" x14ac:dyDescent="0.35">
      <c r="B35" s="213"/>
      <c r="C35" s="214"/>
      <c r="D35" s="214"/>
      <c r="E35" s="214"/>
      <c r="F35" s="214"/>
      <c r="G35" s="214"/>
      <c r="H35" s="214"/>
      <c r="I35" s="214"/>
      <c r="J35" s="214"/>
      <c r="K35" s="214"/>
      <c r="L35" s="214"/>
      <c r="M35" s="214"/>
      <c r="N35" s="214"/>
      <c r="O35" s="214"/>
      <c r="P35" s="214"/>
      <c r="Q35" s="214"/>
      <c r="R35" s="214"/>
      <c r="S35" s="215"/>
    </row>
  </sheetData>
  <mergeCells count="3">
    <mergeCell ref="B2:S4"/>
    <mergeCell ref="D5:H5"/>
    <mergeCell ref="I5:R5"/>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8D4CE-27F1-4089-A8E2-096B3B1C51B2}">
  <dimension ref="A1:BM35"/>
  <sheetViews>
    <sheetView showGridLines="0" topLeftCell="C1" zoomScale="70" zoomScaleNormal="70" workbookViewId="0">
      <selection activeCell="S10" sqref="S10"/>
    </sheetView>
  </sheetViews>
  <sheetFormatPr defaultRowHeight="14.4" x14ac:dyDescent="0.3"/>
  <cols>
    <col min="1" max="1" width="1.88671875" bestFit="1" customWidth="1"/>
    <col min="2" max="2" width="32.44140625" bestFit="1" customWidth="1"/>
    <col min="3" max="3" width="12.88671875" customWidth="1"/>
    <col min="4" max="4" width="12.5546875" customWidth="1"/>
    <col min="5" max="5" width="17.33203125" customWidth="1"/>
    <col min="6" max="17" width="12.88671875" customWidth="1"/>
    <col min="18" max="18" width="12.5546875" customWidth="1"/>
    <col min="19" max="19" width="12.88671875" customWidth="1"/>
  </cols>
  <sheetData>
    <row r="1" spans="1:65" ht="15" thickBot="1" x14ac:dyDescent="0.35"/>
    <row r="2" spans="1:65" ht="14.4" customHeight="1" x14ac:dyDescent="0.3">
      <c r="A2" s="27"/>
      <c r="B2" s="299" t="s">
        <v>676</v>
      </c>
      <c r="C2" s="300"/>
      <c r="D2" s="300"/>
      <c r="E2" s="300"/>
      <c r="F2" s="300"/>
      <c r="G2" s="300"/>
      <c r="H2" s="300"/>
      <c r="I2" s="300"/>
      <c r="J2" s="300"/>
      <c r="K2" s="300"/>
      <c r="L2" s="300"/>
      <c r="M2" s="300"/>
      <c r="N2" s="300"/>
      <c r="O2" s="300"/>
      <c r="P2" s="300"/>
      <c r="Q2" s="300"/>
      <c r="R2" s="300"/>
      <c r="S2" s="301"/>
    </row>
    <row r="3" spans="1:65" ht="14.4" customHeight="1" x14ac:dyDescent="0.3">
      <c r="A3" s="27"/>
      <c r="B3" s="302"/>
      <c r="C3" s="303"/>
      <c r="D3" s="303"/>
      <c r="E3" s="303"/>
      <c r="F3" s="303"/>
      <c r="G3" s="303"/>
      <c r="H3" s="303"/>
      <c r="I3" s="303"/>
      <c r="J3" s="303"/>
      <c r="K3" s="303"/>
      <c r="L3" s="303"/>
      <c r="M3" s="303"/>
      <c r="N3" s="303"/>
      <c r="O3" s="303"/>
      <c r="P3" s="303"/>
      <c r="Q3" s="303"/>
      <c r="R3" s="303"/>
      <c r="S3" s="304"/>
    </row>
    <row r="4" spans="1:65" ht="14.4" customHeight="1" x14ac:dyDescent="0.3">
      <c r="A4" s="27"/>
      <c r="B4" s="302"/>
      <c r="C4" s="303"/>
      <c r="D4" s="303"/>
      <c r="E4" s="303"/>
      <c r="F4" s="303"/>
      <c r="G4" s="303"/>
      <c r="H4" s="303"/>
      <c r="I4" s="303"/>
      <c r="J4" s="303"/>
      <c r="K4" s="303"/>
      <c r="L4" s="303"/>
      <c r="M4" s="303"/>
      <c r="N4" s="303"/>
      <c r="O4" s="303"/>
      <c r="P4" s="303"/>
      <c r="Q4" s="303"/>
      <c r="R4" s="303"/>
      <c r="S4" s="304"/>
    </row>
    <row r="5" spans="1:65" x14ac:dyDescent="0.3">
      <c r="A5" s="27"/>
      <c r="B5" s="202" t="s">
        <v>570</v>
      </c>
      <c r="C5" s="200"/>
      <c r="D5" s="326" t="s">
        <v>572</v>
      </c>
      <c r="E5" s="326"/>
      <c r="F5" s="326"/>
      <c r="G5" s="326"/>
      <c r="H5" s="326"/>
      <c r="I5" s="326" t="s">
        <v>573</v>
      </c>
      <c r="J5" s="326"/>
      <c r="K5" s="326"/>
      <c r="L5" s="326"/>
      <c r="M5" s="326"/>
      <c r="N5" s="326"/>
      <c r="O5" s="326"/>
      <c r="P5" s="326"/>
      <c r="Q5" s="326"/>
      <c r="R5" s="326"/>
      <c r="S5" s="203" t="s">
        <v>574</v>
      </c>
    </row>
    <row r="6" spans="1:65" hidden="1" x14ac:dyDescent="0.3">
      <c r="A6" s="27"/>
      <c r="B6" s="98"/>
      <c r="C6" s="31">
        <v>2024</v>
      </c>
      <c r="D6" s="31">
        <f t="shared" ref="D6:AI6" si="0">C6+1</f>
        <v>2025</v>
      </c>
      <c r="E6" s="31">
        <f t="shared" si="0"/>
        <v>2026</v>
      </c>
      <c r="F6" s="31">
        <f t="shared" si="0"/>
        <v>2027</v>
      </c>
      <c r="G6" s="31">
        <f t="shared" si="0"/>
        <v>2028</v>
      </c>
      <c r="H6" s="31">
        <f t="shared" si="0"/>
        <v>2029</v>
      </c>
      <c r="I6" s="31">
        <f t="shared" si="0"/>
        <v>2030</v>
      </c>
      <c r="J6" s="31">
        <f t="shared" si="0"/>
        <v>2031</v>
      </c>
      <c r="K6" s="31">
        <f t="shared" si="0"/>
        <v>2032</v>
      </c>
      <c r="L6" s="31">
        <f t="shared" si="0"/>
        <v>2033</v>
      </c>
      <c r="M6" s="31">
        <f t="shared" si="0"/>
        <v>2034</v>
      </c>
      <c r="N6" s="31">
        <f t="shared" si="0"/>
        <v>2035</v>
      </c>
      <c r="O6" s="31">
        <f t="shared" si="0"/>
        <v>2036</v>
      </c>
      <c r="P6" s="31">
        <f t="shared" si="0"/>
        <v>2037</v>
      </c>
      <c r="Q6" s="31">
        <f t="shared" si="0"/>
        <v>2038</v>
      </c>
      <c r="R6" s="31">
        <f t="shared" si="0"/>
        <v>2039</v>
      </c>
      <c r="S6" s="204">
        <f t="shared" si="0"/>
        <v>2040</v>
      </c>
      <c r="T6" s="27">
        <f t="shared" si="0"/>
        <v>2041</v>
      </c>
      <c r="U6" s="27">
        <f t="shared" si="0"/>
        <v>2042</v>
      </c>
      <c r="V6" s="27">
        <f t="shared" si="0"/>
        <v>2043</v>
      </c>
      <c r="W6" s="27">
        <f t="shared" si="0"/>
        <v>2044</v>
      </c>
      <c r="X6" s="27">
        <f t="shared" si="0"/>
        <v>2045</v>
      </c>
      <c r="Y6" s="27">
        <f t="shared" si="0"/>
        <v>2046</v>
      </c>
      <c r="Z6" s="27">
        <f t="shared" si="0"/>
        <v>2047</v>
      </c>
      <c r="AA6" s="27">
        <f t="shared" si="0"/>
        <v>2048</v>
      </c>
      <c r="AB6" s="27">
        <f t="shared" si="0"/>
        <v>2049</v>
      </c>
      <c r="AC6" s="27">
        <f t="shared" si="0"/>
        <v>2050</v>
      </c>
      <c r="AD6" s="27">
        <f t="shared" si="0"/>
        <v>2051</v>
      </c>
      <c r="AE6" s="27">
        <f t="shared" si="0"/>
        <v>2052</v>
      </c>
      <c r="AF6" s="27">
        <f t="shared" si="0"/>
        <v>2053</v>
      </c>
      <c r="AG6" s="27">
        <f t="shared" si="0"/>
        <v>2054</v>
      </c>
      <c r="AH6" s="27">
        <f t="shared" si="0"/>
        <v>2055</v>
      </c>
      <c r="AI6" s="27">
        <f t="shared" si="0"/>
        <v>2056</v>
      </c>
      <c r="AJ6" s="27">
        <f t="shared" ref="AJ6:BM6" si="1">AI6+1</f>
        <v>2057</v>
      </c>
      <c r="AK6" s="27">
        <f t="shared" si="1"/>
        <v>2058</v>
      </c>
      <c r="AL6" s="27">
        <f t="shared" si="1"/>
        <v>2059</v>
      </c>
      <c r="AM6" s="27">
        <f t="shared" si="1"/>
        <v>2060</v>
      </c>
      <c r="AN6" s="27">
        <f t="shared" si="1"/>
        <v>2061</v>
      </c>
      <c r="AO6" s="27">
        <f t="shared" si="1"/>
        <v>2062</v>
      </c>
      <c r="AP6" s="27">
        <f t="shared" si="1"/>
        <v>2063</v>
      </c>
      <c r="AQ6" s="27">
        <f t="shared" si="1"/>
        <v>2064</v>
      </c>
      <c r="AR6" s="27">
        <f t="shared" si="1"/>
        <v>2065</v>
      </c>
      <c r="AS6" s="27">
        <f t="shared" si="1"/>
        <v>2066</v>
      </c>
      <c r="AT6" s="27">
        <f t="shared" si="1"/>
        <v>2067</v>
      </c>
      <c r="AU6" s="27">
        <f t="shared" si="1"/>
        <v>2068</v>
      </c>
      <c r="AV6" s="27">
        <f t="shared" si="1"/>
        <v>2069</v>
      </c>
      <c r="AW6" s="27">
        <f t="shared" si="1"/>
        <v>2070</v>
      </c>
      <c r="AX6" s="27">
        <f t="shared" si="1"/>
        <v>2071</v>
      </c>
      <c r="AY6" s="27">
        <f t="shared" si="1"/>
        <v>2072</v>
      </c>
      <c r="AZ6" s="27">
        <f t="shared" si="1"/>
        <v>2073</v>
      </c>
      <c r="BA6" s="27">
        <f t="shared" si="1"/>
        <v>2074</v>
      </c>
      <c r="BB6" s="27">
        <f t="shared" si="1"/>
        <v>2075</v>
      </c>
      <c r="BC6" s="27">
        <f t="shared" si="1"/>
        <v>2076</v>
      </c>
      <c r="BD6" s="27">
        <f t="shared" si="1"/>
        <v>2077</v>
      </c>
      <c r="BE6" s="27">
        <f t="shared" si="1"/>
        <v>2078</v>
      </c>
      <c r="BF6" s="27">
        <f t="shared" si="1"/>
        <v>2079</v>
      </c>
      <c r="BG6" s="27">
        <f t="shared" si="1"/>
        <v>2080</v>
      </c>
      <c r="BH6" s="27">
        <f t="shared" si="1"/>
        <v>2081</v>
      </c>
      <c r="BI6" s="27">
        <f t="shared" si="1"/>
        <v>2082</v>
      </c>
      <c r="BJ6" s="27">
        <f t="shared" si="1"/>
        <v>2083</v>
      </c>
      <c r="BK6" s="27">
        <f t="shared" si="1"/>
        <v>2084</v>
      </c>
      <c r="BL6" s="27">
        <f t="shared" si="1"/>
        <v>2085</v>
      </c>
      <c r="BM6" s="27">
        <f t="shared" si="1"/>
        <v>2086</v>
      </c>
    </row>
    <row r="7" spans="1:65" x14ac:dyDescent="0.3">
      <c r="A7" s="27"/>
      <c r="B7" s="205"/>
      <c r="C7" s="201" t="str">
        <f t="shared" ref="C7:R7" si="2">"FY "&amp;C6</f>
        <v>FY 2024</v>
      </c>
      <c r="D7" s="201" t="str">
        <f t="shared" si="2"/>
        <v>FY 2025</v>
      </c>
      <c r="E7" s="201" t="str">
        <f t="shared" si="2"/>
        <v>FY 2026</v>
      </c>
      <c r="F7" s="201" t="str">
        <f t="shared" si="2"/>
        <v>FY 2027</v>
      </c>
      <c r="G7" s="201" t="str">
        <f t="shared" si="2"/>
        <v>FY 2028</v>
      </c>
      <c r="H7" s="201" t="str">
        <f t="shared" si="2"/>
        <v>FY 2029</v>
      </c>
      <c r="I7" s="201" t="str">
        <f t="shared" si="2"/>
        <v>FY 2030</v>
      </c>
      <c r="J7" s="201" t="str">
        <f t="shared" si="2"/>
        <v>FY 2031</v>
      </c>
      <c r="K7" s="201" t="str">
        <f t="shared" si="2"/>
        <v>FY 2032</v>
      </c>
      <c r="L7" s="201" t="str">
        <f t="shared" si="2"/>
        <v>FY 2033</v>
      </c>
      <c r="M7" s="201" t="str">
        <f t="shared" si="2"/>
        <v>FY 2034</v>
      </c>
      <c r="N7" s="201" t="str">
        <f t="shared" si="2"/>
        <v>FY 2035</v>
      </c>
      <c r="O7" s="201" t="str">
        <f t="shared" si="2"/>
        <v>FY 2036</v>
      </c>
      <c r="P7" s="201" t="str">
        <f t="shared" si="2"/>
        <v>FY 2037</v>
      </c>
      <c r="Q7" s="201" t="str">
        <f t="shared" si="2"/>
        <v>FY 2038</v>
      </c>
      <c r="R7" s="201" t="str">
        <f t="shared" si="2"/>
        <v>FY 2039</v>
      </c>
      <c r="S7" s="206" t="s">
        <v>575</v>
      </c>
    </row>
    <row r="8" spans="1:65" ht="15.6" x14ac:dyDescent="0.3">
      <c r="B8" s="207" t="s">
        <v>677</v>
      </c>
      <c r="S8" s="208"/>
    </row>
    <row r="9" spans="1:65" x14ac:dyDescent="0.3">
      <c r="B9" s="209" t="s">
        <v>678</v>
      </c>
      <c r="C9" s="26">
        <v>0</v>
      </c>
      <c r="D9" s="26">
        <f t="shared" ref="D9:S9" si="3">C9+1</f>
        <v>1</v>
      </c>
      <c r="E9" s="26">
        <f t="shared" si="3"/>
        <v>2</v>
      </c>
      <c r="F9" s="26">
        <f t="shared" si="3"/>
        <v>3</v>
      </c>
      <c r="G9" s="26">
        <f t="shared" si="3"/>
        <v>4</v>
      </c>
      <c r="H9" s="26">
        <f t="shared" si="3"/>
        <v>5</v>
      </c>
      <c r="I9" s="26">
        <f t="shared" si="3"/>
        <v>6</v>
      </c>
      <c r="J9" s="26">
        <f t="shared" si="3"/>
        <v>7</v>
      </c>
      <c r="K9" s="26">
        <f t="shared" si="3"/>
        <v>8</v>
      </c>
      <c r="L9" s="26">
        <f t="shared" si="3"/>
        <v>9</v>
      </c>
      <c r="M9" s="26">
        <f t="shared" si="3"/>
        <v>10</v>
      </c>
      <c r="N9" s="26">
        <f t="shared" si="3"/>
        <v>11</v>
      </c>
      <c r="O9" s="26">
        <f t="shared" si="3"/>
        <v>12</v>
      </c>
      <c r="P9" s="26">
        <f t="shared" si="3"/>
        <v>13</v>
      </c>
      <c r="Q9" s="26">
        <f t="shared" si="3"/>
        <v>14</v>
      </c>
      <c r="R9" s="26">
        <f t="shared" si="3"/>
        <v>15</v>
      </c>
      <c r="S9" s="210">
        <f t="shared" si="3"/>
        <v>16</v>
      </c>
    </row>
    <row r="10" spans="1:65" x14ac:dyDescent="0.3">
      <c r="B10" s="209" t="s">
        <v>679</v>
      </c>
      <c r="S10" s="211">
        <v>2.5000000000000001E-2</v>
      </c>
    </row>
    <row r="11" spans="1:65" x14ac:dyDescent="0.3">
      <c r="B11" s="209" t="s">
        <v>649</v>
      </c>
      <c r="S11" s="211">
        <v>9.5000000000000001E-2</v>
      </c>
    </row>
    <row r="12" spans="1:65" x14ac:dyDescent="0.3">
      <c r="B12" s="209" t="s">
        <v>670</v>
      </c>
      <c r="C12" s="170">
        <f>'6. ROIC &amp; FCF'!L11</f>
        <v>1573.9693737926591</v>
      </c>
      <c r="D12" s="170">
        <f>'6. ROIC &amp; FCF'!M11</f>
        <v>1442.608432786998</v>
      </c>
      <c r="E12" s="170">
        <f>'6. ROIC &amp; FCF'!N11</f>
        <v>3510.6448365798578</v>
      </c>
      <c r="F12" s="170">
        <f>'6. ROIC &amp; FCF'!O11</f>
        <v>4102.4206039133396</v>
      </c>
      <c r="G12" s="170">
        <f>'6. ROIC &amp; FCF'!P11</f>
        <v>4332.7037698914728</v>
      </c>
      <c r="H12" s="170">
        <f>'6. ROIC &amp; FCF'!Q11</f>
        <v>4859.9787997991261</v>
      </c>
      <c r="I12" s="170">
        <f>'6. ROIC &amp; FCF'!R11</f>
        <v>5262.9258848893314</v>
      </c>
      <c r="J12" s="170">
        <f>'6. ROIC &amp; FCF'!S11</f>
        <v>5821.8226151131803</v>
      </c>
      <c r="K12" s="170">
        <f>'6. ROIC &amp; FCF'!T11</f>
        <v>6362.1475177960529</v>
      </c>
      <c r="L12" s="170">
        <f>'6. ROIC &amp; FCF'!U11</f>
        <v>7005.3595267684977</v>
      </c>
      <c r="M12" s="170">
        <f>'6. ROIC &amp; FCF'!V11</f>
        <v>7681.5770218825419</v>
      </c>
      <c r="N12" s="170">
        <f>'6. ROIC &amp; FCF'!W11</f>
        <v>8446.0184651641066</v>
      </c>
      <c r="O12" s="170">
        <f>'6. ROIC &amp; FCF'!X11</f>
        <v>9273.6623449633098</v>
      </c>
      <c r="P12" s="170">
        <f>'6. ROIC &amp; FCF'!Y11</f>
        <v>10192.647361246491</v>
      </c>
      <c r="Q12" s="170">
        <f>'6. ROIC &amp; FCF'!Z11</f>
        <v>11197.777809570667</v>
      </c>
      <c r="R12" s="170">
        <f>'6. ROIC &amp; FCF'!AA11</f>
        <v>12306.791785038669</v>
      </c>
      <c r="S12" s="171">
        <f>'6. ROIC &amp; FCF'!AB11</f>
        <v>13523.961982919667</v>
      </c>
    </row>
    <row r="13" spans="1:65" x14ac:dyDescent="0.3">
      <c r="B13" s="209" t="s">
        <v>680</v>
      </c>
      <c r="D13" s="36">
        <f t="shared" ref="D13:R13" si="4">D12/(1+$S$11)^D9</f>
        <v>1317.4506235497699</v>
      </c>
      <c r="E13" s="36">
        <f t="shared" si="4"/>
        <v>2927.9162958068914</v>
      </c>
      <c r="F13" s="36">
        <f t="shared" si="4"/>
        <v>3124.624452888017</v>
      </c>
      <c r="G13" s="36">
        <f t="shared" si="4"/>
        <v>3013.7173636161569</v>
      </c>
      <c r="H13" s="36">
        <f t="shared" si="4"/>
        <v>3087.1929863157416</v>
      </c>
      <c r="I13" s="36">
        <f t="shared" si="4"/>
        <v>3053.1106140728075</v>
      </c>
      <c r="J13" s="36">
        <f t="shared" si="4"/>
        <v>3084.325003635025</v>
      </c>
      <c r="K13" s="36">
        <f t="shared" si="4"/>
        <v>3078.1571015097984</v>
      </c>
      <c r="L13" s="36">
        <f t="shared" si="4"/>
        <v>3095.3043377262443</v>
      </c>
      <c r="M13" s="36">
        <f t="shared" si="4"/>
        <v>3099.6253048613376</v>
      </c>
      <c r="N13" s="36">
        <f t="shared" si="4"/>
        <v>3112.40938096532</v>
      </c>
      <c r="O13" s="36">
        <f t="shared" si="4"/>
        <v>3120.9143422564825</v>
      </c>
      <c r="P13" s="36">
        <f t="shared" si="4"/>
        <v>3132.5892247080296</v>
      </c>
      <c r="Q13" s="36">
        <f t="shared" si="4"/>
        <v>3142.9261566529831</v>
      </c>
      <c r="R13" s="36">
        <f t="shared" si="4"/>
        <v>3154.5184026941502</v>
      </c>
      <c r="S13" s="212"/>
    </row>
    <row r="14" spans="1:65" x14ac:dyDescent="0.3">
      <c r="B14" s="209" t="s">
        <v>681</v>
      </c>
      <c r="R14" s="29">
        <f>S12/(S11-S10)</f>
        <v>193199.45689885237</v>
      </c>
      <c r="S14" s="208"/>
    </row>
    <row r="15" spans="1:65" x14ac:dyDescent="0.3">
      <c r="B15" s="209" t="s">
        <v>682</v>
      </c>
      <c r="R15" s="36">
        <f>R14/(1+$S$11)^R9</f>
        <v>49521.536792298153</v>
      </c>
      <c r="S15" s="208"/>
    </row>
    <row r="16" spans="1:65" x14ac:dyDescent="0.3">
      <c r="B16" s="209" t="s">
        <v>683</v>
      </c>
      <c r="D16" s="29">
        <f>SUM(D13:R13)+R15</f>
        <v>94066.318383556907</v>
      </c>
      <c r="S16" s="208"/>
    </row>
    <row r="17" spans="2:19" x14ac:dyDescent="0.3">
      <c r="B17" s="209" t="s">
        <v>684</v>
      </c>
      <c r="D17" s="29">
        <f>'2. Integrated Finance'!L84+'2. Integrated Finance'!L85</f>
        <v>29710.899999999998</v>
      </c>
      <c r="S17" s="208"/>
    </row>
    <row r="18" spans="2:19" x14ac:dyDescent="0.3">
      <c r="B18" s="209" t="s">
        <v>176</v>
      </c>
      <c r="D18" s="29">
        <f>D16-D17</f>
        <v>64355.418383556913</v>
      </c>
      <c r="S18" s="208"/>
    </row>
    <row r="19" spans="2:19" x14ac:dyDescent="0.3">
      <c r="B19" s="209" t="s">
        <v>685</v>
      </c>
      <c r="D19" s="37">
        <f>'1. Raw Data - Bloomberg'!M168</f>
        <v>1133.5</v>
      </c>
      <c r="S19" s="208"/>
    </row>
    <row r="20" spans="2:19" x14ac:dyDescent="0.3">
      <c r="B20" s="209" t="s">
        <v>686</v>
      </c>
      <c r="D20" s="29">
        <f>D18/D19</f>
        <v>56.775843302652767</v>
      </c>
      <c r="E20" s="248" t="s">
        <v>689</v>
      </c>
      <c r="S20" s="208"/>
    </row>
    <row r="21" spans="2:19" x14ac:dyDescent="0.3">
      <c r="B21" s="209" t="s">
        <v>687</v>
      </c>
      <c r="D21" s="29">
        <v>86.72</v>
      </c>
      <c r="S21" s="208"/>
    </row>
    <row r="22" spans="2:19" x14ac:dyDescent="0.3">
      <c r="B22" s="216"/>
      <c r="C22" s="217"/>
      <c r="D22" s="217"/>
      <c r="E22" s="217"/>
      <c r="F22" s="217"/>
      <c r="G22" s="217"/>
      <c r="H22" s="217"/>
      <c r="I22" s="217"/>
      <c r="J22" s="217"/>
      <c r="K22" s="217"/>
      <c r="L22" s="217"/>
      <c r="M22" s="217"/>
      <c r="N22" s="217"/>
      <c r="O22" s="217"/>
      <c r="P22" s="217"/>
      <c r="Q22" s="217"/>
      <c r="R22" s="217"/>
      <c r="S22" s="218"/>
    </row>
    <row r="23" spans="2:19" ht="15.6" x14ac:dyDescent="0.3">
      <c r="B23" s="207" t="s">
        <v>688</v>
      </c>
      <c r="S23" s="208"/>
    </row>
    <row r="24" spans="2:19" x14ac:dyDescent="0.3">
      <c r="B24" s="209" t="s">
        <v>678</v>
      </c>
      <c r="C24" s="26">
        <v>0</v>
      </c>
      <c r="D24" s="26">
        <f t="shared" ref="D24:S24" si="5">C24+1</f>
        <v>1</v>
      </c>
      <c r="E24" s="26">
        <f t="shared" si="5"/>
        <v>2</v>
      </c>
      <c r="F24" s="26">
        <f t="shared" si="5"/>
        <v>3</v>
      </c>
      <c r="G24" s="26">
        <f t="shared" si="5"/>
        <v>4</v>
      </c>
      <c r="H24" s="26">
        <f t="shared" si="5"/>
        <v>5</v>
      </c>
      <c r="I24" s="26">
        <f t="shared" si="5"/>
        <v>6</v>
      </c>
      <c r="J24" s="26">
        <f t="shared" si="5"/>
        <v>7</v>
      </c>
      <c r="K24" s="26">
        <f t="shared" si="5"/>
        <v>8</v>
      </c>
      <c r="L24" s="26">
        <f t="shared" si="5"/>
        <v>9</v>
      </c>
      <c r="M24" s="26">
        <f t="shared" si="5"/>
        <v>10</v>
      </c>
      <c r="N24" s="26">
        <f t="shared" si="5"/>
        <v>11</v>
      </c>
      <c r="O24" s="26">
        <f t="shared" si="5"/>
        <v>12</v>
      </c>
      <c r="P24" s="26">
        <f t="shared" si="5"/>
        <v>13</v>
      </c>
      <c r="Q24" s="26">
        <f t="shared" si="5"/>
        <v>14</v>
      </c>
      <c r="R24" s="26">
        <f t="shared" si="5"/>
        <v>15</v>
      </c>
      <c r="S24" s="210">
        <f t="shared" si="5"/>
        <v>16</v>
      </c>
    </row>
    <row r="25" spans="2:19" x14ac:dyDescent="0.3">
      <c r="B25" s="209" t="s">
        <v>679</v>
      </c>
      <c r="S25" s="211">
        <f>S10</f>
        <v>2.5000000000000001E-2</v>
      </c>
    </row>
    <row r="26" spans="2:19" x14ac:dyDescent="0.3">
      <c r="B26" s="209" t="s">
        <v>651</v>
      </c>
      <c r="S26" s="211">
        <f>'4. Market Data &amp; WACC'!B14</f>
        <v>9.3399999999999997E-2</v>
      </c>
    </row>
    <row r="27" spans="2:19" x14ac:dyDescent="0.3">
      <c r="B27" s="209" t="s">
        <v>673</v>
      </c>
      <c r="C27" s="170">
        <f>'6. ROIC &amp; FCF'!L15</f>
        <v>2767.1999999999971</v>
      </c>
      <c r="D27" s="170">
        <f>'6. ROIC &amp; FCF'!M15</f>
        <v>2112.8978353124094</v>
      </c>
      <c r="E27" s="170">
        <f>'6. ROIC &amp; FCF'!N15</f>
        <v>4217.8799991052711</v>
      </c>
      <c r="F27" s="170">
        <f>'6. ROIC &amp; FCF'!O15</f>
        <v>4598.3260192387515</v>
      </c>
      <c r="G27" s="170">
        <f>'6. ROIC &amp; FCF'!P15</f>
        <v>4851.0869856008849</v>
      </c>
      <c r="H27" s="170">
        <f>'6. ROIC &amp; FCF'!Q15</f>
        <v>5401.5141499040592</v>
      </c>
      <c r="I27" s="170">
        <f>'6. ROIC &amp; FCF'!R15</f>
        <v>5828.3079334216482</v>
      </c>
      <c r="J27" s="170">
        <f>'6. ROIC &amp; FCF'!S15</f>
        <v>6130.6671812300001</v>
      </c>
      <c r="K27" s="170">
        <f>'6. ROIC &amp; FCF'!T15</f>
        <v>6682.2360671846991</v>
      </c>
      <c r="L27" s="170">
        <f>'6. ROIC &amp; FCF'!U15</f>
        <v>7336.9169390944089</v>
      </c>
      <c r="M27" s="170">
        <f>'6. ROIC &amp; FCF'!V15</f>
        <v>8024.8326744044653</v>
      </c>
      <c r="N27" s="170">
        <f>'6. ROIC &amp; FCF'!W15</f>
        <v>8801.2063226859591</v>
      </c>
      <c r="O27" s="170">
        <f>'6. ROIC &amp; FCF'!X15</f>
        <v>9641.0210515850922</v>
      </c>
      <c r="P27" s="170">
        <f>'6. ROIC &amp; FCF'!Y15</f>
        <v>10572.4203339502</v>
      </c>
      <c r="Q27" s="170">
        <f>'6. ROIC &amp; FCF'!Z15</f>
        <v>11590.213333677946</v>
      </c>
      <c r="R27" s="170">
        <f>'6. ROIC &amp; FCF'!AA15</f>
        <v>12712.143111577579</v>
      </c>
      <c r="S27" s="171">
        <f>'6. ROIC &amp; FCF'!AB15</f>
        <v>13942.487427938851</v>
      </c>
    </row>
    <row r="28" spans="2:19" x14ac:dyDescent="0.3">
      <c r="B28" s="209" t="s">
        <v>680</v>
      </c>
      <c r="D28" s="36">
        <f t="shared" ref="D28:R28" si="6">D27/(1+$S$26)^D24</f>
        <v>1932.410677988302</v>
      </c>
      <c r="E28" s="36">
        <f t="shared" si="6"/>
        <v>3528.0609602585096</v>
      </c>
      <c r="F28" s="36">
        <f t="shared" si="6"/>
        <v>3517.7303895851296</v>
      </c>
      <c r="G28" s="36">
        <f t="shared" si="6"/>
        <v>3394.0855429566418</v>
      </c>
      <c r="H28" s="36">
        <f t="shared" si="6"/>
        <v>3456.369549310572</v>
      </c>
      <c r="I28" s="36">
        <f t="shared" si="6"/>
        <v>3410.8928127919044</v>
      </c>
      <c r="J28" s="36">
        <f t="shared" si="6"/>
        <v>3281.3628212118761</v>
      </c>
      <c r="K28" s="36">
        <f t="shared" si="6"/>
        <v>3271.0656291702107</v>
      </c>
      <c r="L28" s="36">
        <f t="shared" si="6"/>
        <v>3284.7473918846144</v>
      </c>
      <c r="M28" s="36">
        <f t="shared" si="6"/>
        <v>3285.8315109056939</v>
      </c>
      <c r="N28" s="36">
        <f t="shared" si="6"/>
        <v>3295.8879375723955</v>
      </c>
      <c r="O28" s="36">
        <f t="shared" si="6"/>
        <v>3301.9781605935705</v>
      </c>
      <c r="P28" s="36">
        <f t="shared" si="6"/>
        <v>3311.6659068464442</v>
      </c>
      <c r="Q28" s="36">
        <f t="shared" si="6"/>
        <v>3320.3545160877338</v>
      </c>
      <c r="R28" s="36">
        <f t="shared" si="6"/>
        <v>3330.6786265297237</v>
      </c>
      <c r="S28" s="212"/>
    </row>
    <row r="29" spans="2:19" x14ac:dyDescent="0.3">
      <c r="B29" s="209" t="s">
        <v>681</v>
      </c>
      <c r="R29" s="29">
        <f>S27/(S26-S25)</f>
        <v>203837.53549618207</v>
      </c>
      <c r="S29" s="208"/>
    </row>
    <row r="30" spans="2:19" x14ac:dyDescent="0.3">
      <c r="B30" s="209" t="s">
        <v>682</v>
      </c>
      <c r="R30" s="36">
        <f>R29/(1+$S$26)^R24</f>
        <v>53406.991787506216</v>
      </c>
      <c r="S30" s="208"/>
    </row>
    <row r="31" spans="2:19" x14ac:dyDescent="0.3">
      <c r="B31" s="209" t="s">
        <v>176</v>
      </c>
      <c r="D31" s="29">
        <f>SUM(D28:R28)+R30</f>
        <v>102330.11422119953</v>
      </c>
      <c r="S31" s="208"/>
    </row>
    <row r="32" spans="2:19" x14ac:dyDescent="0.3">
      <c r="B32" s="209" t="s">
        <v>685</v>
      </c>
      <c r="D32" s="37">
        <f>D19</f>
        <v>1133.5</v>
      </c>
      <c r="S32" s="208"/>
    </row>
    <row r="33" spans="2:19" x14ac:dyDescent="0.3">
      <c r="B33" s="209" t="s">
        <v>686</v>
      </c>
      <c r="D33" s="29">
        <f>D31/D32</f>
        <v>90.278001077370561</v>
      </c>
      <c r="E33" s="248" t="s">
        <v>689</v>
      </c>
      <c r="S33" s="208"/>
    </row>
    <row r="34" spans="2:19" x14ac:dyDescent="0.3">
      <c r="B34" s="209" t="str">
        <f>B21</f>
        <v>Current Price per share (02/10/2025)</v>
      </c>
      <c r="D34" s="29">
        <f>D21</f>
        <v>86.72</v>
      </c>
      <c r="S34" s="208"/>
    </row>
    <row r="35" spans="2:19" ht="15" thickBot="1" x14ac:dyDescent="0.35">
      <c r="B35" s="213"/>
      <c r="C35" s="214"/>
      <c r="D35" s="214"/>
      <c r="E35" s="214"/>
      <c r="F35" s="214"/>
      <c r="G35" s="214"/>
      <c r="H35" s="214"/>
      <c r="I35" s="214"/>
      <c r="J35" s="214"/>
      <c r="K35" s="214"/>
      <c r="L35" s="214"/>
      <c r="M35" s="214"/>
      <c r="N35" s="214"/>
      <c r="O35" s="214"/>
      <c r="P35" s="214"/>
      <c r="Q35" s="214"/>
      <c r="R35" s="214"/>
      <c r="S35" s="215"/>
    </row>
  </sheetData>
  <mergeCells count="3">
    <mergeCell ref="B2:S4"/>
    <mergeCell ref="D5:H5"/>
    <mergeCell ref="I5:R5"/>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4BD0B-5437-4883-B305-D711C404693F}">
  <dimension ref="B1:G12"/>
  <sheetViews>
    <sheetView workbookViewId="0">
      <selection activeCell="G21" sqref="G21"/>
    </sheetView>
  </sheetViews>
  <sheetFormatPr defaultRowHeight="14.4" x14ac:dyDescent="0.3"/>
  <cols>
    <col min="1" max="1" width="2" customWidth="1"/>
    <col min="2" max="2" width="17.6640625" bestFit="1" customWidth="1"/>
    <col min="4" max="5" width="13.88671875" customWidth="1"/>
    <col min="6" max="7" width="67" bestFit="1" customWidth="1"/>
  </cols>
  <sheetData>
    <row r="1" spans="2:7" ht="21" customHeight="1" x14ac:dyDescent="0.3">
      <c r="B1" s="327" t="s">
        <v>690</v>
      </c>
      <c r="C1" s="327"/>
      <c r="D1" s="327"/>
      <c r="E1" s="327"/>
      <c r="F1" s="327"/>
      <c r="G1" s="327"/>
    </row>
    <row r="2" spans="2:7" ht="21" customHeight="1" x14ac:dyDescent="0.3">
      <c r="B2" s="327"/>
      <c r="C2" s="327"/>
      <c r="D2" s="327"/>
      <c r="E2" s="327"/>
      <c r="F2" s="327"/>
      <c r="G2" s="327"/>
    </row>
    <row r="3" spans="2:7" ht="21" x14ac:dyDescent="0.4">
      <c r="B3" s="261"/>
      <c r="C3" s="261"/>
      <c r="D3" s="261"/>
      <c r="E3" s="261"/>
      <c r="F3" s="261"/>
      <c r="G3" s="261"/>
    </row>
    <row r="4" spans="2:7" x14ac:dyDescent="0.3">
      <c r="B4" s="234" t="s">
        <v>691</v>
      </c>
      <c r="C4" s="235" t="s">
        <v>649</v>
      </c>
      <c r="D4" s="235" t="s">
        <v>692</v>
      </c>
      <c r="E4" s="235" t="s">
        <v>696</v>
      </c>
      <c r="F4" s="236" t="s">
        <v>693</v>
      </c>
    </row>
    <row r="5" spans="2:7" x14ac:dyDescent="0.3">
      <c r="B5" s="66" t="s">
        <v>699</v>
      </c>
      <c r="C5" s="67">
        <f>INDEX(C8:C12, MATCH(B5,B8:B12,0))</f>
        <v>0.08</v>
      </c>
      <c r="D5" s="67">
        <f>INDEX(D8:D12,MATCH(B5,B8:B12,0))</f>
        <v>0.05</v>
      </c>
      <c r="E5" s="262">
        <f>INDEX(F8:F12,MATCH(B5,B8:B12,0))</f>
        <v>143.41999999999999</v>
      </c>
      <c r="F5" s="62" t="str">
        <f>INDEX(G8:G12,MATCH(B5,B8:B12,0))</f>
        <v>Strong global growth, pricing power, improved efficiency</v>
      </c>
    </row>
    <row r="7" spans="2:7" x14ac:dyDescent="0.3">
      <c r="B7" s="237" t="s">
        <v>691</v>
      </c>
      <c r="C7" s="238" t="s">
        <v>649</v>
      </c>
      <c r="D7" s="238" t="s">
        <v>695</v>
      </c>
      <c r="E7" s="238"/>
      <c r="F7" s="238" t="s">
        <v>696</v>
      </c>
      <c r="G7" s="239" t="s">
        <v>693</v>
      </c>
    </row>
    <row r="8" spans="2:7" x14ac:dyDescent="0.3">
      <c r="B8" s="56" t="s">
        <v>697</v>
      </c>
      <c r="C8" s="25">
        <v>8.4900000000000003E-2</v>
      </c>
      <c r="D8" s="25">
        <v>3.5000000000000003E-2</v>
      </c>
      <c r="E8" s="25"/>
      <c r="F8" s="37">
        <v>86.7</v>
      </c>
      <c r="G8" s="60" t="s">
        <v>698</v>
      </c>
    </row>
    <row r="9" spans="2:7" x14ac:dyDescent="0.3">
      <c r="B9" s="56" t="s">
        <v>699</v>
      </c>
      <c r="C9" s="25">
        <v>0.08</v>
      </c>
      <c r="D9" s="25">
        <v>0.05</v>
      </c>
      <c r="E9" s="25"/>
      <c r="F9">
        <v>143.41999999999999</v>
      </c>
      <c r="G9" s="60" t="s">
        <v>700</v>
      </c>
    </row>
    <row r="10" spans="2:7" x14ac:dyDescent="0.3">
      <c r="B10" s="56" t="s">
        <v>701</v>
      </c>
      <c r="C10" s="25">
        <v>0.09</v>
      </c>
      <c r="D10" s="25">
        <v>0.03</v>
      </c>
      <c r="E10" s="25"/>
      <c r="F10">
        <v>69.209999999999994</v>
      </c>
      <c r="G10" s="60" t="s">
        <v>702</v>
      </c>
    </row>
    <row r="11" spans="2:7" x14ac:dyDescent="0.3">
      <c r="B11" s="56" t="s">
        <v>694</v>
      </c>
      <c r="C11" s="25">
        <v>9.5000000000000001E-2</v>
      </c>
      <c r="D11" s="25">
        <v>2.5000000000000001E-2</v>
      </c>
      <c r="E11" s="25"/>
      <c r="F11">
        <v>56.78</v>
      </c>
      <c r="G11" s="60" t="s">
        <v>703</v>
      </c>
    </row>
    <row r="12" spans="2:7" x14ac:dyDescent="0.3">
      <c r="B12" s="66" t="s">
        <v>704</v>
      </c>
      <c r="C12" s="67">
        <v>8.7499999999999994E-2</v>
      </c>
      <c r="D12" s="67">
        <v>4.4999999999999998E-2</v>
      </c>
      <c r="E12" s="67"/>
      <c r="F12" s="68">
        <v>95.19</v>
      </c>
      <c r="G12" s="62" t="s">
        <v>705</v>
      </c>
    </row>
  </sheetData>
  <mergeCells count="1">
    <mergeCell ref="B1:G2"/>
  </mergeCells>
  <dataValidations count="1">
    <dataValidation type="list" allowBlank="1" showInputMessage="1" showErrorMessage="1" sqref="B5" xr:uid="{8C70915B-2F31-4601-A3DA-13065A9637C3}">
      <formula1>$B$8:$B$12</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52865-3747-4A0F-AF5B-6A60EBF7C13E}">
  <dimension ref="A1:K2712"/>
  <sheetViews>
    <sheetView showGridLines="0" topLeftCell="A72" zoomScale="75" zoomScaleNormal="117" workbookViewId="0">
      <selection activeCell="M43" sqref="M43"/>
    </sheetView>
  </sheetViews>
  <sheetFormatPr defaultRowHeight="14.4" x14ac:dyDescent="0.3"/>
  <cols>
    <col min="1" max="1" width="10.88671875" bestFit="1" customWidth="1"/>
    <col min="2" max="2" width="15.5546875" bestFit="1" customWidth="1"/>
    <col min="7" max="7" width="11.6640625" bestFit="1" customWidth="1"/>
    <col min="8" max="8" width="12.77734375" bestFit="1" customWidth="1"/>
    <col min="10" max="10" width="10.33203125" bestFit="1" customWidth="1"/>
    <col min="11" max="11" width="14.88671875" bestFit="1" customWidth="1"/>
  </cols>
  <sheetData>
    <row r="1" spans="1:3" x14ac:dyDescent="0.3">
      <c r="A1" t="s">
        <v>754</v>
      </c>
      <c r="B1" t="s">
        <v>755</v>
      </c>
    </row>
    <row r="2" spans="1:3" x14ac:dyDescent="0.3">
      <c r="A2" t="s">
        <v>756</v>
      </c>
      <c r="B2" s="283">
        <v>42006</v>
      </c>
    </row>
    <row r="3" spans="1:3" x14ac:dyDescent="0.3">
      <c r="A3" t="s">
        <v>757</v>
      </c>
      <c r="B3" s="283">
        <v>45933</v>
      </c>
    </row>
    <row r="4" spans="1:3" x14ac:dyDescent="0.3">
      <c r="A4" t="s">
        <v>758</v>
      </c>
      <c r="B4" t="s">
        <v>759</v>
      </c>
    </row>
    <row r="5" spans="1:3" x14ac:dyDescent="0.3">
      <c r="A5" t="s">
        <v>760</v>
      </c>
      <c r="B5" t="s">
        <v>761</v>
      </c>
    </row>
    <row r="7" spans="1:3" x14ac:dyDescent="0.3">
      <c r="A7" t="s">
        <v>762</v>
      </c>
      <c r="B7" t="s">
        <v>763</v>
      </c>
      <c r="C7" t="s">
        <v>764</v>
      </c>
    </row>
    <row r="8" spans="1:3" x14ac:dyDescent="0.3">
      <c r="A8" s="284">
        <v>45933</v>
      </c>
      <c r="B8" t="s">
        <v>765</v>
      </c>
      <c r="C8">
        <v>86.71</v>
      </c>
    </row>
    <row r="9" spans="1:3" x14ac:dyDescent="0.3">
      <c r="A9" s="284">
        <v>45932</v>
      </c>
      <c r="B9">
        <v>86.72</v>
      </c>
      <c r="C9">
        <v>86.73</v>
      </c>
    </row>
    <row r="10" spans="1:3" x14ac:dyDescent="0.3">
      <c r="A10" s="284">
        <v>45931</v>
      </c>
      <c r="B10">
        <v>84.4</v>
      </c>
      <c r="C10">
        <v>84.34</v>
      </c>
    </row>
    <row r="11" spans="1:3" x14ac:dyDescent="0.3">
      <c r="A11" s="284">
        <v>45930</v>
      </c>
      <c r="B11">
        <v>84.6</v>
      </c>
      <c r="C11">
        <v>84.58</v>
      </c>
    </row>
    <row r="12" spans="1:3" x14ac:dyDescent="0.3">
      <c r="A12" s="284">
        <v>45929</v>
      </c>
      <c r="B12">
        <v>85.64</v>
      </c>
      <c r="C12">
        <v>85.64</v>
      </c>
    </row>
    <row r="13" spans="1:3" x14ac:dyDescent="0.3">
      <c r="A13" s="284">
        <v>45926</v>
      </c>
      <c r="B13">
        <v>83.39</v>
      </c>
      <c r="C13">
        <v>83.38</v>
      </c>
    </row>
    <row r="14" spans="1:3" x14ac:dyDescent="0.3">
      <c r="A14" s="284">
        <v>45925</v>
      </c>
      <c r="B14">
        <v>83.83</v>
      </c>
      <c r="C14">
        <v>83.83</v>
      </c>
    </row>
    <row r="15" spans="1:3" x14ac:dyDescent="0.3">
      <c r="A15" s="284">
        <v>45924</v>
      </c>
      <c r="B15">
        <v>84.27</v>
      </c>
      <c r="C15">
        <v>84.25</v>
      </c>
    </row>
    <row r="16" spans="1:3" x14ac:dyDescent="0.3">
      <c r="A16" s="284">
        <v>45923</v>
      </c>
      <c r="B16">
        <v>85.69</v>
      </c>
      <c r="C16">
        <v>85.69</v>
      </c>
    </row>
    <row r="17" spans="1:3" x14ac:dyDescent="0.3">
      <c r="A17" s="284">
        <v>45922</v>
      </c>
      <c r="B17">
        <v>85.29</v>
      </c>
      <c r="C17">
        <v>85.26</v>
      </c>
    </row>
    <row r="18" spans="1:3" x14ac:dyDescent="0.3">
      <c r="A18" s="284">
        <v>45919</v>
      </c>
      <c r="B18">
        <v>84.56</v>
      </c>
      <c r="C18">
        <v>84.55</v>
      </c>
    </row>
    <row r="19" spans="1:3" x14ac:dyDescent="0.3">
      <c r="A19" s="284">
        <v>45918</v>
      </c>
      <c r="B19">
        <v>83.42</v>
      </c>
      <c r="C19">
        <v>83.39</v>
      </c>
    </row>
    <row r="20" spans="1:3" x14ac:dyDescent="0.3">
      <c r="A20" s="284">
        <v>45917</v>
      </c>
      <c r="B20">
        <v>83.22</v>
      </c>
      <c r="C20">
        <v>83.19</v>
      </c>
    </row>
    <row r="21" spans="1:3" x14ac:dyDescent="0.3">
      <c r="A21" s="284">
        <v>45916</v>
      </c>
      <c r="B21">
        <v>84.37</v>
      </c>
      <c r="C21">
        <v>84.36</v>
      </c>
    </row>
    <row r="22" spans="1:3" x14ac:dyDescent="0.3">
      <c r="A22" s="284">
        <v>45915</v>
      </c>
      <c r="B22">
        <v>82.68</v>
      </c>
      <c r="C22">
        <v>82.67</v>
      </c>
    </row>
    <row r="23" spans="1:3" x14ac:dyDescent="0.3">
      <c r="A23" s="284">
        <v>45912</v>
      </c>
      <c r="B23">
        <v>81.900000000000006</v>
      </c>
      <c r="C23">
        <v>81.87</v>
      </c>
    </row>
    <row r="24" spans="1:3" x14ac:dyDescent="0.3">
      <c r="A24" s="284">
        <v>45911</v>
      </c>
      <c r="B24">
        <v>82.36</v>
      </c>
      <c r="C24">
        <v>82.36</v>
      </c>
    </row>
    <row r="25" spans="1:3" x14ac:dyDescent="0.3">
      <c r="A25" s="284">
        <v>45910</v>
      </c>
      <c r="B25">
        <v>82.88</v>
      </c>
      <c r="C25">
        <v>82.85</v>
      </c>
    </row>
    <row r="26" spans="1:3" x14ac:dyDescent="0.3">
      <c r="A26" s="284">
        <v>45909</v>
      </c>
      <c r="B26">
        <v>83.81</v>
      </c>
      <c r="C26">
        <v>83.76</v>
      </c>
    </row>
    <row r="27" spans="1:3" x14ac:dyDescent="0.3">
      <c r="A27" s="284">
        <v>45908</v>
      </c>
      <c r="B27">
        <v>84.17</v>
      </c>
      <c r="C27">
        <v>84.14</v>
      </c>
    </row>
    <row r="28" spans="1:3" x14ac:dyDescent="0.3">
      <c r="A28" s="284">
        <v>45905</v>
      </c>
      <c r="B28">
        <v>85.43</v>
      </c>
      <c r="C28">
        <v>85.42</v>
      </c>
    </row>
    <row r="29" spans="1:3" x14ac:dyDescent="0.3">
      <c r="A29" s="284">
        <v>45904</v>
      </c>
      <c r="B29">
        <v>87.01</v>
      </c>
      <c r="C29">
        <v>86.99</v>
      </c>
    </row>
    <row r="30" spans="1:3" x14ac:dyDescent="0.3">
      <c r="A30" s="284">
        <v>45903</v>
      </c>
      <c r="B30">
        <v>87.25</v>
      </c>
      <c r="C30">
        <v>87.24</v>
      </c>
    </row>
    <row r="31" spans="1:3" x14ac:dyDescent="0.3">
      <c r="A31" s="284">
        <v>45902</v>
      </c>
      <c r="B31">
        <v>89.78</v>
      </c>
      <c r="C31">
        <v>89.76</v>
      </c>
    </row>
    <row r="32" spans="1:3" x14ac:dyDescent="0.3">
      <c r="A32" s="284">
        <v>45898</v>
      </c>
      <c r="B32">
        <v>88.19</v>
      </c>
      <c r="C32">
        <v>88.19</v>
      </c>
    </row>
    <row r="33" spans="1:11" x14ac:dyDescent="0.3">
      <c r="A33" s="284">
        <v>45897</v>
      </c>
      <c r="B33">
        <v>88.02</v>
      </c>
      <c r="C33">
        <v>88.02</v>
      </c>
    </row>
    <row r="34" spans="1:11" x14ac:dyDescent="0.3">
      <c r="A34" s="284">
        <v>45896</v>
      </c>
      <c r="B34">
        <v>87.66</v>
      </c>
      <c r="C34">
        <v>87.64</v>
      </c>
    </row>
    <row r="35" spans="1:11" x14ac:dyDescent="0.3">
      <c r="A35" s="284">
        <v>45895</v>
      </c>
      <c r="B35">
        <v>86.63</v>
      </c>
      <c r="C35">
        <v>86.63</v>
      </c>
    </row>
    <row r="36" spans="1:11" x14ac:dyDescent="0.3">
      <c r="A36" s="284">
        <v>45894</v>
      </c>
      <c r="B36">
        <v>85.81</v>
      </c>
      <c r="C36">
        <v>85.81</v>
      </c>
    </row>
    <row r="37" spans="1:11" x14ac:dyDescent="0.3">
      <c r="A37" s="284">
        <v>45891</v>
      </c>
      <c r="B37">
        <v>88.38</v>
      </c>
      <c r="C37">
        <v>88.37</v>
      </c>
    </row>
    <row r="38" spans="1:11" x14ac:dyDescent="0.3">
      <c r="A38" s="284">
        <v>45890</v>
      </c>
      <c r="B38">
        <v>88.56</v>
      </c>
      <c r="C38">
        <v>88.55</v>
      </c>
    </row>
    <row r="39" spans="1:11" x14ac:dyDescent="0.3">
      <c r="A39" s="284">
        <v>45889</v>
      </c>
      <c r="B39">
        <v>89.51</v>
      </c>
      <c r="C39">
        <v>89.5</v>
      </c>
    </row>
    <row r="40" spans="1:11" x14ac:dyDescent="0.3">
      <c r="A40" s="284">
        <v>45888</v>
      </c>
      <c r="B40">
        <v>90.93</v>
      </c>
      <c r="C40">
        <v>90.93</v>
      </c>
    </row>
    <row r="41" spans="1:11" x14ac:dyDescent="0.3">
      <c r="A41" s="284">
        <v>45887</v>
      </c>
      <c r="B41">
        <v>92.54</v>
      </c>
      <c r="C41">
        <v>92.53</v>
      </c>
      <c r="G41" s="287" t="s">
        <v>766</v>
      </c>
      <c r="H41" s="288" t="s">
        <v>767</v>
      </c>
      <c r="J41" s="287" t="s">
        <v>778</v>
      </c>
      <c r="K41" s="288" t="s">
        <v>779</v>
      </c>
    </row>
    <row r="42" spans="1:11" x14ac:dyDescent="0.3">
      <c r="A42" s="284">
        <v>45884</v>
      </c>
      <c r="B42">
        <v>90.6</v>
      </c>
      <c r="C42">
        <v>90.58</v>
      </c>
      <c r="G42" s="289" t="s">
        <v>768</v>
      </c>
      <c r="H42" s="285" t="s">
        <v>777</v>
      </c>
      <c r="J42" s="289" t="s">
        <v>780</v>
      </c>
      <c r="K42" s="291">
        <f>'7. Valuation'!D20</f>
        <v>86.699452788080563</v>
      </c>
    </row>
    <row r="43" spans="1:11" x14ac:dyDescent="0.3">
      <c r="A43" s="284">
        <v>45883</v>
      </c>
      <c r="B43">
        <v>93.06</v>
      </c>
      <c r="C43">
        <v>93.03</v>
      </c>
      <c r="G43" s="289" t="s">
        <v>769</v>
      </c>
      <c r="H43" s="285" t="s">
        <v>773</v>
      </c>
      <c r="J43" s="289" t="s">
        <v>781</v>
      </c>
      <c r="K43" s="291">
        <f>'7. Valuation'!D33</f>
        <v>98.345961236458692</v>
      </c>
    </row>
    <row r="44" spans="1:11" ht="15" thickBot="1" x14ac:dyDescent="0.35">
      <c r="A44" s="284">
        <v>45882</v>
      </c>
      <c r="B44">
        <v>94.18</v>
      </c>
      <c r="C44">
        <v>94.16</v>
      </c>
      <c r="G44" s="289" t="s">
        <v>770</v>
      </c>
      <c r="H44" s="285" t="s">
        <v>774</v>
      </c>
      <c r="J44" s="290" t="s">
        <v>782</v>
      </c>
      <c r="K44" s="292">
        <f>DDM!F17</f>
        <v>91.294508800015564</v>
      </c>
    </row>
    <row r="45" spans="1:11" x14ac:dyDescent="0.3">
      <c r="A45" s="284">
        <v>45881</v>
      </c>
      <c r="B45">
        <v>93.37</v>
      </c>
      <c r="C45">
        <v>93.37</v>
      </c>
      <c r="G45" s="289" t="s">
        <v>771</v>
      </c>
      <c r="H45" s="285" t="s">
        <v>775</v>
      </c>
    </row>
    <row r="46" spans="1:11" ht="15" thickBot="1" x14ac:dyDescent="0.35">
      <c r="A46" s="284">
        <v>45880</v>
      </c>
      <c r="B46">
        <v>91.74</v>
      </c>
      <c r="C46">
        <v>91.75</v>
      </c>
      <c r="G46" s="290" t="s">
        <v>772</v>
      </c>
      <c r="H46" s="286" t="s">
        <v>776</v>
      </c>
    </row>
    <row r="47" spans="1:11" x14ac:dyDescent="0.3">
      <c r="A47" s="284">
        <v>45877</v>
      </c>
      <c r="B47">
        <v>92.12</v>
      </c>
      <c r="C47">
        <v>92.11</v>
      </c>
    </row>
    <row r="48" spans="1:11" x14ac:dyDescent="0.3">
      <c r="A48" s="284">
        <v>45876</v>
      </c>
      <c r="B48">
        <v>91.02</v>
      </c>
      <c r="C48">
        <v>91.05</v>
      </c>
    </row>
    <row r="49" spans="1:3" x14ac:dyDescent="0.3">
      <c r="A49" s="284">
        <v>45875</v>
      </c>
      <c r="B49">
        <v>88.99</v>
      </c>
      <c r="C49">
        <v>88.99</v>
      </c>
    </row>
    <row r="50" spans="1:3" x14ac:dyDescent="0.3">
      <c r="A50" s="284">
        <v>45874</v>
      </c>
      <c r="B50">
        <v>90.2</v>
      </c>
      <c r="C50">
        <v>90.2</v>
      </c>
    </row>
    <row r="51" spans="1:3" x14ac:dyDescent="0.3">
      <c r="A51" s="284">
        <v>45873</v>
      </c>
      <c r="B51">
        <v>89.78</v>
      </c>
      <c r="C51">
        <v>89.77</v>
      </c>
    </row>
    <row r="52" spans="1:3" x14ac:dyDescent="0.3">
      <c r="A52" s="284">
        <v>45870</v>
      </c>
      <c r="B52">
        <v>86.86</v>
      </c>
      <c r="C52">
        <v>86.86</v>
      </c>
    </row>
    <row r="53" spans="1:3" x14ac:dyDescent="0.3">
      <c r="A53" s="284">
        <v>45869</v>
      </c>
      <c r="B53">
        <v>89.16</v>
      </c>
      <c r="C53">
        <v>89.16</v>
      </c>
    </row>
    <row r="54" spans="1:3" x14ac:dyDescent="0.3">
      <c r="A54" s="284">
        <v>45868</v>
      </c>
      <c r="B54">
        <v>92.76</v>
      </c>
      <c r="C54">
        <v>92.76</v>
      </c>
    </row>
    <row r="55" spans="1:3" x14ac:dyDescent="0.3">
      <c r="A55" s="284">
        <v>45867</v>
      </c>
      <c r="B55">
        <v>92.96</v>
      </c>
      <c r="C55">
        <v>92.94</v>
      </c>
    </row>
    <row r="56" spans="1:3" x14ac:dyDescent="0.3">
      <c r="A56" s="284">
        <v>45866</v>
      </c>
      <c r="B56">
        <v>93.67</v>
      </c>
      <c r="C56">
        <v>93.63</v>
      </c>
    </row>
    <row r="57" spans="1:3" x14ac:dyDescent="0.3">
      <c r="A57" s="284">
        <v>45863</v>
      </c>
      <c r="B57">
        <v>94.42</v>
      </c>
      <c r="C57">
        <v>94.4</v>
      </c>
    </row>
    <row r="58" spans="1:3" x14ac:dyDescent="0.3">
      <c r="A58" s="284">
        <v>45862</v>
      </c>
      <c r="B58">
        <v>93.7</v>
      </c>
      <c r="C58">
        <v>93.66</v>
      </c>
    </row>
    <row r="59" spans="1:3" x14ac:dyDescent="0.3">
      <c r="A59" s="284">
        <v>45861</v>
      </c>
      <c r="B59">
        <v>95.92</v>
      </c>
      <c r="C59">
        <v>95.92</v>
      </c>
    </row>
    <row r="60" spans="1:3" x14ac:dyDescent="0.3">
      <c r="A60" s="284">
        <v>45860</v>
      </c>
      <c r="B60">
        <v>96.94</v>
      </c>
      <c r="C60">
        <v>96.93</v>
      </c>
    </row>
    <row r="61" spans="1:3" x14ac:dyDescent="0.3">
      <c r="A61" s="284">
        <v>45859</v>
      </c>
      <c r="B61">
        <v>92.66</v>
      </c>
      <c r="C61">
        <v>92.66</v>
      </c>
    </row>
    <row r="62" spans="1:3" x14ac:dyDescent="0.3">
      <c r="A62" s="284">
        <v>45856</v>
      </c>
      <c r="B62">
        <v>93.8</v>
      </c>
      <c r="C62">
        <v>93.8</v>
      </c>
    </row>
    <row r="63" spans="1:3" x14ac:dyDescent="0.3">
      <c r="A63" s="284">
        <v>45855</v>
      </c>
      <c r="B63">
        <v>93.19</v>
      </c>
      <c r="C63">
        <v>93.19</v>
      </c>
    </row>
    <row r="64" spans="1:3" x14ac:dyDescent="0.3">
      <c r="A64" s="284">
        <v>45854</v>
      </c>
      <c r="B64">
        <v>92.51</v>
      </c>
      <c r="C64">
        <v>92.51</v>
      </c>
    </row>
    <row r="65" spans="1:3" x14ac:dyDescent="0.3">
      <c r="A65" s="284">
        <v>45853</v>
      </c>
      <c r="B65">
        <v>92.48</v>
      </c>
      <c r="C65">
        <v>92.43</v>
      </c>
    </row>
    <row r="66" spans="1:3" x14ac:dyDescent="0.3">
      <c r="A66" s="284">
        <v>45852</v>
      </c>
      <c r="B66">
        <v>93.42</v>
      </c>
      <c r="C66">
        <v>93.42</v>
      </c>
    </row>
    <row r="67" spans="1:3" x14ac:dyDescent="0.3">
      <c r="A67" s="284">
        <v>45849</v>
      </c>
      <c r="B67">
        <v>94.94</v>
      </c>
      <c r="C67">
        <v>94.94</v>
      </c>
    </row>
    <row r="68" spans="1:3" x14ac:dyDescent="0.3">
      <c r="A68" s="284">
        <v>45848</v>
      </c>
      <c r="B68">
        <v>95.15</v>
      </c>
      <c r="C68">
        <v>95.13</v>
      </c>
    </row>
    <row r="69" spans="1:3" x14ac:dyDescent="0.3">
      <c r="A69" s="284">
        <v>45847</v>
      </c>
      <c r="B69">
        <v>95.25</v>
      </c>
      <c r="C69">
        <v>95.23</v>
      </c>
    </row>
    <row r="70" spans="1:3" x14ac:dyDescent="0.3">
      <c r="A70" s="284">
        <v>45846</v>
      </c>
      <c r="B70">
        <v>94.94</v>
      </c>
      <c r="C70">
        <v>94.94</v>
      </c>
    </row>
    <row r="71" spans="1:3" x14ac:dyDescent="0.3">
      <c r="A71" s="284">
        <v>45845</v>
      </c>
      <c r="B71">
        <v>93.64</v>
      </c>
      <c r="C71">
        <v>93.65</v>
      </c>
    </row>
    <row r="72" spans="1:3" x14ac:dyDescent="0.3">
      <c r="A72" s="284">
        <v>45841</v>
      </c>
      <c r="B72">
        <v>94.44</v>
      </c>
      <c r="C72">
        <v>94.43</v>
      </c>
    </row>
    <row r="73" spans="1:3" x14ac:dyDescent="0.3">
      <c r="A73" s="284">
        <v>45840</v>
      </c>
      <c r="B73">
        <v>94.18</v>
      </c>
      <c r="C73">
        <v>94.17</v>
      </c>
    </row>
    <row r="74" spans="1:3" x14ac:dyDescent="0.3">
      <c r="A74" s="284">
        <v>45839</v>
      </c>
      <c r="B74">
        <v>94.92</v>
      </c>
      <c r="C74">
        <v>94.91</v>
      </c>
    </row>
    <row r="75" spans="1:3" x14ac:dyDescent="0.3">
      <c r="A75" s="284">
        <v>45838</v>
      </c>
      <c r="B75">
        <v>91.63</v>
      </c>
      <c r="C75">
        <v>91.62</v>
      </c>
    </row>
    <row r="76" spans="1:3" x14ac:dyDescent="0.3">
      <c r="A76" s="284">
        <v>45835</v>
      </c>
      <c r="B76">
        <v>92.11</v>
      </c>
      <c r="C76">
        <v>92.13</v>
      </c>
    </row>
    <row r="77" spans="1:3" x14ac:dyDescent="0.3">
      <c r="A77" s="284">
        <v>45834</v>
      </c>
      <c r="B77">
        <v>91.84</v>
      </c>
      <c r="C77">
        <v>91.84</v>
      </c>
    </row>
    <row r="78" spans="1:3" x14ac:dyDescent="0.3">
      <c r="A78" s="284">
        <v>45833</v>
      </c>
      <c r="B78">
        <v>91.1</v>
      </c>
      <c r="C78">
        <v>91.12</v>
      </c>
    </row>
    <row r="79" spans="1:3" x14ac:dyDescent="0.3">
      <c r="A79" s="284">
        <v>45832</v>
      </c>
      <c r="B79">
        <v>91.5</v>
      </c>
      <c r="C79">
        <v>91.51</v>
      </c>
    </row>
    <row r="80" spans="1:3" x14ac:dyDescent="0.3">
      <c r="A80" s="284">
        <v>45831</v>
      </c>
      <c r="B80">
        <v>92.34</v>
      </c>
      <c r="C80">
        <v>92.34</v>
      </c>
    </row>
    <row r="81" spans="1:3" x14ac:dyDescent="0.3">
      <c r="A81" s="284">
        <v>45828</v>
      </c>
      <c r="B81">
        <v>93.12</v>
      </c>
      <c r="C81">
        <v>93.09</v>
      </c>
    </row>
    <row r="82" spans="1:3" x14ac:dyDescent="0.3">
      <c r="A82" s="284">
        <v>45826</v>
      </c>
      <c r="B82">
        <v>92.28</v>
      </c>
      <c r="C82">
        <v>92.26</v>
      </c>
    </row>
    <row r="83" spans="1:3" x14ac:dyDescent="0.3">
      <c r="A83" s="284">
        <v>45825</v>
      </c>
      <c r="B83">
        <v>91.59</v>
      </c>
      <c r="C83">
        <v>91.59</v>
      </c>
    </row>
    <row r="84" spans="1:3" x14ac:dyDescent="0.3">
      <c r="A84" s="284">
        <v>45824</v>
      </c>
      <c r="B84">
        <v>93.48</v>
      </c>
      <c r="C84">
        <v>93.46</v>
      </c>
    </row>
    <row r="85" spans="1:3" x14ac:dyDescent="0.3">
      <c r="A85" s="284">
        <v>45821</v>
      </c>
      <c r="B85">
        <v>93.26</v>
      </c>
      <c r="C85">
        <v>93.3</v>
      </c>
    </row>
    <row r="86" spans="1:3" x14ac:dyDescent="0.3">
      <c r="A86" s="284">
        <v>45820</v>
      </c>
      <c r="B86">
        <v>94.32</v>
      </c>
      <c r="C86">
        <v>94.36</v>
      </c>
    </row>
    <row r="87" spans="1:3" x14ac:dyDescent="0.3">
      <c r="A87" s="284">
        <v>45819</v>
      </c>
      <c r="B87">
        <v>95.39</v>
      </c>
      <c r="C87">
        <v>95.42</v>
      </c>
    </row>
    <row r="88" spans="1:3" x14ac:dyDescent="0.3">
      <c r="A88" s="284">
        <v>45818</v>
      </c>
      <c r="B88">
        <v>91.43</v>
      </c>
      <c r="C88">
        <v>91.44</v>
      </c>
    </row>
    <row r="89" spans="1:3" x14ac:dyDescent="0.3">
      <c r="A89" s="284">
        <v>45817</v>
      </c>
      <c r="B89">
        <v>90.67</v>
      </c>
      <c r="C89">
        <v>90.69</v>
      </c>
    </row>
    <row r="90" spans="1:3" x14ac:dyDescent="0.3">
      <c r="A90" s="284">
        <v>45814</v>
      </c>
      <c r="B90">
        <v>89.64</v>
      </c>
      <c r="C90">
        <v>89.64</v>
      </c>
    </row>
    <row r="91" spans="1:3" x14ac:dyDescent="0.3">
      <c r="A91" s="284">
        <v>45813</v>
      </c>
      <c r="B91">
        <v>86.99</v>
      </c>
      <c r="C91">
        <v>86.99</v>
      </c>
    </row>
    <row r="92" spans="1:3" x14ac:dyDescent="0.3">
      <c r="A92" s="284">
        <v>45812</v>
      </c>
      <c r="B92">
        <v>88.11</v>
      </c>
      <c r="C92">
        <v>88.11</v>
      </c>
    </row>
    <row r="93" spans="1:3" x14ac:dyDescent="0.3">
      <c r="A93" s="284">
        <v>45811</v>
      </c>
      <c r="B93">
        <v>86.6</v>
      </c>
      <c r="C93">
        <v>86.6</v>
      </c>
    </row>
    <row r="94" spans="1:3" x14ac:dyDescent="0.3">
      <c r="A94" s="284">
        <v>45810</v>
      </c>
      <c r="B94">
        <v>85.19</v>
      </c>
      <c r="C94">
        <v>85.21</v>
      </c>
    </row>
    <row r="95" spans="1:3" x14ac:dyDescent="0.3">
      <c r="A95" s="284">
        <v>45807</v>
      </c>
      <c r="B95">
        <v>83.95</v>
      </c>
      <c r="C95">
        <v>83.88</v>
      </c>
    </row>
    <row r="96" spans="1:3" x14ac:dyDescent="0.3">
      <c r="A96" s="284">
        <v>45806</v>
      </c>
      <c r="B96">
        <v>84.05</v>
      </c>
      <c r="C96">
        <v>84.05</v>
      </c>
    </row>
    <row r="97" spans="1:3" x14ac:dyDescent="0.3">
      <c r="A97" s="284">
        <v>45805</v>
      </c>
      <c r="B97">
        <v>86</v>
      </c>
      <c r="C97">
        <v>85.98</v>
      </c>
    </row>
    <row r="98" spans="1:3" x14ac:dyDescent="0.3">
      <c r="A98" s="284">
        <v>45804</v>
      </c>
      <c r="B98">
        <v>87.01</v>
      </c>
      <c r="C98">
        <v>87.03</v>
      </c>
    </row>
    <row r="99" spans="1:3" x14ac:dyDescent="0.3">
      <c r="A99" s="284">
        <v>45800</v>
      </c>
      <c r="B99">
        <v>84.4</v>
      </c>
      <c r="C99">
        <v>84.4</v>
      </c>
    </row>
    <row r="100" spans="1:3" x14ac:dyDescent="0.3">
      <c r="A100" s="284">
        <v>45799</v>
      </c>
      <c r="B100">
        <v>83.97</v>
      </c>
      <c r="C100">
        <v>83.96</v>
      </c>
    </row>
    <row r="101" spans="1:3" x14ac:dyDescent="0.3">
      <c r="A101" s="284">
        <v>45798</v>
      </c>
      <c r="B101">
        <v>82.98</v>
      </c>
      <c r="C101">
        <v>82.98</v>
      </c>
    </row>
    <row r="102" spans="1:3" x14ac:dyDescent="0.3">
      <c r="A102" s="284">
        <v>45797</v>
      </c>
      <c r="B102">
        <v>85.59</v>
      </c>
      <c r="C102">
        <v>85.62</v>
      </c>
    </row>
    <row r="103" spans="1:3" x14ac:dyDescent="0.3">
      <c r="A103" s="284">
        <v>45796</v>
      </c>
      <c r="B103">
        <v>84.61</v>
      </c>
      <c r="C103">
        <v>84.61</v>
      </c>
    </row>
    <row r="104" spans="1:3" x14ac:dyDescent="0.3">
      <c r="A104" s="284">
        <v>45793</v>
      </c>
      <c r="B104">
        <v>85.57</v>
      </c>
      <c r="C104">
        <v>85.58</v>
      </c>
    </row>
    <row r="105" spans="1:3" x14ac:dyDescent="0.3">
      <c r="A105" s="284">
        <v>45792</v>
      </c>
      <c r="B105">
        <v>87.26</v>
      </c>
      <c r="C105">
        <v>87.25</v>
      </c>
    </row>
    <row r="106" spans="1:3" x14ac:dyDescent="0.3">
      <c r="A106" s="284">
        <v>45791</v>
      </c>
      <c r="B106">
        <v>86.534999999999997</v>
      </c>
      <c r="C106">
        <v>86.53</v>
      </c>
    </row>
    <row r="107" spans="1:3" x14ac:dyDescent="0.3">
      <c r="A107" s="284">
        <v>45790</v>
      </c>
      <c r="B107">
        <v>86.88</v>
      </c>
      <c r="C107">
        <v>86.85</v>
      </c>
    </row>
    <row r="108" spans="1:3" x14ac:dyDescent="0.3">
      <c r="A108" s="284">
        <v>45789</v>
      </c>
      <c r="B108">
        <v>85.67</v>
      </c>
      <c r="C108">
        <v>85.69</v>
      </c>
    </row>
    <row r="109" spans="1:3" x14ac:dyDescent="0.3">
      <c r="A109" s="284">
        <v>45786</v>
      </c>
      <c r="B109">
        <v>80.3</v>
      </c>
      <c r="C109">
        <v>80.28</v>
      </c>
    </row>
    <row r="110" spans="1:3" x14ac:dyDescent="0.3">
      <c r="A110" s="284">
        <v>45785</v>
      </c>
      <c r="B110">
        <v>82.19</v>
      </c>
      <c r="C110">
        <v>82.17</v>
      </c>
    </row>
    <row r="111" spans="1:3" x14ac:dyDescent="0.3">
      <c r="A111" s="284">
        <v>45784</v>
      </c>
      <c r="B111">
        <v>82.71</v>
      </c>
      <c r="C111">
        <v>82.71</v>
      </c>
    </row>
    <row r="112" spans="1:3" x14ac:dyDescent="0.3">
      <c r="A112" s="284">
        <v>45783</v>
      </c>
      <c r="B112">
        <v>82.78</v>
      </c>
      <c r="C112">
        <v>82.78</v>
      </c>
    </row>
    <row r="113" spans="1:3" x14ac:dyDescent="0.3">
      <c r="A113" s="284">
        <v>45782</v>
      </c>
      <c r="B113">
        <v>81.66</v>
      </c>
      <c r="C113">
        <v>81.650000000000006</v>
      </c>
    </row>
    <row r="114" spans="1:3" x14ac:dyDescent="0.3">
      <c r="A114" s="284">
        <v>45779</v>
      </c>
      <c r="B114">
        <v>84.69</v>
      </c>
      <c r="C114">
        <v>84.67</v>
      </c>
    </row>
    <row r="115" spans="1:3" x14ac:dyDescent="0.3">
      <c r="A115" s="284">
        <v>45778</v>
      </c>
      <c r="B115">
        <v>82.01</v>
      </c>
      <c r="C115">
        <v>82</v>
      </c>
    </row>
    <row r="116" spans="1:3" x14ac:dyDescent="0.3">
      <c r="A116" s="284">
        <v>45777</v>
      </c>
      <c r="B116">
        <v>80.05</v>
      </c>
      <c r="C116">
        <v>80.010000000000005</v>
      </c>
    </row>
    <row r="117" spans="1:3" x14ac:dyDescent="0.3">
      <c r="A117" s="284">
        <v>45776</v>
      </c>
      <c r="B117">
        <v>84.85</v>
      </c>
      <c r="C117">
        <v>84.87</v>
      </c>
    </row>
    <row r="118" spans="1:3" x14ac:dyDescent="0.3">
      <c r="A118" s="284">
        <v>45775</v>
      </c>
      <c r="B118">
        <v>83.9</v>
      </c>
      <c r="C118">
        <v>83.9</v>
      </c>
    </row>
    <row r="119" spans="1:3" x14ac:dyDescent="0.3">
      <c r="A119" s="284">
        <v>45772</v>
      </c>
      <c r="B119">
        <v>83.81</v>
      </c>
      <c r="C119">
        <v>83.79</v>
      </c>
    </row>
    <row r="120" spans="1:3" x14ac:dyDescent="0.3">
      <c r="A120" s="284">
        <v>45771</v>
      </c>
      <c r="B120">
        <v>83.86</v>
      </c>
      <c r="C120">
        <v>83.83</v>
      </c>
    </row>
    <row r="121" spans="1:3" x14ac:dyDescent="0.3">
      <c r="A121" s="284">
        <v>45770</v>
      </c>
      <c r="B121">
        <v>82.81</v>
      </c>
      <c r="C121">
        <v>82.75</v>
      </c>
    </row>
    <row r="122" spans="1:3" x14ac:dyDescent="0.3">
      <c r="A122" s="284">
        <v>45769</v>
      </c>
      <c r="B122">
        <v>81.75</v>
      </c>
      <c r="C122">
        <v>81.69</v>
      </c>
    </row>
    <row r="123" spans="1:3" x14ac:dyDescent="0.3">
      <c r="A123" s="284">
        <v>45768</v>
      </c>
      <c r="B123">
        <v>80.680000000000007</v>
      </c>
      <c r="C123">
        <v>80.680000000000007</v>
      </c>
    </row>
    <row r="124" spans="1:3" x14ac:dyDescent="0.3">
      <c r="A124" s="284">
        <v>45764</v>
      </c>
      <c r="B124">
        <v>81.5</v>
      </c>
      <c r="C124">
        <v>81.48</v>
      </c>
    </row>
    <row r="125" spans="1:3" x14ac:dyDescent="0.3">
      <c r="A125" s="284">
        <v>45763</v>
      </c>
      <c r="B125">
        <v>80.760000000000005</v>
      </c>
      <c r="C125">
        <v>80.760000000000005</v>
      </c>
    </row>
    <row r="126" spans="1:3" x14ac:dyDescent="0.3">
      <c r="A126" s="284">
        <v>45762</v>
      </c>
      <c r="B126">
        <v>83.71</v>
      </c>
      <c r="C126">
        <v>83.68</v>
      </c>
    </row>
    <row r="127" spans="1:3" x14ac:dyDescent="0.3">
      <c r="A127" s="284">
        <v>45761</v>
      </c>
      <c r="B127">
        <v>85.49</v>
      </c>
      <c r="C127">
        <v>85.49</v>
      </c>
    </row>
    <row r="128" spans="1:3" x14ac:dyDescent="0.3">
      <c r="A128" s="284">
        <v>45758</v>
      </c>
      <c r="B128">
        <v>85.43</v>
      </c>
      <c r="C128">
        <v>85.41</v>
      </c>
    </row>
    <row r="129" spans="1:3" x14ac:dyDescent="0.3">
      <c r="A129" s="284">
        <v>45757</v>
      </c>
      <c r="B129">
        <v>84.6</v>
      </c>
      <c r="C129">
        <v>84.6</v>
      </c>
    </row>
    <row r="130" spans="1:3" x14ac:dyDescent="0.3">
      <c r="A130" s="284">
        <v>45756</v>
      </c>
      <c r="B130">
        <v>88.68</v>
      </c>
      <c r="C130">
        <v>88.73</v>
      </c>
    </row>
    <row r="131" spans="1:3" x14ac:dyDescent="0.3">
      <c r="A131" s="284">
        <v>45755</v>
      </c>
      <c r="B131">
        <v>79.69</v>
      </c>
      <c r="C131">
        <v>79.709999999999994</v>
      </c>
    </row>
    <row r="132" spans="1:3" x14ac:dyDescent="0.3">
      <c r="A132" s="284">
        <v>45754</v>
      </c>
      <c r="B132">
        <v>80</v>
      </c>
      <c r="C132">
        <v>79.97</v>
      </c>
    </row>
    <row r="133" spans="1:3" x14ac:dyDescent="0.3">
      <c r="A133" s="284">
        <v>45751</v>
      </c>
      <c r="B133">
        <v>82.1</v>
      </c>
      <c r="C133">
        <v>82.09</v>
      </c>
    </row>
    <row r="134" spans="1:3" x14ac:dyDescent="0.3">
      <c r="A134" s="284">
        <v>45750</v>
      </c>
      <c r="B134">
        <v>88.26</v>
      </c>
      <c r="C134">
        <v>88.25</v>
      </c>
    </row>
    <row r="135" spans="1:3" x14ac:dyDescent="0.3">
      <c r="A135" s="284">
        <v>45749</v>
      </c>
      <c r="B135">
        <v>99.41</v>
      </c>
      <c r="C135">
        <v>99.4</v>
      </c>
    </row>
    <row r="136" spans="1:3" x14ac:dyDescent="0.3">
      <c r="A136" s="284">
        <v>45748</v>
      </c>
      <c r="B136">
        <v>98.23</v>
      </c>
      <c r="C136">
        <v>98.22</v>
      </c>
    </row>
    <row r="137" spans="1:3" x14ac:dyDescent="0.3">
      <c r="A137" s="284">
        <v>45747</v>
      </c>
      <c r="B137">
        <v>98.09</v>
      </c>
      <c r="C137">
        <v>98.07</v>
      </c>
    </row>
    <row r="138" spans="1:3" x14ac:dyDescent="0.3">
      <c r="A138" s="284">
        <v>45744</v>
      </c>
      <c r="B138">
        <v>97.73</v>
      </c>
      <c r="C138">
        <v>97.73</v>
      </c>
    </row>
    <row r="139" spans="1:3" x14ac:dyDescent="0.3">
      <c r="A139" s="284">
        <v>45743</v>
      </c>
      <c r="B139">
        <v>98.85</v>
      </c>
      <c r="C139">
        <v>98.85</v>
      </c>
    </row>
    <row r="140" spans="1:3" x14ac:dyDescent="0.3">
      <c r="A140" s="284">
        <v>45742</v>
      </c>
      <c r="B140">
        <v>97.97</v>
      </c>
      <c r="C140">
        <v>97.97</v>
      </c>
    </row>
    <row r="141" spans="1:3" x14ac:dyDescent="0.3">
      <c r="A141" s="284">
        <v>45741</v>
      </c>
      <c r="B141">
        <v>95.88</v>
      </c>
      <c r="C141">
        <v>95.84</v>
      </c>
    </row>
    <row r="142" spans="1:3" x14ac:dyDescent="0.3">
      <c r="A142" s="284">
        <v>45740</v>
      </c>
      <c r="B142">
        <v>95.72</v>
      </c>
      <c r="C142">
        <v>95.63</v>
      </c>
    </row>
    <row r="143" spans="1:3" x14ac:dyDescent="0.3">
      <c r="A143" s="284">
        <v>45737</v>
      </c>
      <c r="B143">
        <v>97.07</v>
      </c>
      <c r="C143">
        <v>97.05</v>
      </c>
    </row>
    <row r="144" spans="1:3" x14ac:dyDescent="0.3">
      <c r="A144" s="284">
        <v>45736</v>
      </c>
      <c r="B144">
        <v>99.28</v>
      </c>
      <c r="C144">
        <v>99.27</v>
      </c>
    </row>
    <row r="145" spans="1:3" x14ac:dyDescent="0.3">
      <c r="A145" s="284">
        <v>45735</v>
      </c>
      <c r="B145">
        <v>99.19</v>
      </c>
      <c r="C145">
        <v>99.2</v>
      </c>
    </row>
    <row r="146" spans="1:3" x14ac:dyDescent="0.3">
      <c r="A146" s="284">
        <v>45734</v>
      </c>
      <c r="B146">
        <v>98.28</v>
      </c>
      <c r="C146">
        <v>98.28</v>
      </c>
    </row>
    <row r="147" spans="1:3" x14ac:dyDescent="0.3">
      <c r="A147" s="284">
        <v>45733</v>
      </c>
      <c r="B147">
        <v>99.08</v>
      </c>
      <c r="C147">
        <v>99.08</v>
      </c>
    </row>
    <row r="148" spans="1:3" x14ac:dyDescent="0.3">
      <c r="A148" s="284">
        <v>45730</v>
      </c>
      <c r="B148">
        <v>98.11</v>
      </c>
      <c r="C148">
        <v>98.09</v>
      </c>
    </row>
    <row r="149" spans="1:3" x14ac:dyDescent="0.3">
      <c r="A149" s="284">
        <v>45729</v>
      </c>
      <c r="B149">
        <v>96.04</v>
      </c>
      <c r="C149">
        <v>96.07</v>
      </c>
    </row>
    <row r="150" spans="1:3" x14ac:dyDescent="0.3">
      <c r="A150" s="284">
        <v>45728</v>
      </c>
      <c r="B150">
        <v>98.69</v>
      </c>
      <c r="C150">
        <v>98.67</v>
      </c>
    </row>
    <row r="151" spans="1:3" x14ac:dyDescent="0.3">
      <c r="A151" s="284">
        <v>45727</v>
      </c>
      <c r="B151">
        <v>99.58</v>
      </c>
      <c r="C151">
        <v>99.54</v>
      </c>
    </row>
    <row r="152" spans="1:3" x14ac:dyDescent="0.3">
      <c r="A152" s="284">
        <v>45726</v>
      </c>
      <c r="B152">
        <v>101.125</v>
      </c>
      <c r="C152">
        <v>101.12</v>
      </c>
    </row>
    <row r="153" spans="1:3" x14ac:dyDescent="0.3">
      <c r="A153" s="284">
        <v>45723</v>
      </c>
      <c r="B153">
        <v>106.48</v>
      </c>
      <c r="C153">
        <v>106.48</v>
      </c>
    </row>
    <row r="154" spans="1:3" x14ac:dyDescent="0.3">
      <c r="A154" s="284">
        <v>45722</v>
      </c>
      <c r="B154">
        <v>105.47</v>
      </c>
      <c r="C154">
        <v>105.46</v>
      </c>
    </row>
    <row r="155" spans="1:3" x14ac:dyDescent="0.3">
      <c r="A155" s="284">
        <v>45721</v>
      </c>
      <c r="B155">
        <v>111.69</v>
      </c>
      <c r="C155">
        <v>111.65</v>
      </c>
    </row>
    <row r="156" spans="1:3" x14ac:dyDescent="0.3">
      <c r="A156" s="284">
        <v>45720</v>
      </c>
      <c r="B156">
        <v>112.06</v>
      </c>
      <c r="C156">
        <v>112.03</v>
      </c>
    </row>
    <row r="157" spans="1:3" x14ac:dyDescent="0.3">
      <c r="A157" s="284">
        <v>45719</v>
      </c>
      <c r="B157">
        <v>115.41</v>
      </c>
      <c r="C157">
        <v>115.42</v>
      </c>
    </row>
    <row r="158" spans="1:3" x14ac:dyDescent="0.3">
      <c r="A158" s="284">
        <v>45716</v>
      </c>
      <c r="B158">
        <v>115.81</v>
      </c>
      <c r="C158">
        <v>115.79</v>
      </c>
    </row>
    <row r="159" spans="1:3" x14ac:dyDescent="0.3">
      <c r="A159" s="284">
        <v>45715</v>
      </c>
      <c r="B159">
        <v>114.49</v>
      </c>
      <c r="C159">
        <v>114.52</v>
      </c>
    </row>
    <row r="160" spans="1:3" x14ac:dyDescent="0.3">
      <c r="A160" s="284">
        <v>45714</v>
      </c>
      <c r="B160">
        <v>113</v>
      </c>
      <c r="C160">
        <v>113</v>
      </c>
    </row>
    <row r="161" spans="1:3" x14ac:dyDescent="0.3">
      <c r="A161" s="284">
        <v>45713</v>
      </c>
      <c r="B161">
        <v>114.59</v>
      </c>
      <c r="C161">
        <v>114.59</v>
      </c>
    </row>
    <row r="162" spans="1:3" x14ac:dyDescent="0.3">
      <c r="A162" s="284">
        <v>45712</v>
      </c>
      <c r="B162">
        <v>113.19</v>
      </c>
      <c r="C162">
        <v>113.2</v>
      </c>
    </row>
    <row r="163" spans="1:3" x14ac:dyDescent="0.3">
      <c r="A163" s="284">
        <v>45709</v>
      </c>
      <c r="B163">
        <v>111.75</v>
      </c>
      <c r="C163">
        <v>111.75</v>
      </c>
    </row>
    <row r="164" spans="1:3" x14ac:dyDescent="0.3">
      <c r="A164" s="284">
        <v>45708</v>
      </c>
      <c r="B164">
        <v>113.34</v>
      </c>
      <c r="C164">
        <v>113.37</v>
      </c>
    </row>
    <row r="165" spans="1:3" x14ac:dyDescent="0.3">
      <c r="A165" s="284">
        <v>45707</v>
      </c>
      <c r="B165">
        <v>112.49</v>
      </c>
      <c r="C165">
        <v>112.48</v>
      </c>
    </row>
    <row r="166" spans="1:3" x14ac:dyDescent="0.3">
      <c r="A166" s="284">
        <v>45706</v>
      </c>
      <c r="B166">
        <v>113.03</v>
      </c>
      <c r="C166">
        <v>113.02</v>
      </c>
    </row>
    <row r="167" spans="1:3" x14ac:dyDescent="0.3">
      <c r="A167" s="284">
        <v>45702</v>
      </c>
      <c r="B167">
        <v>112.55</v>
      </c>
      <c r="C167">
        <v>112.55</v>
      </c>
    </row>
    <row r="168" spans="1:3" x14ac:dyDescent="0.3">
      <c r="A168" s="284">
        <v>45701</v>
      </c>
      <c r="B168">
        <v>113</v>
      </c>
      <c r="C168">
        <v>113</v>
      </c>
    </row>
    <row r="169" spans="1:3" x14ac:dyDescent="0.3">
      <c r="A169" s="284">
        <v>45700</v>
      </c>
      <c r="B169">
        <v>113.04</v>
      </c>
      <c r="C169">
        <v>113.04</v>
      </c>
    </row>
    <row r="170" spans="1:3" x14ac:dyDescent="0.3">
      <c r="A170" s="284">
        <v>45699</v>
      </c>
      <c r="B170">
        <v>111.03</v>
      </c>
      <c r="C170">
        <v>111.03</v>
      </c>
    </row>
    <row r="171" spans="1:3" x14ac:dyDescent="0.3">
      <c r="A171" s="284">
        <v>45698</v>
      </c>
      <c r="B171">
        <v>111.45</v>
      </c>
      <c r="C171">
        <v>111.46</v>
      </c>
    </row>
    <row r="172" spans="1:3" x14ac:dyDescent="0.3">
      <c r="A172" s="284">
        <v>45695</v>
      </c>
      <c r="B172">
        <v>112.2</v>
      </c>
      <c r="C172">
        <v>112.2</v>
      </c>
    </row>
    <row r="173" spans="1:3" x14ac:dyDescent="0.3">
      <c r="A173" s="284">
        <v>45694</v>
      </c>
      <c r="B173">
        <v>111.7</v>
      </c>
      <c r="C173">
        <v>111.7</v>
      </c>
    </row>
    <row r="174" spans="1:3" x14ac:dyDescent="0.3">
      <c r="A174" s="284">
        <v>45693</v>
      </c>
      <c r="B174">
        <v>112.25</v>
      </c>
      <c r="C174">
        <v>112.27</v>
      </c>
    </row>
    <row r="175" spans="1:3" x14ac:dyDescent="0.3">
      <c r="A175" s="284">
        <v>45692</v>
      </c>
      <c r="B175">
        <v>110.6</v>
      </c>
      <c r="C175">
        <v>110.59</v>
      </c>
    </row>
    <row r="176" spans="1:3" x14ac:dyDescent="0.3">
      <c r="A176" s="284">
        <v>45691</v>
      </c>
      <c r="B176">
        <v>108.16</v>
      </c>
      <c r="C176">
        <v>108.17</v>
      </c>
    </row>
    <row r="177" spans="1:3" x14ac:dyDescent="0.3">
      <c r="A177" s="284">
        <v>45688</v>
      </c>
      <c r="B177">
        <v>107.68</v>
      </c>
      <c r="C177">
        <v>107.67</v>
      </c>
    </row>
    <row r="178" spans="1:3" x14ac:dyDescent="0.3">
      <c r="A178" s="284">
        <v>45687</v>
      </c>
      <c r="B178">
        <v>109</v>
      </c>
      <c r="C178">
        <v>109</v>
      </c>
    </row>
    <row r="179" spans="1:3" x14ac:dyDescent="0.3">
      <c r="A179" s="284">
        <v>45686</v>
      </c>
      <c r="B179">
        <v>108.58</v>
      </c>
      <c r="C179">
        <v>108.56</v>
      </c>
    </row>
    <row r="180" spans="1:3" x14ac:dyDescent="0.3">
      <c r="A180" s="284">
        <v>45685</v>
      </c>
      <c r="B180">
        <v>100.41</v>
      </c>
      <c r="C180">
        <v>100.32</v>
      </c>
    </row>
    <row r="181" spans="1:3" x14ac:dyDescent="0.3">
      <c r="A181" s="284">
        <v>45684</v>
      </c>
      <c r="B181">
        <v>100.02</v>
      </c>
      <c r="C181">
        <v>100.02</v>
      </c>
    </row>
    <row r="182" spans="1:3" x14ac:dyDescent="0.3">
      <c r="A182" s="284">
        <v>45681</v>
      </c>
      <c r="B182">
        <v>98.81</v>
      </c>
      <c r="C182">
        <v>98.81</v>
      </c>
    </row>
    <row r="183" spans="1:3" x14ac:dyDescent="0.3">
      <c r="A183" s="284">
        <v>45680</v>
      </c>
      <c r="B183">
        <v>97.99</v>
      </c>
      <c r="C183">
        <v>97.99</v>
      </c>
    </row>
    <row r="184" spans="1:3" x14ac:dyDescent="0.3">
      <c r="A184" s="284">
        <v>45679</v>
      </c>
      <c r="B184">
        <v>97.73</v>
      </c>
      <c r="C184">
        <v>97.71</v>
      </c>
    </row>
    <row r="185" spans="1:3" x14ac:dyDescent="0.3">
      <c r="A185" s="284">
        <v>45678</v>
      </c>
      <c r="B185">
        <v>97.98</v>
      </c>
      <c r="C185">
        <v>97.94</v>
      </c>
    </row>
    <row r="186" spans="1:3" x14ac:dyDescent="0.3">
      <c r="A186" s="284">
        <v>45674</v>
      </c>
      <c r="B186">
        <v>95.13</v>
      </c>
      <c r="C186">
        <v>95.15</v>
      </c>
    </row>
    <row r="187" spans="1:3" x14ac:dyDescent="0.3">
      <c r="A187" s="284">
        <v>45673</v>
      </c>
      <c r="B187">
        <v>94.43</v>
      </c>
      <c r="C187">
        <v>94.43</v>
      </c>
    </row>
    <row r="188" spans="1:3" x14ac:dyDescent="0.3">
      <c r="A188" s="284">
        <v>45672</v>
      </c>
      <c r="B188">
        <v>93.08</v>
      </c>
      <c r="C188">
        <v>93.05</v>
      </c>
    </row>
    <row r="189" spans="1:3" x14ac:dyDescent="0.3">
      <c r="A189" s="284">
        <v>45671</v>
      </c>
      <c r="B189">
        <v>93.07</v>
      </c>
      <c r="C189">
        <v>93.06</v>
      </c>
    </row>
    <row r="190" spans="1:3" x14ac:dyDescent="0.3">
      <c r="A190" s="284">
        <v>45670</v>
      </c>
      <c r="B190">
        <v>93.51</v>
      </c>
      <c r="C190">
        <v>93.52</v>
      </c>
    </row>
    <row r="191" spans="1:3" x14ac:dyDescent="0.3">
      <c r="A191" s="284">
        <v>45667</v>
      </c>
      <c r="B191">
        <v>92.25</v>
      </c>
      <c r="C191">
        <v>92.25</v>
      </c>
    </row>
    <row r="192" spans="1:3" x14ac:dyDescent="0.3">
      <c r="A192" s="284">
        <v>45665</v>
      </c>
      <c r="B192">
        <v>92.6</v>
      </c>
      <c r="C192">
        <v>92.6</v>
      </c>
    </row>
    <row r="193" spans="1:3" x14ac:dyDescent="0.3">
      <c r="A193" s="284">
        <v>45664</v>
      </c>
      <c r="B193">
        <v>92.84</v>
      </c>
      <c r="C193">
        <v>92.84</v>
      </c>
    </row>
    <row r="194" spans="1:3" x14ac:dyDescent="0.3">
      <c r="A194" s="284">
        <v>45663</v>
      </c>
      <c r="B194">
        <v>93.13</v>
      </c>
      <c r="C194">
        <v>93.16</v>
      </c>
    </row>
    <row r="195" spans="1:3" x14ac:dyDescent="0.3">
      <c r="A195" s="284">
        <v>45660</v>
      </c>
      <c r="B195">
        <v>92.58</v>
      </c>
      <c r="C195">
        <v>92.54</v>
      </c>
    </row>
    <row r="196" spans="1:3" x14ac:dyDescent="0.3">
      <c r="A196" s="284">
        <v>45659</v>
      </c>
      <c r="B196">
        <v>92.17</v>
      </c>
      <c r="C196">
        <v>92.17</v>
      </c>
    </row>
    <row r="197" spans="1:3" x14ac:dyDescent="0.3">
      <c r="A197" s="284">
        <v>45657</v>
      </c>
      <c r="B197">
        <v>91.25</v>
      </c>
      <c r="C197">
        <v>91.25</v>
      </c>
    </row>
    <row r="198" spans="1:3" x14ac:dyDescent="0.3">
      <c r="A198" s="284">
        <v>45656</v>
      </c>
      <c r="B198">
        <v>90.58</v>
      </c>
      <c r="C198">
        <v>90.58</v>
      </c>
    </row>
    <row r="199" spans="1:3" x14ac:dyDescent="0.3">
      <c r="A199" s="284">
        <v>45653</v>
      </c>
      <c r="B199">
        <v>92.25</v>
      </c>
      <c r="C199">
        <v>92.27</v>
      </c>
    </row>
    <row r="200" spans="1:3" x14ac:dyDescent="0.3">
      <c r="A200" s="284">
        <v>45652</v>
      </c>
      <c r="B200">
        <v>91.86</v>
      </c>
      <c r="C200">
        <v>91.87</v>
      </c>
    </row>
    <row r="201" spans="1:3" x14ac:dyDescent="0.3">
      <c r="A201" s="284">
        <v>45650</v>
      </c>
      <c r="B201">
        <v>89.91</v>
      </c>
      <c r="C201">
        <v>89.9</v>
      </c>
    </row>
    <row r="202" spans="1:3" x14ac:dyDescent="0.3">
      <c r="A202" s="284">
        <v>45649</v>
      </c>
      <c r="B202">
        <v>87.44</v>
      </c>
      <c r="C202">
        <v>87.4</v>
      </c>
    </row>
    <row r="203" spans="1:3" x14ac:dyDescent="0.3">
      <c r="A203" s="284">
        <v>45646</v>
      </c>
      <c r="B203">
        <v>87.97</v>
      </c>
      <c r="C203">
        <v>87.98</v>
      </c>
    </row>
    <row r="204" spans="1:3" x14ac:dyDescent="0.3">
      <c r="A204" s="284">
        <v>45645</v>
      </c>
      <c r="B204">
        <v>88.76</v>
      </c>
      <c r="C204">
        <v>88.76</v>
      </c>
    </row>
    <row r="205" spans="1:3" x14ac:dyDescent="0.3">
      <c r="A205" s="284">
        <v>45644</v>
      </c>
      <c r="B205">
        <v>89.9</v>
      </c>
      <c r="C205">
        <v>89.9</v>
      </c>
    </row>
    <row r="206" spans="1:3" x14ac:dyDescent="0.3">
      <c r="A206" s="284">
        <v>45643</v>
      </c>
      <c r="B206">
        <v>92.09</v>
      </c>
      <c r="C206">
        <v>92.08</v>
      </c>
    </row>
    <row r="207" spans="1:3" x14ac:dyDescent="0.3">
      <c r="A207" s="284">
        <v>45642</v>
      </c>
      <c r="B207">
        <v>93.12</v>
      </c>
      <c r="C207">
        <v>93.12</v>
      </c>
    </row>
    <row r="208" spans="1:3" x14ac:dyDescent="0.3">
      <c r="A208" s="284">
        <v>45639</v>
      </c>
      <c r="B208">
        <v>97.42</v>
      </c>
      <c r="C208">
        <v>97.41</v>
      </c>
    </row>
    <row r="209" spans="1:3" x14ac:dyDescent="0.3">
      <c r="A209" s="284">
        <v>45638</v>
      </c>
      <c r="B209">
        <v>97.82</v>
      </c>
      <c r="C209">
        <v>97.82</v>
      </c>
    </row>
    <row r="210" spans="1:3" x14ac:dyDescent="0.3">
      <c r="A210" s="284">
        <v>45637</v>
      </c>
      <c r="B210">
        <v>98.42</v>
      </c>
      <c r="C210">
        <v>98.4</v>
      </c>
    </row>
    <row r="211" spans="1:3" x14ac:dyDescent="0.3">
      <c r="A211" s="284">
        <v>45636</v>
      </c>
      <c r="B211">
        <v>98.16</v>
      </c>
      <c r="C211">
        <v>98.18</v>
      </c>
    </row>
    <row r="212" spans="1:3" x14ac:dyDescent="0.3">
      <c r="A212" s="284">
        <v>45635</v>
      </c>
      <c r="B212">
        <v>99.31</v>
      </c>
      <c r="C212">
        <v>99.31</v>
      </c>
    </row>
    <row r="213" spans="1:3" x14ac:dyDescent="0.3">
      <c r="A213" s="284">
        <v>45632</v>
      </c>
      <c r="B213">
        <v>100.11</v>
      </c>
      <c r="C213">
        <v>100.1</v>
      </c>
    </row>
    <row r="214" spans="1:3" x14ac:dyDescent="0.3">
      <c r="A214" s="284">
        <v>45631</v>
      </c>
      <c r="B214">
        <v>99.23</v>
      </c>
      <c r="C214">
        <v>99.22</v>
      </c>
    </row>
    <row r="215" spans="1:3" x14ac:dyDescent="0.3">
      <c r="A215" s="284">
        <v>45630</v>
      </c>
      <c r="B215">
        <v>100.7</v>
      </c>
      <c r="C215">
        <v>100.7</v>
      </c>
    </row>
    <row r="216" spans="1:3" x14ac:dyDescent="0.3">
      <c r="A216" s="284">
        <v>45629</v>
      </c>
      <c r="B216">
        <v>101.57</v>
      </c>
      <c r="C216">
        <v>101.56</v>
      </c>
    </row>
    <row r="217" spans="1:3" x14ac:dyDescent="0.3">
      <c r="A217" s="284">
        <v>45628</v>
      </c>
      <c r="B217">
        <v>101.51</v>
      </c>
      <c r="C217">
        <v>101.49</v>
      </c>
    </row>
    <row r="218" spans="1:3" x14ac:dyDescent="0.3">
      <c r="A218" s="284">
        <v>45625</v>
      </c>
      <c r="B218">
        <v>102.46</v>
      </c>
      <c r="C218">
        <v>102.44</v>
      </c>
    </row>
    <row r="219" spans="1:3" x14ac:dyDescent="0.3">
      <c r="A219" s="284">
        <v>45623</v>
      </c>
      <c r="B219">
        <v>101.51</v>
      </c>
      <c r="C219">
        <v>101.51</v>
      </c>
    </row>
    <row r="220" spans="1:3" x14ac:dyDescent="0.3">
      <c r="A220" s="284">
        <v>45622</v>
      </c>
      <c r="B220">
        <v>100.68</v>
      </c>
      <c r="C220">
        <v>100.68</v>
      </c>
    </row>
    <row r="221" spans="1:3" x14ac:dyDescent="0.3">
      <c r="A221" s="284">
        <v>45621</v>
      </c>
      <c r="B221">
        <v>101.84</v>
      </c>
      <c r="C221">
        <v>101.8</v>
      </c>
    </row>
    <row r="222" spans="1:3" x14ac:dyDescent="0.3">
      <c r="A222" s="284">
        <v>45618</v>
      </c>
      <c r="B222">
        <v>102.5</v>
      </c>
      <c r="C222">
        <v>102.5</v>
      </c>
    </row>
    <row r="223" spans="1:3" x14ac:dyDescent="0.3">
      <c r="A223" s="284">
        <v>45617</v>
      </c>
      <c r="B223">
        <v>100.06</v>
      </c>
      <c r="C223">
        <v>100.06</v>
      </c>
    </row>
    <row r="224" spans="1:3" x14ac:dyDescent="0.3">
      <c r="A224" s="284">
        <v>45616</v>
      </c>
      <c r="B224">
        <v>98.26</v>
      </c>
      <c r="C224">
        <v>98.26</v>
      </c>
    </row>
    <row r="225" spans="1:3" x14ac:dyDescent="0.3">
      <c r="A225" s="284">
        <v>45615</v>
      </c>
      <c r="B225">
        <v>98.35</v>
      </c>
      <c r="C225">
        <v>98.34</v>
      </c>
    </row>
    <row r="226" spans="1:3" x14ac:dyDescent="0.3">
      <c r="A226" s="284">
        <v>45614</v>
      </c>
      <c r="B226">
        <v>100.4</v>
      </c>
      <c r="C226">
        <v>100.4</v>
      </c>
    </row>
    <row r="227" spans="1:3" x14ac:dyDescent="0.3">
      <c r="A227" s="284">
        <v>45611</v>
      </c>
      <c r="B227">
        <v>98.42</v>
      </c>
      <c r="C227">
        <v>98.43</v>
      </c>
    </row>
    <row r="228" spans="1:3" x14ac:dyDescent="0.3">
      <c r="A228" s="284">
        <v>45610</v>
      </c>
      <c r="B228">
        <v>99.23</v>
      </c>
      <c r="C228">
        <v>99.23</v>
      </c>
    </row>
    <row r="229" spans="1:3" x14ac:dyDescent="0.3">
      <c r="A229" s="284">
        <v>45609</v>
      </c>
      <c r="B229">
        <v>99.8</v>
      </c>
      <c r="C229">
        <v>99.79</v>
      </c>
    </row>
    <row r="230" spans="1:3" x14ac:dyDescent="0.3">
      <c r="A230" s="284">
        <v>45608</v>
      </c>
      <c r="B230">
        <v>98.8</v>
      </c>
      <c r="C230">
        <v>98.79</v>
      </c>
    </row>
    <row r="231" spans="1:3" x14ac:dyDescent="0.3">
      <c r="A231" s="284">
        <v>45607</v>
      </c>
      <c r="B231">
        <v>100.31</v>
      </c>
      <c r="C231">
        <v>100.33</v>
      </c>
    </row>
    <row r="232" spans="1:3" x14ac:dyDescent="0.3">
      <c r="A232" s="284">
        <v>45604</v>
      </c>
      <c r="B232">
        <v>97.55</v>
      </c>
      <c r="C232">
        <v>97.57</v>
      </c>
    </row>
    <row r="233" spans="1:3" x14ac:dyDescent="0.3">
      <c r="A233" s="284">
        <v>45603</v>
      </c>
      <c r="B233">
        <v>96.12</v>
      </c>
      <c r="C233">
        <v>96.11</v>
      </c>
    </row>
    <row r="234" spans="1:3" x14ac:dyDescent="0.3">
      <c r="A234" s="284">
        <v>45602</v>
      </c>
      <c r="B234">
        <v>96.08</v>
      </c>
      <c r="C234">
        <v>96.06</v>
      </c>
    </row>
    <row r="235" spans="1:3" x14ac:dyDescent="0.3">
      <c r="A235" s="284">
        <v>45601</v>
      </c>
      <c r="B235">
        <v>97.09</v>
      </c>
      <c r="C235">
        <v>97.1</v>
      </c>
    </row>
    <row r="236" spans="1:3" x14ac:dyDescent="0.3">
      <c r="A236" s="284">
        <v>45600</v>
      </c>
      <c r="B236">
        <v>97.03</v>
      </c>
      <c r="C236">
        <v>97.03</v>
      </c>
    </row>
    <row r="237" spans="1:3" x14ac:dyDescent="0.3">
      <c r="A237" s="284">
        <v>45597</v>
      </c>
      <c r="B237">
        <v>98.87</v>
      </c>
      <c r="C237">
        <v>98.89</v>
      </c>
    </row>
    <row r="238" spans="1:3" x14ac:dyDescent="0.3">
      <c r="A238" s="284">
        <v>45596</v>
      </c>
      <c r="B238">
        <v>97.7</v>
      </c>
      <c r="C238">
        <v>97.7</v>
      </c>
    </row>
    <row r="239" spans="1:3" x14ac:dyDescent="0.3">
      <c r="A239" s="284">
        <v>45595</v>
      </c>
      <c r="B239">
        <v>97.32</v>
      </c>
      <c r="C239">
        <v>97.35</v>
      </c>
    </row>
    <row r="240" spans="1:3" x14ac:dyDescent="0.3">
      <c r="A240" s="284">
        <v>45594</v>
      </c>
      <c r="B240">
        <v>97.39</v>
      </c>
      <c r="C240">
        <v>97.39</v>
      </c>
    </row>
    <row r="241" spans="1:3" x14ac:dyDescent="0.3">
      <c r="A241" s="284">
        <v>45593</v>
      </c>
      <c r="B241">
        <v>98.02</v>
      </c>
      <c r="C241">
        <v>98.02</v>
      </c>
    </row>
    <row r="242" spans="1:3" x14ac:dyDescent="0.3">
      <c r="A242" s="284">
        <v>45590</v>
      </c>
      <c r="B242">
        <v>97.31</v>
      </c>
      <c r="C242">
        <v>97.31</v>
      </c>
    </row>
    <row r="243" spans="1:3" x14ac:dyDescent="0.3">
      <c r="A243" s="284">
        <v>45589</v>
      </c>
      <c r="B243">
        <v>97.15</v>
      </c>
      <c r="C243">
        <v>97.14</v>
      </c>
    </row>
    <row r="244" spans="1:3" x14ac:dyDescent="0.3">
      <c r="A244" s="284">
        <v>45588</v>
      </c>
      <c r="B244">
        <v>97.65</v>
      </c>
      <c r="C244">
        <v>97.65</v>
      </c>
    </row>
    <row r="245" spans="1:3" x14ac:dyDescent="0.3">
      <c r="A245" s="284">
        <v>45587</v>
      </c>
      <c r="B245">
        <v>96.82</v>
      </c>
      <c r="C245">
        <v>96.82</v>
      </c>
    </row>
    <row r="246" spans="1:3" x14ac:dyDescent="0.3">
      <c r="A246" s="284">
        <v>45586</v>
      </c>
      <c r="B246">
        <v>96.45</v>
      </c>
      <c r="C246">
        <v>96.45</v>
      </c>
    </row>
    <row r="247" spans="1:3" x14ac:dyDescent="0.3">
      <c r="A247" s="284">
        <v>45583</v>
      </c>
      <c r="B247">
        <v>96.84</v>
      </c>
      <c r="C247">
        <v>96.83</v>
      </c>
    </row>
    <row r="248" spans="1:3" x14ac:dyDescent="0.3">
      <c r="A248" s="284">
        <v>45582</v>
      </c>
      <c r="B248">
        <v>95.27</v>
      </c>
      <c r="C248">
        <v>95.27</v>
      </c>
    </row>
    <row r="249" spans="1:3" x14ac:dyDescent="0.3">
      <c r="A249" s="284">
        <v>45581</v>
      </c>
      <c r="B249">
        <v>95.46</v>
      </c>
      <c r="C249">
        <v>95.46</v>
      </c>
    </row>
    <row r="250" spans="1:3" x14ac:dyDescent="0.3">
      <c r="A250" s="284">
        <v>45580</v>
      </c>
      <c r="B250">
        <v>95.04</v>
      </c>
      <c r="C250">
        <v>95.04</v>
      </c>
    </row>
    <row r="251" spans="1:3" x14ac:dyDescent="0.3">
      <c r="A251" s="284">
        <v>45579</v>
      </c>
      <c r="B251">
        <v>94.76</v>
      </c>
      <c r="C251">
        <v>94.76</v>
      </c>
    </row>
    <row r="252" spans="1:3" x14ac:dyDescent="0.3">
      <c r="A252" s="284">
        <v>45576</v>
      </c>
      <c r="B252">
        <v>95.55</v>
      </c>
      <c r="C252">
        <v>95.55</v>
      </c>
    </row>
    <row r="253" spans="1:3" x14ac:dyDescent="0.3">
      <c r="A253" s="284">
        <v>45575</v>
      </c>
      <c r="B253">
        <v>93.88</v>
      </c>
      <c r="C253">
        <v>93.88</v>
      </c>
    </row>
    <row r="254" spans="1:3" x14ac:dyDescent="0.3">
      <c r="A254" s="284">
        <v>45574</v>
      </c>
      <c r="B254">
        <v>95.88</v>
      </c>
      <c r="C254">
        <v>95.88</v>
      </c>
    </row>
    <row r="255" spans="1:3" x14ac:dyDescent="0.3">
      <c r="A255" s="284">
        <v>45573</v>
      </c>
      <c r="B255">
        <v>96.21</v>
      </c>
      <c r="C255">
        <v>96.21</v>
      </c>
    </row>
    <row r="256" spans="1:3" x14ac:dyDescent="0.3">
      <c r="A256" s="284">
        <v>45572</v>
      </c>
      <c r="B256">
        <v>96.09</v>
      </c>
      <c r="C256">
        <v>96.1</v>
      </c>
    </row>
    <row r="257" spans="1:3" x14ac:dyDescent="0.3">
      <c r="A257" s="284">
        <v>45569</v>
      </c>
      <c r="B257">
        <v>96.58</v>
      </c>
      <c r="C257">
        <v>96.58</v>
      </c>
    </row>
    <row r="258" spans="1:3" x14ac:dyDescent="0.3">
      <c r="A258" s="284">
        <v>45568</v>
      </c>
      <c r="B258">
        <v>95.56</v>
      </c>
      <c r="C258">
        <v>95.56</v>
      </c>
    </row>
    <row r="259" spans="1:3" x14ac:dyDescent="0.3">
      <c r="A259" s="284">
        <v>45567</v>
      </c>
      <c r="B259">
        <v>96.5</v>
      </c>
      <c r="C259">
        <v>96.52</v>
      </c>
    </row>
    <row r="260" spans="1:3" x14ac:dyDescent="0.3">
      <c r="A260" s="284">
        <v>45566</v>
      </c>
      <c r="B260">
        <v>97.43</v>
      </c>
      <c r="C260">
        <v>97.44</v>
      </c>
    </row>
    <row r="261" spans="1:3" x14ac:dyDescent="0.3">
      <c r="A261" s="284">
        <v>45565</v>
      </c>
      <c r="B261">
        <v>97.49</v>
      </c>
      <c r="C261">
        <v>97.53</v>
      </c>
    </row>
    <row r="262" spans="1:3" x14ac:dyDescent="0.3">
      <c r="A262" s="284">
        <v>45562</v>
      </c>
      <c r="B262">
        <v>97.36</v>
      </c>
      <c r="C262">
        <v>97.36</v>
      </c>
    </row>
    <row r="263" spans="1:3" x14ac:dyDescent="0.3">
      <c r="A263" s="284">
        <v>45561</v>
      </c>
      <c r="B263">
        <v>97.47</v>
      </c>
      <c r="C263">
        <v>97.48</v>
      </c>
    </row>
    <row r="264" spans="1:3" x14ac:dyDescent="0.3">
      <c r="A264" s="284">
        <v>45560</v>
      </c>
      <c r="B264">
        <v>95.62</v>
      </c>
      <c r="C264">
        <v>95.64</v>
      </c>
    </row>
    <row r="265" spans="1:3" x14ac:dyDescent="0.3">
      <c r="A265" s="284">
        <v>45559</v>
      </c>
      <c r="B265">
        <v>94.45</v>
      </c>
      <c r="C265">
        <v>94.47</v>
      </c>
    </row>
    <row r="266" spans="1:3" x14ac:dyDescent="0.3">
      <c r="A266" s="284">
        <v>45558</v>
      </c>
      <c r="B266">
        <v>95.48</v>
      </c>
      <c r="C266">
        <v>95.48</v>
      </c>
    </row>
    <row r="267" spans="1:3" x14ac:dyDescent="0.3">
      <c r="A267" s="284">
        <v>45555</v>
      </c>
      <c r="B267">
        <v>96.05</v>
      </c>
      <c r="C267">
        <v>96.05</v>
      </c>
    </row>
    <row r="268" spans="1:3" x14ac:dyDescent="0.3">
      <c r="A268" s="284">
        <v>45554</v>
      </c>
      <c r="B268">
        <v>96.9</v>
      </c>
      <c r="C268">
        <v>96.91</v>
      </c>
    </row>
    <row r="269" spans="1:3" x14ac:dyDescent="0.3">
      <c r="A269" s="284">
        <v>45553</v>
      </c>
      <c r="B269">
        <v>96.12</v>
      </c>
      <c r="C269">
        <v>96.14</v>
      </c>
    </row>
    <row r="270" spans="1:3" x14ac:dyDescent="0.3">
      <c r="A270" s="284">
        <v>45552</v>
      </c>
      <c r="B270">
        <v>96.44</v>
      </c>
      <c r="C270">
        <v>96.46</v>
      </c>
    </row>
    <row r="271" spans="1:3" x14ac:dyDescent="0.3">
      <c r="A271" s="284">
        <v>45551</v>
      </c>
      <c r="B271">
        <v>96.31</v>
      </c>
      <c r="C271">
        <v>96.3</v>
      </c>
    </row>
    <row r="272" spans="1:3" x14ac:dyDescent="0.3">
      <c r="A272" s="284">
        <v>45548</v>
      </c>
      <c r="B272">
        <v>98.57</v>
      </c>
      <c r="C272">
        <v>98.56</v>
      </c>
    </row>
    <row r="273" spans="1:3" x14ac:dyDescent="0.3">
      <c r="A273" s="284">
        <v>45547</v>
      </c>
      <c r="B273">
        <v>99.28</v>
      </c>
      <c r="C273">
        <v>99.29</v>
      </c>
    </row>
    <row r="274" spans="1:3" x14ac:dyDescent="0.3">
      <c r="A274" s="284">
        <v>45546</v>
      </c>
      <c r="B274">
        <v>98.2</v>
      </c>
      <c r="C274">
        <v>98.16</v>
      </c>
    </row>
    <row r="275" spans="1:3" x14ac:dyDescent="0.3">
      <c r="A275" s="284">
        <v>45545</v>
      </c>
      <c r="B275">
        <v>93.34</v>
      </c>
      <c r="C275">
        <v>93.34</v>
      </c>
    </row>
    <row r="276" spans="1:3" x14ac:dyDescent="0.3">
      <c r="A276" s="284">
        <v>45544</v>
      </c>
      <c r="B276">
        <v>92.21</v>
      </c>
      <c r="C276">
        <v>92.22</v>
      </c>
    </row>
    <row r="277" spans="1:3" x14ac:dyDescent="0.3">
      <c r="A277" s="284">
        <v>45541</v>
      </c>
      <c r="B277">
        <v>91.15</v>
      </c>
      <c r="C277">
        <v>91.15</v>
      </c>
    </row>
    <row r="278" spans="1:3" x14ac:dyDescent="0.3">
      <c r="A278" s="284">
        <v>45540</v>
      </c>
      <c r="B278">
        <v>91.56</v>
      </c>
      <c r="C278">
        <v>91.56</v>
      </c>
    </row>
    <row r="279" spans="1:3" x14ac:dyDescent="0.3">
      <c r="A279" s="284">
        <v>45539</v>
      </c>
      <c r="B279">
        <v>92.33</v>
      </c>
      <c r="C279">
        <v>92.31</v>
      </c>
    </row>
    <row r="280" spans="1:3" x14ac:dyDescent="0.3">
      <c r="A280" s="284">
        <v>45538</v>
      </c>
      <c r="B280">
        <v>93.18</v>
      </c>
      <c r="C280">
        <v>93.18</v>
      </c>
    </row>
    <row r="281" spans="1:3" x14ac:dyDescent="0.3">
      <c r="A281" s="284">
        <v>45534</v>
      </c>
      <c r="B281">
        <v>94.57</v>
      </c>
      <c r="C281">
        <v>94.52</v>
      </c>
    </row>
    <row r="282" spans="1:3" x14ac:dyDescent="0.3">
      <c r="A282" s="284">
        <v>45533</v>
      </c>
      <c r="B282">
        <v>94.86</v>
      </c>
      <c r="C282">
        <v>94.86</v>
      </c>
    </row>
    <row r="283" spans="1:3" x14ac:dyDescent="0.3">
      <c r="A283" s="284">
        <v>45532</v>
      </c>
      <c r="B283">
        <v>95.3</v>
      </c>
      <c r="C283">
        <v>95.3</v>
      </c>
    </row>
    <row r="284" spans="1:3" x14ac:dyDescent="0.3">
      <c r="A284" s="284">
        <v>45531</v>
      </c>
      <c r="B284">
        <v>98.6</v>
      </c>
      <c r="C284">
        <v>98.6</v>
      </c>
    </row>
    <row r="285" spans="1:3" x14ac:dyDescent="0.3">
      <c r="A285" s="284">
        <v>45530</v>
      </c>
      <c r="B285">
        <v>95.63</v>
      </c>
      <c r="C285">
        <v>95.63</v>
      </c>
    </row>
    <row r="286" spans="1:3" x14ac:dyDescent="0.3">
      <c r="A286" s="284">
        <v>45527</v>
      </c>
      <c r="B286">
        <v>94.02</v>
      </c>
      <c r="C286">
        <v>94.01</v>
      </c>
    </row>
    <row r="287" spans="1:3" x14ac:dyDescent="0.3">
      <c r="A287" s="284">
        <v>45526</v>
      </c>
      <c r="B287">
        <v>92.43</v>
      </c>
      <c r="C287">
        <v>92.47</v>
      </c>
    </row>
    <row r="288" spans="1:3" x14ac:dyDescent="0.3">
      <c r="A288" s="284">
        <v>45525</v>
      </c>
      <c r="B288">
        <v>92.78</v>
      </c>
      <c r="C288">
        <v>92.74</v>
      </c>
    </row>
    <row r="289" spans="1:3" x14ac:dyDescent="0.3">
      <c r="A289" s="284">
        <v>45524</v>
      </c>
      <c r="B289">
        <v>93.01</v>
      </c>
      <c r="C289">
        <v>93</v>
      </c>
    </row>
    <row r="290" spans="1:3" x14ac:dyDescent="0.3">
      <c r="A290" s="284">
        <v>45523</v>
      </c>
      <c r="B290">
        <v>92.3</v>
      </c>
      <c r="C290">
        <v>92.3</v>
      </c>
    </row>
    <row r="291" spans="1:3" x14ac:dyDescent="0.3">
      <c r="A291" s="284">
        <v>45520</v>
      </c>
      <c r="B291">
        <v>94.81</v>
      </c>
      <c r="C291">
        <v>94.81</v>
      </c>
    </row>
    <row r="292" spans="1:3" x14ac:dyDescent="0.3">
      <c r="A292" s="284">
        <v>45519</v>
      </c>
      <c r="B292">
        <v>94.88</v>
      </c>
      <c r="C292">
        <v>94.87</v>
      </c>
    </row>
    <row r="293" spans="1:3" x14ac:dyDescent="0.3">
      <c r="A293" s="284">
        <v>45518</v>
      </c>
      <c r="B293">
        <v>93.9</v>
      </c>
      <c r="C293">
        <v>93.9</v>
      </c>
    </row>
    <row r="294" spans="1:3" x14ac:dyDescent="0.3">
      <c r="A294" s="284">
        <v>45517</v>
      </c>
      <c r="B294">
        <v>95.9</v>
      </c>
      <c r="C294">
        <v>95.9</v>
      </c>
    </row>
    <row r="295" spans="1:3" x14ac:dyDescent="0.3">
      <c r="A295" s="284">
        <v>45516</v>
      </c>
      <c r="B295">
        <v>77.03</v>
      </c>
      <c r="C295">
        <v>77.05</v>
      </c>
    </row>
    <row r="296" spans="1:3" x14ac:dyDescent="0.3">
      <c r="A296" s="284">
        <v>45513</v>
      </c>
      <c r="B296">
        <v>75.09</v>
      </c>
      <c r="C296">
        <v>75.09</v>
      </c>
    </row>
    <row r="297" spans="1:3" x14ac:dyDescent="0.3">
      <c r="A297" s="284">
        <v>45512</v>
      </c>
      <c r="B297">
        <v>75.75</v>
      </c>
      <c r="C297">
        <v>75.75</v>
      </c>
    </row>
    <row r="298" spans="1:3" x14ac:dyDescent="0.3">
      <c r="A298" s="284">
        <v>45511</v>
      </c>
      <c r="B298">
        <v>75.290000000000006</v>
      </c>
      <c r="C298">
        <v>75.28</v>
      </c>
    </row>
    <row r="299" spans="1:3" x14ac:dyDescent="0.3">
      <c r="A299" s="284">
        <v>45510</v>
      </c>
      <c r="B299">
        <v>75.37</v>
      </c>
      <c r="C299">
        <v>75.36</v>
      </c>
    </row>
    <row r="300" spans="1:3" x14ac:dyDescent="0.3">
      <c r="A300" s="284">
        <v>45509</v>
      </c>
      <c r="B300">
        <v>73.86</v>
      </c>
      <c r="C300">
        <v>73.900000000000006</v>
      </c>
    </row>
    <row r="301" spans="1:3" x14ac:dyDescent="0.3">
      <c r="A301" s="284">
        <v>45506</v>
      </c>
      <c r="B301">
        <v>75.88</v>
      </c>
      <c r="C301">
        <v>75.86</v>
      </c>
    </row>
    <row r="302" spans="1:3" x14ac:dyDescent="0.3">
      <c r="A302" s="284">
        <v>45505</v>
      </c>
      <c r="B302">
        <v>75.11</v>
      </c>
      <c r="C302">
        <v>75.099999999999994</v>
      </c>
    </row>
    <row r="303" spans="1:3" x14ac:dyDescent="0.3">
      <c r="A303" s="284">
        <v>45504</v>
      </c>
      <c r="B303">
        <v>77.95</v>
      </c>
      <c r="C303">
        <v>77.930000000000007</v>
      </c>
    </row>
    <row r="304" spans="1:3" x14ac:dyDescent="0.3">
      <c r="A304" s="284">
        <v>45503</v>
      </c>
      <c r="B304">
        <v>75.94</v>
      </c>
      <c r="C304">
        <v>75.900000000000006</v>
      </c>
    </row>
    <row r="305" spans="1:3" x14ac:dyDescent="0.3">
      <c r="A305" s="284">
        <v>45502</v>
      </c>
      <c r="B305">
        <v>75.2</v>
      </c>
      <c r="C305">
        <v>75.19</v>
      </c>
    </row>
    <row r="306" spans="1:3" x14ac:dyDescent="0.3">
      <c r="A306" s="284">
        <v>45499</v>
      </c>
      <c r="B306">
        <v>74.05</v>
      </c>
      <c r="C306">
        <v>74.069999999999993</v>
      </c>
    </row>
    <row r="307" spans="1:3" x14ac:dyDescent="0.3">
      <c r="A307" s="284">
        <v>45498</v>
      </c>
      <c r="B307">
        <v>73.319999999999993</v>
      </c>
      <c r="C307">
        <v>73.3</v>
      </c>
    </row>
    <row r="308" spans="1:3" x14ac:dyDescent="0.3">
      <c r="A308" s="284">
        <v>45497</v>
      </c>
      <c r="B308">
        <v>74.680000000000007</v>
      </c>
      <c r="C308">
        <v>74.63</v>
      </c>
    </row>
    <row r="309" spans="1:3" x14ac:dyDescent="0.3">
      <c r="A309" s="284">
        <v>45496</v>
      </c>
      <c r="B309">
        <v>76.260000000000005</v>
      </c>
      <c r="C309">
        <v>76.27</v>
      </c>
    </row>
    <row r="310" spans="1:3" x14ac:dyDescent="0.3">
      <c r="A310" s="284">
        <v>45495</v>
      </c>
      <c r="B310">
        <v>76.55</v>
      </c>
      <c r="C310">
        <v>76.540000000000006</v>
      </c>
    </row>
    <row r="311" spans="1:3" x14ac:dyDescent="0.3">
      <c r="A311" s="284">
        <v>45492</v>
      </c>
      <c r="B311">
        <v>79.27</v>
      </c>
      <c r="C311">
        <v>79.27</v>
      </c>
    </row>
    <row r="312" spans="1:3" x14ac:dyDescent="0.3">
      <c r="A312" s="284">
        <v>45491</v>
      </c>
      <c r="B312">
        <v>74.19</v>
      </c>
      <c r="C312">
        <v>74.16</v>
      </c>
    </row>
    <row r="313" spans="1:3" x14ac:dyDescent="0.3">
      <c r="A313" s="284">
        <v>45490</v>
      </c>
      <c r="B313">
        <v>75.099999999999994</v>
      </c>
      <c r="C313">
        <v>75.069999999999993</v>
      </c>
    </row>
    <row r="314" spans="1:3" x14ac:dyDescent="0.3">
      <c r="A314" s="284">
        <v>45489</v>
      </c>
      <c r="B314">
        <v>75.510000000000005</v>
      </c>
      <c r="C314">
        <v>75.5</v>
      </c>
    </row>
    <row r="315" spans="1:3" x14ac:dyDescent="0.3">
      <c r="A315" s="284">
        <v>45488</v>
      </c>
      <c r="B315">
        <v>72.75</v>
      </c>
      <c r="C315">
        <v>72.72</v>
      </c>
    </row>
    <row r="316" spans="1:3" x14ac:dyDescent="0.3">
      <c r="A316" s="284">
        <v>45485</v>
      </c>
      <c r="B316">
        <v>74.83</v>
      </c>
      <c r="C316">
        <v>74.819999999999993</v>
      </c>
    </row>
    <row r="317" spans="1:3" x14ac:dyDescent="0.3">
      <c r="A317" s="284">
        <v>45484</v>
      </c>
      <c r="B317">
        <v>73.3</v>
      </c>
      <c r="C317">
        <v>73.3</v>
      </c>
    </row>
    <row r="318" spans="1:3" x14ac:dyDescent="0.3">
      <c r="A318" s="284">
        <v>45483</v>
      </c>
      <c r="B318">
        <v>72.510000000000005</v>
      </c>
      <c r="C318">
        <v>72.5</v>
      </c>
    </row>
    <row r="319" spans="1:3" x14ac:dyDescent="0.3">
      <c r="A319" s="284">
        <v>45482</v>
      </c>
      <c r="B319">
        <v>72.75</v>
      </c>
      <c r="C319">
        <v>72.739999999999995</v>
      </c>
    </row>
    <row r="320" spans="1:3" x14ac:dyDescent="0.3">
      <c r="A320" s="284">
        <v>45481</v>
      </c>
      <c r="B320">
        <v>74.569999999999993</v>
      </c>
      <c r="C320">
        <v>74.569999999999993</v>
      </c>
    </row>
    <row r="321" spans="1:3" x14ac:dyDescent="0.3">
      <c r="A321" s="284">
        <v>45478</v>
      </c>
      <c r="B321">
        <v>76.05</v>
      </c>
      <c r="C321">
        <v>76.03</v>
      </c>
    </row>
    <row r="322" spans="1:3" x14ac:dyDescent="0.3">
      <c r="A322" s="284">
        <v>45476</v>
      </c>
      <c r="B322">
        <v>76.260000000000005</v>
      </c>
      <c r="C322">
        <v>76.239999999999995</v>
      </c>
    </row>
    <row r="323" spans="1:3" x14ac:dyDescent="0.3">
      <c r="A323" s="284">
        <v>45475</v>
      </c>
      <c r="B323">
        <v>76.83</v>
      </c>
      <c r="C323">
        <v>76.84</v>
      </c>
    </row>
    <row r="324" spans="1:3" x14ac:dyDescent="0.3">
      <c r="A324" s="284">
        <v>45474</v>
      </c>
      <c r="B324">
        <v>77.13</v>
      </c>
      <c r="C324">
        <v>77.12</v>
      </c>
    </row>
    <row r="325" spans="1:3" x14ac:dyDescent="0.3">
      <c r="A325" s="284">
        <v>45471</v>
      </c>
      <c r="B325">
        <v>77.849999999999994</v>
      </c>
      <c r="C325">
        <v>77.86</v>
      </c>
    </row>
    <row r="326" spans="1:3" x14ac:dyDescent="0.3">
      <c r="A326" s="284">
        <v>45470</v>
      </c>
      <c r="B326">
        <v>79.234999999999999</v>
      </c>
      <c r="C326">
        <v>79.23</v>
      </c>
    </row>
    <row r="327" spans="1:3" x14ac:dyDescent="0.3">
      <c r="A327" s="284">
        <v>45469</v>
      </c>
      <c r="B327">
        <v>79.150000000000006</v>
      </c>
      <c r="C327">
        <v>79.150000000000006</v>
      </c>
    </row>
    <row r="328" spans="1:3" x14ac:dyDescent="0.3">
      <c r="A328" s="284">
        <v>45468</v>
      </c>
      <c r="B328">
        <v>79.28</v>
      </c>
      <c r="C328">
        <v>79.3</v>
      </c>
    </row>
    <row r="329" spans="1:3" x14ac:dyDescent="0.3">
      <c r="A329" s="284">
        <v>45467</v>
      </c>
      <c r="B329">
        <v>79.73</v>
      </c>
      <c r="C329">
        <v>79.73</v>
      </c>
    </row>
    <row r="330" spans="1:3" x14ac:dyDescent="0.3">
      <c r="A330" s="284">
        <v>45464</v>
      </c>
      <c r="B330">
        <v>79.91</v>
      </c>
      <c r="C330">
        <v>79.91</v>
      </c>
    </row>
    <row r="331" spans="1:3" x14ac:dyDescent="0.3">
      <c r="A331" s="284">
        <v>45463</v>
      </c>
      <c r="B331">
        <v>79.72</v>
      </c>
      <c r="C331">
        <v>79.72</v>
      </c>
    </row>
    <row r="332" spans="1:3" x14ac:dyDescent="0.3">
      <c r="A332" s="284">
        <v>45461</v>
      </c>
      <c r="B332">
        <v>80.2</v>
      </c>
      <c r="C332">
        <v>80.209999999999994</v>
      </c>
    </row>
    <row r="333" spans="1:3" x14ac:dyDescent="0.3">
      <c r="A333" s="284">
        <v>45460</v>
      </c>
      <c r="B333">
        <v>81.33</v>
      </c>
      <c r="C333">
        <v>81.319999999999993</v>
      </c>
    </row>
    <row r="334" spans="1:3" x14ac:dyDescent="0.3">
      <c r="A334" s="284">
        <v>45457</v>
      </c>
      <c r="B334">
        <v>79.650000000000006</v>
      </c>
      <c r="C334">
        <v>79.66</v>
      </c>
    </row>
    <row r="335" spans="1:3" x14ac:dyDescent="0.3">
      <c r="A335" s="284">
        <v>45456</v>
      </c>
      <c r="B335">
        <v>80.239999999999995</v>
      </c>
      <c r="C335">
        <v>80.209999999999994</v>
      </c>
    </row>
    <row r="336" spans="1:3" x14ac:dyDescent="0.3">
      <c r="A336" s="284">
        <v>45455</v>
      </c>
      <c r="B336">
        <v>79.38</v>
      </c>
      <c r="C336">
        <v>79.38</v>
      </c>
    </row>
    <row r="337" spans="1:3" x14ac:dyDescent="0.3">
      <c r="A337" s="284">
        <v>45454</v>
      </c>
      <c r="B337">
        <v>79.89</v>
      </c>
      <c r="C337">
        <v>79.89</v>
      </c>
    </row>
    <row r="338" spans="1:3" x14ac:dyDescent="0.3">
      <c r="A338" s="284">
        <v>45453</v>
      </c>
      <c r="B338">
        <v>81.599999999999994</v>
      </c>
      <c r="C338">
        <v>81.61</v>
      </c>
    </row>
    <row r="339" spans="1:3" x14ac:dyDescent="0.3">
      <c r="A339" s="284">
        <v>45450</v>
      </c>
      <c r="B339">
        <v>81.430000000000007</v>
      </c>
      <c r="C339">
        <v>81.42</v>
      </c>
    </row>
    <row r="340" spans="1:3" x14ac:dyDescent="0.3">
      <c r="A340" s="284">
        <v>45449</v>
      </c>
      <c r="B340">
        <v>81.47</v>
      </c>
      <c r="C340">
        <v>81.459999999999994</v>
      </c>
    </row>
    <row r="341" spans="1:3" x14ac:dyDescent="0.3">
      <c r="A341" s="284">
        <v>45448</v>
      </c>
      <c r="B341">
        <v>81.16</v>
      </c>
      <c r="C341">
        <v>81.16</v>
      </c>
    </row>
    <row r="342" spans="1:3" x14ac:dyDescent="0.3">
      <c r="A342" s="284">
        <v>45447</v>
      </c>
      <c r="B342">
        <v>82.79</v>
      </c>
      <c r="C342">
        <v>82.8</v>
      </c>
    </row>
    <row r="343" spans="1:3" x14ac:dyDescent="0.3">
      <c r="A343" s="284">
        <v>45446</v>
      </c>
      <c r="B343">
        <v>82.08</v>
      </c>
      <c r="C343">
        <v>82.1</v>
      </c>
    </row>
    <row r="344" spans="1:3" x14ac:dyDescent="0.3">
      <c r="A344" s="284">
        <v>45443</v>
      </c>
      <c r="B344">
        <v>80.22</v>
      </c>
      <c r="C344">
        <v>80.25</v>
      </c>
    </row>
    <row r="345" spans="1:3" x14ac:dyDescent="0.3">
      <c r="A345" s="284">
        <v>45442</v>
      </c>
      <c r="B345">
        <v>78.760000000000005</v>
      </c>
      <c r="C345">
        <v>78.77</v>
      </c>
    </row>
    <row r="346" spans="1:3" x14ac:dyDescent="0.3">
      <c r="A346" s="284">
        <v>45441</v>
      </c>
      <c r="B346">
        <v>76.88</v>
      </c>
      <c r="C346">
        <v>76.88</v>
      </c>
    </row>
    <row r="347" spans="1:3" x14ac:dyDescent="0.3">
      <c r="A347" s="284">
        <v>45440</v>
      </c>
      <c r="B347">
        <v>77.48</v>
      </c>
      <c r="C347">
        <v>77.489999999999995</v>
      </c>
    </row>
    <row r="348" spans="1:3" x14ac:dyDescent="0.3">
      <c r="A348" s="284">
        <v>45436</v>
      </c>
      <c r="B348">
        <v>78.87</v>
      </c>
      <c r="C348">
        <v>78.849999999999994</v>
      </c>
    </row>
    <row r="349" spans="1:3" x14ac:dyDescent="0.3">
      <c r="A349" s="284">
        <v>45435</v>
      </c>
      <c r="B349">
        <v>78.305000000000007</v>
      </c>
      <c r="C349">
        <v>78.3</v>
      </c>
    </row>
    <row r="350" spans="1:3" x14ac:dyDescent="0.3">
      <c r="A350" s="284">
        <v>45434</v>
      </c>
      <c r="B350">
        <v>80.72</v>
      </c>
      <c r="C350">
        <v>80.72</v>
      </c>
    </row>
    <row r="351" spans="1:3" x14ac:dyDescent="0.3">
      <c r="A351" s="284">
        <v>45433</v>
      </c>
      <c r="B351">
        <v>77.72</v>
      </c>
      <c r="C351">
        <v>77.73</v>
      </c>
    </row>
    <row r="352" spans="1:3" x14ac:dyDescent="0.3">
      <c r="A352" s="284">
        <v>45432</v>
      </c>
      <c r="B352">
        <v>77.540000000000006</v>
      </c>
      <c r="C352">
        <v>77.56</v>
      </c>
    </row>
    <row r="353" spans="1:3" x14ac:dyDescent="0.3">
      <c r="A353" s="284">
        <v>45429</v>
      </c>
      <c r="B353">
        <v>77.849999999999994</v>
      </c>
      <c r="C353">
        <v>77.83</v>
      </c>
    </row>
    <row r="354" spans="1:3" x14ac:dyDescent="0.3">
      <c r="A354" s="284">
        <v>45428</v>
      </c>
      <c r="B354">
        <v>75.28</v>
      </c>
      <c r="C354">
        <v>75.27</v>
      </c>
    </row>
    <row r="355" spans="1:3" x14ac:dyDescent="0.3">
      <c r="A355" s="284">
        <v>45427</v>
      </c>
      <c r="B355">
        <v>75.7</v>
      </c>
      <c r="C355">
        <v>75.7</v>
      </c>
    </row>
    <row r="356" spans="1:3" x14ac:dyDescent="0.3">
      <c r="A356" s="284">
        <v>45426</v>
      </c>
      <c r="B356">
        <v>75.63</v>
      </c>
      <c r="C356">
        <v>75.63</v>
      </c>
    </row>
    <row r="357" spans="1:3" x14ac:dyDescent="0.3">
      <c r="A357" s="284">
        <v>45425</v>
      </c>
      <c r="B357">
        <v>76.180000000000007</v>
      </c>
      <c r="C357">
        <v>76.180000000000007</v>
      </c>
    </row>
    <row r="358" spans="1:3" x14ac:dyDescent="0.3">
      <c r="A358" s="284">
        <v>45422</v>
      </c>
      <c r="B358">
        <v>76.11</v>
      </c>
      <c r="C358">
        <v>76.11</v>
      </c>
    </row>
    <row r="359" spans="1:3" x14ac:dyDescent="0.3">
      <c r="A359" s="284">
        <v>45421</v>
      </c>
      <c r="B359">
        <v>75.680000000000007</v>
      </c>
      <c r="C359">
        <v>75.680000000000007</v>
      </c>
    </row>
    <row r="360" spans="1:3" x14ac:dyDescent="0.3">
      <c r="A360" s="284">
        <v>45420</v>
      </c>
      <c r="B360">
        <v>73.5</v>
      </c>
      <c r="C360">
        <v>73.510000000000005</v>
      </c>
    </row>
    <row r="361" spans="1:3" x14ac:dyDescent="0.3">
      <c r="A361" s="284">
        <v>45419</v>
      </c>
      <c r="B361">
        <v>72.5</v>
      </c>
      <c r="C361">
        <v>72.5</v>
      </c>
    </row>
    <row r="362" spans="1:3" x14ac:dyDescent="0.3">
      <c r="A362" s="284">
        <v>45418</v>
      </c>
      <c r="B362">
        <v>72.900000000000006</v>
      </c>
      <c r="C362">
        <v>72.900000000000006</v>
      </c>
    </row>
    <row r="363" spans="1:3" x14ac:dyDescent="0.3">
      <c r="A363" s="284">
        <v>45415</v>
      </c>
      <c r="B363">
        <v>73.11</v>
      </c>
      <c r="C363">
        <v>73.11</v>
      </c>
    </row>
    <row r="364" spans="1:3" x14ac:dyDescent="0.3">
      <c r="A364" s="284">
        <v>45414</v>
      </c>
      <c r="B364">
        <v>74.930000000000007</v>
      </c>
      <c r="C364">
        <v>74.92</v>
      </c>
    </row>
    <row r="365" spans="1:3" x14ac:dyDescent="0.3">
      <c r="A365" s="284">
        <v>45413</v>
      </c>
      <c r="B365">
        <v>74.44</v>
      </c>
      <c r="C365">
        <v>74.44</v>
      </c>
    </row>
    <row r="366" spans="1:3" x14ac:dyDescent="0.3">
      <c r="A366" s="284">
        <v>45412</v>
      </c>
      <c r="B366">
        <v>88.49</v>
      </c>
      <c r="C366">
        <v>88.5</v>
      </c>
    </row>
    <row r="367" spans="1:3" x14ac:dyDescent="0.3">
      <c r="A367" s="284">
        <v>45411</v>
      </c>
      <c r="B367">
        <v>88.33</v>
      </c>
      <c r="C367">
        <v>88.34</v>
      </c>
    </row>
    <row r="368" spans="1:3" x14ac:dyDescent="0.3">
      <c r="A368" s="284">
        <v>45408</v>
      </c>
      <c r="B368">
        <v>88.25</v>
      </c>
      <c r="C368">
        <v>88.23</v>
      </c>
    </row>
    <row r="369" spans="1:3" x14ac:dyDescent="0.3">
      <c r="A369" s="284">
        <v>45407</v>
      </c>
      <c r="B369">
        <v>87.84</v>
      </c>
      <c r="C369">
        <v>87.83</v>
      </c>
    </row>
    <row r="370" spans="1:3" x14ac:dyDescent="0.3">
      <c r="A370" s="284">
        <v>45406</v>
      </c>
      <c r="B370">
        <v>88.75</v>
      </c>
      <c r="C370">
        <v>88.76</v>
      </c>
    </row>
    <row r="371" spans="1:3" x14ac:dyDescent="0.3">
      <c r="A371" s="284">
        <v>45405</v>
      </c>
      <c r="B371">
        <v>87.87</v>
      </c>
      <c r="C371">
        <v>87.87</v>
      </c>
    </row>
    <row r="372" spans="1:3" x14ac:dyDescent="0.3">
      <c r="A372" s="284">
        <v>45404</v>
      </c>
      <c r="B372">
        <v>88.18</v>
      </c>
      <c r="C372">
        <v>88.18</v>
      </c>
    </row>
    <row r="373" spans="1:3" x14ac:dyDescent="0.3">
      <c r="A373" s="284">
        <v>45401</v>
      </c>
      <c r="B373">
        <v>87.61</v>
      </c>
      <c r="C373">
        <v>87.6</v>
      </c>
    </row>
    <row r="374" spans="1:3" x14ac:dyDescent="0.3">
      <c r="A374" s="284">
        <v>45400</v>
      </c>
      <c r="B374">
        <v>87.15</v>
      </c>
      <c r="C374">
        <v>87.11</v>
      </c>
    </row>
    <row r="375" spans="1:3" x14ac:dyDescent="0.3">
      <c r="A375" s="284">
        <v>45399</v>
      </c>
      <c r="B375">
        <v>86.21</v>
      </c>
      <c r="C375">
        <v>86.19</v>
      </c>
    </row>
    <row r="376" spans="1:3" x14ac:dyDescent="0.3">
      <c r="A376" s="284">
        <v>45398</v>
      </c>
      <c r="B376">
        <v>85.42</v>
      </c>
      <c r="C376">
        <v>85.41</v>
      </c>
    </row>
    <row r="377" spans="1:3" x14ac:dyDescent="0.3">
      <c r="A377" s="284">
        <v>45397</v>
      </c>
      <c r="B377">
        <v>85.17</v>
      </c>
      <c r="C377">
        <v>85.16</v>
      </c>
    </row>
    <row r="378" spans="1:3" x14ac:dyDescent="0.3">
      <c r="A378" s="284">
        <v>45394</v>
      </c>
      <c r="B378">
        <v>84.92</v>
      </c>
      <c r="C378">
        <v>84.95</v>
      </c>
    </row>
    <row r="379" spans="1:3" x14ac:dyDescent="0.3">
      <c r="A379" s="284">
        <v>45393</v>
      </c>
      <c r="B379">
        <v>85.9</v>
      </c>
      <c r="C379">
        <v>85.89</v>
      </c>
    </row>
    <row r="380" spans="1:3" x14ac:dyDescent="0.3">
      <c r="A380" s="284">
        <v>45392</v>
      </c>
      <c r="B380">
        <v>85.95</v>
      </c>
      <c r="C380">
        <v>85.94</v>
      </c>
    </row>
    <row r="381" spans="1:3" x14ac:dyDescent="0.3">
      <c r="A381" s="284">
        <v>45391</v>
      </c>
      <c r="B381">
        <v>87.13</v>
      </c>
      <c r="C381">
        <v>87.12</v>
      </c>
    </row>
    <row r="382" spans="1:3" x14ac:dyDescent="0.3">
      <c r="A382" s="284">
        <v>45390</v>
      </c>
      <c r="B382">
        <v>87.19</v>
      </c>
      <c r="C382">
        <v>87.19</v>
      </c>
    </row>
    <row r="383" spans="1:3" x14ac:dyDescent="0.3">
      <c r="A383" s="284">
        <v>45387</v>
      </c>
      <c r="B383">
        <v>86.85</v>
      </c>
      <c r="C383">
        <v>86.83</v>
      </c>
    </row>
    <row r="384" spans="1:3" x14ac:dyDescent="0.3">
      <c r="A384" s="284">
        <v>45386</v>
      </c>
      <c r="B384">
        <v>87.62</v>
      </c>
      <c r="C384">
        <v>87.64</v>
      </c>
    </row>
    <row r="385" spans="1:3" x14ac:dyDescent="0.3">
      <c r="A385" s="284">
        <v>45385</v>
      </c>
      <c r="B385">
        <v>88.7</v>
      </c>
      <c r="C385">
        <v>88.71</v>
      </c>
    </row>
    <row r="386" spans="1:3" x14ac:dyDescent="0.3">
      <c r="A386" s="284">
        <v>45384</v>
      </c>
      <c r="B386">
        <v>89.3</v>
      </c>
      <c r="C386">
        <v>89.31</v>
      </c>
    </row>
    <row r="387" spans="1:3" x14ac:dyDescent="0.3">
      <c r="A387" s="284">
        <v>45383</v>
      </c>
      <c r="B387">
        <v>91.53</v>
      </c>
      <c r="C387">
        <v>91.52</v>
      </c>
    </row>
    <row r="388" spans="1:3" x14ac:dyDescent="0.3">
      <c r="A388" s="284">
        <v>45379</v>
      </c>
      <c r="B388">
        <v>91.39</v>
      </c>
      <c r="C388">
        <v>91.34</v>
      </c>
    </row>
    <row r="389" spans="1:3" x14ac:dyDescent="0.3">
      <c r="A389" s="284">
        <v>45378</v>
      </c>
      <c r="B389">
        <v>91.5</v>
      </c>
      <c r="C389">
        <v>91.51</v>
      </c>
    </row>
    <row r="390" spans="1:3" x14ac:dyDescent="0.3">
      <c r="A390" s="284">
        <v>45377</v>
      </c>
      <c r="B390">
        <v>90.36</v>
      </c>
      <c r="C390">
        <v>90.38</v>
      </c>
    </row>
    <row r="391" spans="1:3" x14ac:dyDescent="0.3">
      <c r="A391" s="284">
        <v>45376</v>
      </c>
      <c r="B391">
        <v>90.67</v>
      </c>
      <c r="C391">
        <v>90.67</v>
      </c>
    </row>
    <row r="392" spans="1:3" x14ac:dyDescent="0.3">
      <c r="A392" s="284">
        <v>45373</v>
      </c>
      <c r="B392">
        <v>90.71</v>
      </c>
      <c r="C392">
        <v>90.7</v>
      </c>
    </row>
    <row r="393" spans="1:3" x14ac:dyDescent="0.3">
      <c r="A393" s="284">
        <v>45372</v>
      </c>
      <c r="B393">
        <v>91.66</v>
      </c>
      <c r="C393">
        <v>91.66</v>
      </c>
    </row>
    <row r="394" spans="1:3" x14ac:dyDescent="0.3">
      <c r="A394" s="284">
        <v>45371</v>
      </c>
      <c r="B394">
        <v>92.6</v>
      </c>
      <c r="C394">
        <v>92.61</v>
      </c>
    </row>
    <row r="395" spans="1:3" x14ac:dyDescent="0.3">
      <c r="A395" s="284">
        <v>45370</v>
      </c>
      <c r="B395">
        <v>91.59</v>
      </c>
      <c r="C395">
        <v>91.57</v>
      </c>
    </row>
    <row r="396" spans="1:3" x14ac:dyDescent="0.3">
      <c r="A396" s="284">
        <v>45369</v>
      </c>
      <c r="B396">
        <v>91.01</v>
      </c>
      <c r="C396">
        <v>90.99</v>
      </c>
    </row>
    <row r="397" spans="1:3" x14ac:dyDescent="0.3">
      <c r="A397" s="284">
        <v>45366</v>
      </c>
      <c r="B397">
        <v>90.12</v>
      </c>
      <c r="C397">
        <v>90.12</v>
      </c>
    </row>
    <row r="398" spans="1:3" x14ac:dyDescent="0.3">
      <c r="A398" s="284">
        <v>45365</v>
      </c>
      <c r="B398">
        <v>91.66</v>
      </c>
      <c r="C398">
        <v>91.69</v>
      </c>
    </row>
    <row r="399" spans="1:3" x14ac:dyDescent="0.3">
      <c r="A399" s="284">
        <v>45364</v>
      </c>
      <c r="B399">
        <v>91.61</v>
      </c>
      <c r="C399">
        <v>91.59</v>
      </c>
    </row>
    <row r="400" spans="1:3" x14ac:dyDescent="0.3">
      <c r="A400" s="284">
        <v>45363</v>
      </c>
      <c r="B400">
        <v>92.4</v>
      </c>
      <c r="C400">
        <v>92.4</v>
      </c>
    </row>
    <row r="401" spans="1:3" x14ac:dyDescent="0.3">
      <c r="A401" s="284">
        <v>45362</v>
      </c>
      <c r="B401">
        <v>92.07</v>
      </c>
      <c r="C401">
        <v>92.07</v>
      </c>
    </row>
    <row r="402" spans="1:3" x14ac:dyDescent="0.3">
      <c r="A402" s="284">
        <v>45359</v>
      </c>
      <c r="B402">
        <v>91.06</v>
      </c>
      <c r="C402">
        <v>91.05</v>
      </c>
    </row>
    <row r="403" spans="1:3" x14ac:dyDescent="0.3">
      <c r="A403" s="284">
        <v>45358</v>
      </c>
      <c r="B403">
        <v>90.95</v>
      </c>
      <c r="C403">
        <v>90.94</v>
      </c>
    </row>
    <row r="404" spans="1:3" x14ac:dyDescent="0.3">
      <c r="A404" s="284">
        <v>45357</v>
      </c>
      <c r="B404">
        <v>91.65</v>
      </c>
      <c r="C404">
        <v>91.65</v>
      </c>
    </row>
    <row r="405" spans="1:3" x14ac:dyDescent="0.3">
      <c r="A405" s="284">
        <v>45356</v>
      </c>
      <c r="B405">
        <v>91.22</v>
      </c>
      <c r="C405">
        <v>91.22</v>
      </c>
    </row>
    <row r="406" spans="1:3" x14ac:dyDescent="0.3">
      <c r="A406" s="284">
        <v>45355</v>
      </c>
      <c r="B406">
        <v>92.46</v>
      </c>
      <c r="C406">
        <v>92.45</v>
      </c>
    </row>
    <row r="407" spans="1:3" x14ac:dyDescent="0.3">
      <c r="A407" s="284">
        <v>45352</v>
      </c>
      <c r="B407">
        <v>93.16</v>
      </c>
      <c r="C407">
        <v>93.13</v>
      </c>
    </row>
    <row r="408" spans="1:3" x14ac:dyDescent="0.3">
      <c r="A408" s="284">
        <v>45351</v>
      </c>
      <c r="B408">
        <v>94.9</v>
      </c>
      <c r="C408">
        <v>94.84</v>
      </c>
    </row>
    <row r="409" spans="1:3" x14ac:dyDescent="0.3">
      <c r="A409" s="284">
        <v>45350</v>
      </c>
      <c r="B409">
        <v>93</v>
      </c>
      <c r="C409">
        <v>92.98</v>
      </c>
    </row>
    <row r="410" spans="1:3" x14ac:dyDescent="0.3">
      <c r="A410" s="284">
        <v>45349</v>
      </c>
      <c r="B410">
        <v>94.13</v>
      </c>
      <c r="C410">
        <v>94.13</v>
      </c>
    </row>
    <row r="411" spans="1:3" x14ac:dyDescent="0.3">
      <c r="A411" s="284">
        <v>45348</v>
      </c>
      <c r="B411">
        <v>94.28</v>
      </c>
      <c r="C411">
        <v>94.27</v>
      </c>
    </row>
    <row r="412" spans="1:3" x14ac:dyDescent="0.3">
      <c r="A412" s="284">
        <v>45345</v>
      </c>
      <c r="B412">
        <v>95.62</v>
      </c>
      <c r="C412">
        <v>95.6</v>
      </c>
    </row>
    <row r="413" spans="1:3" x14ac:dyDescent="0.3">
      <c r="A413" s="284">
        <v>45344</v>
      </c>
      <c r="B413">
        <v>95.78</v>
      </c>
      <c r="C413">
        <v>95.75</v>
      </c>
    </row>
    <row r="414" spans="1:3" x14ac:dyDescent="0.3">
      <c r="A414" s="284">
        <v>45343</v>
      </c>
      <c r="B414">
        <v>95.02</v>
      </c>
      <c r="C414">
        <v>95.01</v>
      </c>
    </row>
    <row r="415" spans="1:3" x14ac:dyDescent="0.3">
      <c r="A415" s="284">
        <v>45342</v>
      </c>
      <c r="B415">
        <v>93.46</v>
      </c>
      <c r="C415">
        <v>93.46</v>
      </c>
    </row>
    <row r="416" spans="1:3" x14ac:dyDescent="0.3">
      <c r="A416" s="284">
        <v>45338</v>
      </c>
      <c r="B416">
        <v>93.22</v>
      </c>
      <c r="C416">
        <v>93.23</v>
      </c>
    </row>
    <row r="417" spans="1:3" x14ac:dyDescent="0.3">
      <c r="A417" s="284">
        <v>45337</v>
      </c>
      <c r="B417">
        <v>93.22</v>
      </c>
      <c r="C417">
        <v>93.23</v>
      </c>
    </row>
    <row r="418" spans="1:3" x14ac:dyDescent="0.3">
      <c r="A418" s="284">
        <v>45336</v>
      </c>
      <c r="B418">
        <v>94.07</v>
      </c>
      <c r="C418">
        <v>94.01</v>
      </c>
    </row>
    <row r="419" spans="1:3" x14ac:dyDescent="0.3">
      <c r="A419" s="284">
        <v>45335</v>
      </c>
      <c r="B419">
        <v>93.87</v>
      </c>
      <c r="C419">
        <v>93.91</v>
      </c>
    </row>
    <row r="420" spans="1:3" x14ac:dyDescent="0.3">
      <c r="A420" s="284">
        <v>45334</v>
      </c>
      <c r="B420">
        <v>95.47</v>
      </c>
      <c r="C420">
        <v>95.49</v>
      </c>
    </row>
    <row r="421" spans="1:3" x14ac:dyDescent="0.3">
      <c r="A421" s="284">
        <v>45331</v>
      </c>
      <c r="B421">
        <v>97.3</v>
      </c>
      <c r="C421">
        <v>97.29</v>
      </c>
    </row>
    <row r="422" spans="1:3" x14ac:dyDescent="0.3">
      <c r="A422" s="284">
        <v>45330</v>
      </c>
      <c r="B422">
        <v>96.59</v>
      </c>
      <c r="C422">
        <v>96.59</v>
      </c>
    </row>
    <row r="423" spans="1:3" x14ac:dyDescent="0.3">
      <c r="A423" s="284">
        <v>45329</v>
      </c>
      <c r="B423">
        <v>95.31</v>
      </c>
      <c r="C423">
        <v>95.34</v>
      </c>
    </row>
    <row r="424" spans="1:3" x14ac:dyDescent="0.3">
      <c r="A424" s="284">
        <v>45328</v>
      </c>
      <c r="B424">
        <v>95.67</v>
      </c>
      <c r="C424">
        <v>95.67</v>
      </c>
    </row>
    <row r="425" spans="1:3" x14ac:dyDescent="0.3">
      <c r="A425" s="284">
        <v>45327</v>
      </c>
      <c r="B425">
        <v>92.51</v>
      </c>
      <c r="C425">
        <v>92.48</v>
      </c>
    </row>
    <row r="426" spans="1:3" x14ac:dyDescent="0.3">
      <c r="A426" s="284">
        <v>45324</v>
      </c>
      <c r="B426">
        <v>92.99</v>
      </c>
      <c r="C426">
        <v>92.97</v>
      </c>
    </row>
    <row r="427" spans="1:3" x14ac:dyDescent="0.3">
      <c r="A427" s="284">
        <v>45323</v>
      </c>
      <c r="B427">
        <v>93.37</v>
      </c>
      <c r="C427">
        <v>93.33</v>
      </c>
    </row>
    <row r="428" spans="1:3" x14ac:dyDescent="0.3">
      <c r="A428" s="284">
        <v>45322</v>
      </c>
      <c r="B428">
        <v>93.03</v>
      </c>
      <c r="C428">
        <v>93.03</v>
      </c>
    </row>
    <row r="429" spans="1:3" x14ac:dyDescent="0.3">
      <c r="A429" s="284">
        <v>45321</v>
      </c>
      <c r="B429">
        <v>94.08</v>
      </c>
      <c r="C429">
        <v>94.1</v>
      </c>
    </row>
    <row r="430" spans="1:3" x14ac:dyDescent="0.3">
      <c r="A430" s="284">
        <v>45320</v>
      </c>
      <c r="B430">
        <v>93.8</v>
      </c>
      <c r="C430">
        <v>93.82</v>
      </c>
    </row>
    <row r="431" spans="1:3" x14ac:dyDescent="0.3">
      <c r="A431" s="284">
        <v>45317</v>
      </c>
      <c r="B431">
        <v>92.8</v>
      </c>
      <c r="C431">
        <v>92.79</v>
      </c>
    </row>
    <row r="432" spans="1:3" x14ac:dyDescent="0.3">
      <c r="A432" s="284">
        <v>45316</v>
      </c>
      <c r="B432">
        <v>92.61</v>
      </c>
      <c r="C432">
        <v>92.62</v>
      </c>
    </row>
    <row r="433" spans="1:3" x14ac:dyDescent="0.3">
      <c r="A433" s="284">
        <v>45315</v>
      </c>
      <c r="B433">
        <v>92.04</v>
      </c>
      <c r="C433">
        <v>92.03</v>
      </c>
    </row>
    <row r="434" spans="1:3" x14ac:dyDescent="0.3">
      <c r="A434" s="284">
        <v>45314</v>
      </c>
      <c r="B434">
        <v>91.97</v>
      </c>
      <c r="C434">
        <v>91.93</v>
      </c>
    </row>
    <row r="435" spans="1:3" x14ac:dyDescent="0.3">
      <c r="A435" s="284">
        <v>45313</v>
      </c>
      <c r="B435">
        <v>93.07</v>
      </c>
      <c r="C435">
        <v>93.07</v>
      </c>
    </row>
    <row r="436" spans="1:3" x14ac:dyDescent="0.3">
      <c r="A436" s="284">
        <v>45310</v>
      </c>
      <c r="B436">
        <v>93.86</v>
      </c>
      <c r="C436">
        <v>93.84</v>
      </c>
    </row>
    <row r="437" spans="1:3" x14ac:dyDescent="0.3">
      <c r="A437" s="284">
        <v>45309</v>
      </c>
      <c r="B437">
        <v>93.34</v>
      </c>
      <c r="C437">
        <v>93.35</v>
      </c>
    </row>
    <row r="438" spans="1:3" x14ac:dyDescent="0.3">
      <c r="A438" s="284">
        <v>45308</v>
      </c>
      <c r="B438">
        <v>91.77</v>
      </c>
      <c r="C438">
        <v>91.77</v>
      </c>
    </row>
    <row r="439" spans="1:3" x14ac:dyDescent="0.3">
      <c r="A439" s="284">
        <v>45307</v>
      </c>
      <c r="B439">
        <v>92.7</v>
      </c>
      <c r="C439">
        <v>92.7</v>
      </c>
    </row>
    <row r="440" spans="1:3" x14ac:dyDescent="0.3">
      <c r="A440" s="284">
        <v>45303</v>
      </c>
      <c r="B440">
        <v>91.98</v>
      </c>
      <c r="C440">
        <v>91.97</v>
      </c>
    </row>
    <row r="441" spans="1:3" x14ac:dyDescent="0.3">
      <c r="A441" s="284">
        <v>45302</v>
      </c>
      <c r="B441">
        <v>92.94</v>
      </c>
      <c r="C441">
        <v>92.93</v>
      </c>
    </row>
    <row r="442" spans="1:3" x14ac:dyDescent="0.3">
      <c r="A442" s="284">
        <v>45301</v>
      </c>
      <c r="B442">
        <v>93.5</v>
      </c>
      <c r="C442">
        <v>93.48</v>
      </c>
    </row>
    <row r="443" spans="1:3" x14ac:dyDescent="0.3">
      <c r="A443" s="284">
        <v>45300</v>
      </c>
      <c r="B443">
        <v>93.09</v>
      </c>
      <c r="C443">
        <v>93.07</v>
      </c>
    </row>
    <row r="444" spans="1:3" x14ac:dyDescent="0.3">
      <c r="A444" s="284">
        <v>45299</v>
      </c>
      <c r="B444">
        <v>94.19</v>
      </c>
      <c r="C444">
        <v>94.19</v>
      </c>
    </row>
    <row r="445" spans="1:3" x14ac:dyDescent="0.3">
      <c r="A445" s="284">
        <v>45296</v>
      </c>
      <c r="B445">
        <v>92.99</v>
      </c>
      <c r="C445">
        <v>92.99</v>
      </c>
    </row>
    <row r="446" spans="1:3" x14ac:dyDescent="0.3">
      <c r="A446" s="284">
        <v>45295</v>
      </c>
      <c r="B446">
        <v>93.55</v>
      </c>
      <c r="C446">
        <v>93.54</v>
      </c>
    </row>
    <row r="447" spans="1:3" x14ac:dyDescent="0.3">
      <c r="A447" s="284">
        <v>45294</v>
      </c>
      <c r="B447">
        <v>93.23</v>
      </c>
      <c r="C447">
        <v>93.23</v>
      </c>
    </row>
    <row r="448" spans="1:3" x14ac:dyDescent="0.3">
      <c r="A448" s="284">
        <v>45293</v>
      </c>
      <c r="B448">
        <v>93.67</v>
      </c>
      <c r="C448">
        <v>93.69</v>
      </c>
    </row>
    <row r="449" spans="1:3" x14ac:dyDescent="0.3">
      <c r="A449" s="284">
        <v>45289</v>
      </c>
      <c r="B449">
        <v>96.01</v>
      </c>
      <c r="C449">
        <v>96.01</v>
      </c>
    </row>
    <row r="450" spans="1:3" x14ac:dyDescent="0.3">
      <c r="A450" s="284">
        <v>45288</v>
      </c>
      <c r="B450">
        <v>95.93</v>
      </c>
      <c r="C450">
        <v>95.92</v>
      </c>
    </row>
    <row r="451" spans="1:3" x14ac:dyDescent="0.3">
      <c r="A451" s="284">
        <v>45287</v>
      </c>
      <c r="B451">
        <v>95.29</v>
      </c>
      <c r="C451">
        <v>95.3</v>
      </c>
    </row>
    <row r="452" spans="1:3" x14ac:dyDescent="0.3">
      <c r="A452" s="284">
        <v>45286</v>
      </c>
      <c r="B452">
        <v>95.67</v>
      </c>
      <c r="C452">
        <v>95.66</v>
      </c>
    </row>
    <row r="453" spans="1:3" x14ac:dyDescent="0.3">
      <c r="A453" s="284">
        <v>45282</v>
      </c>
      <c r="B453">
        <v>95.28</v>
      </c>
      <c r="C453">
        <v>95.28</v>
      </c>
    </row>
    <row r="454" spans="1:3" x14ac:dyDescent="0.3">
      <c r="A454" s="284">
        <v>45281</v>
      </c>
      <c r="B454">
        <v>95.33</v>
      </c>
      <c r="C454">
        <v>95.33</v>
      </c>
    </row>
    <row r="455" spans="1:3" x14ac:dyDescent="0.3">
      <c r="A455" s="284">
        <v>45280</v>
      </c>
      <c r="B455">
        <v>94.71</v>
      </c>
      <c r="C455">
        <v>94.69</v>
      </c>
    </row>
    <row r="456" spans="1:3" x14ac:dyDescent="0.3">
      <c r="A456" s="284">
        <v>45279</v>
      </c>
      <c r="B456">
        <v>97.72</v>
      </c>
      <c r="C456">
        <v>97.71</v>
      </c>
    </row>
    <row r="457" spans="1:3" x14ac:dyDescent="0.3">
      <c r="A457" s="284">
        <v>45278</v>
      </c>
      <c r="B457">
        <v>96.56</v>
      </c>
      <c r="C457">
        <v>96.52</v>
      </c>
    </row>
    <row r="458" spans="1:3" x14ac:dyDescent="0.3">
      <c r="A458" s="284">
        <v>45275</v>
      </c>
      <c r="B458">
        <v>96.75</v>
      </c>
      <c r="C458">
        <v>96.71</v>
      </c>
    </row>
    <row r="459" spans="1:3" x14ac:dyDescent="0.3">
      <c r="A459" s="284">
        <v>45274</v>
      </c>
      <c r="B459">
        <v>97.84</v>
      </c>
      <c r="C459">
        <v>97.83</v>
      </c>
    </row>
    <row r="460" spans="1:3" x14ac:dyDescent="0.3">
      <c r="A460" s="284">
        <v>45273</v>
      </c>
      <c r="B460">
        <v>98.11</v>
      </c>
      <c r="C460">
        <v>98.07</v>
      </c>
    </row>
    <row r="461" spans="1:3" x14ac:dyDescent="0.3">
      <c r="A461" s="284">
        <v>45272</v>
      </c>
      <c r="B461">
        <v>98.15</v>
      </c>
      <c r="C461">
        <v>98.11</v>
      </c>
    </row>
    <row r="462" spans="1:3" x14ac:dyDescent="0.3">
      <c r="A462" s="284">
        <v>45271</v>
      </c>
      <c r="B462">
        <v>98.12</v>
      </c>
      <c r="C462">
        <v>98.11</v>
      </c>
    </row>
    <row r="463" spans="1:3" x14ac:dyDescent="0.3">
      <c r="A463" s="284">
        <v>45268</v>
      </c>
      <c r="B463">
        <v>96.61</v>
      </c>
      <c r="C463">
        <v>96.6</v>
      </c>
    </row>
    <row r="464" spans="1:3" x14ac:dyDescent="0.3">
      <c r="A464" s="284">
        <v>45267</v>
      </c>
      <c r="B464">
        <v>96.44</v>
      </c>
      <c r="C464">
        <v>96.42</v>
      </c>
    </row>
    <row r="465" spans="1:3" x14ac:dyDescent="0.3">
      <c r="A465" s="284">
        <v>45266</v>
      </c>
      <c r="B465">
        <v>97.02</v>
      </c>
      <c r="C465">
        <v>97.05</v>
      </c>
    </row>
    <row r="466" spans="1:3" x14ac:dyDescent="0.3">
      <c r="A466" s="284">
        <v>45265</v>
      </c>
      <c r="B466">
        <v>95.54</v>
      </c>
      <c r="C466">
        <v>95.55</v>
      </c>
    </row>
    <row r="467" spans="1:3" x14ac:dyDescent="0.3">
      <c r="A467" s="284">
        <v>45264</v>
      </c>
      <c r="B467">
        <v>97.6</v>
      </c>
      <c r="C467">
        <v>97.59</v>
      </c>
    </row>
    <row r="468" spans="1:3" x14ac:dyDescent="0.3">
      <c r="A468" s="284">
        <v>45261</v>
      </c>
      <c r="B468">
        <v>99.2</v>
      </c>
      <c r="C468">
        <v>99.16</v>
      </c>
    </row>
    <row r="469" spans="1:3" x14ac:dyDescent="0.3">
      <c r="A469" s="284">
        <v>45260</v>
      </c>
      <c r="B469">
        <v>99.3</v>
      </c>
      <c r="C469">
        <v>99.26</v>
      </c>
    </row>
    <row r="470" spans="1:3" x14ac:dyDescent="0.3">
      <c r="A470" s="284">
        <v>45259</v>
      </c>
      <c r="B470">
        <v>99.85</v>
      </c>
      <c r="C470">
        <v>99.79</v>
      </c>
    </row>
    <row r="471" spans="1:3" x14ac:dyDescent="0.3">
      <c r="A471" s="284">
        <v>45258</v>
      </c>
      <c r="B471">
        <v>101.18</v>
      </c>
      <c r="C471">
        <v>101.16</v>
      </c>
    </row>
    <row r="472" spans="1:3" x14ac:dyDescent="0.3">
      <c r="A472" s="284">
        <v>45257</v>
      </c>
      <c r="B472">
        <v>102.36</v>
      </c>
      <c r="C472">
        <v>102.34</v>
      </c>
    </row>
    <row r="473" spans="1:3" x14ac:dyDescent="0.3">
      <c r="A473" s="284">
        <v>45254</v>
      </c>
      <c r="B473">
        <v>102.78</v>
      </c>
      <c r="C473">
        <v>102.8</v>
      </c>
    </row>
    <row r="474" spans="1:3" x14ac:dyDescent="0.3">
      <c r="A474" s="284">
        <v>45252</v>
      </c>
      <c r="B474">
        <v>103.44</v>
      </c>
      <c r="C474">
        <v>103.41</v>
      </c>
    </row>
    <row r="475" spans="1:3" x14ac:dyDescent="0.3">
      <c r="A475" s="284">
        <v>45251</v>
      </c>
      <c r="B475">
        <v>103.69</v>
      </c>
      <c r="C475">
        <v>103.65</v>
      </c>
    </row>
    <row r="476" spans="1:3" x14ac:dyDescent="0.3">
      <c r="A476" s="284">
        <v>45250</v>
      </c>
      <c r="B476">
        <v>104.3</v>
      </c>
      <c r="C476">
        <v>104.28</v>
      </c>
    </row>
    <row r="477" spans="1:3" x14ac:dyDescent="0.3">
      <c r="A477" s="284">
        <v>45247</v>
      </c>
      <c r="B477">
        <v>105.57</v>
      </c>
      <c r="C477">
        <v>105.56</v>
      </c>
    </row>
    <row r="478" spans="1:3" x14ac:dyDescent="0.3">
      <c r="A478" s="284">
        <v>45246</v>
      </c>
      <c r="B478">
        <v>107.21</v>
      </c>
      <c r="C478">
        <v>107.2</v>
      </c>
    </row>
    <row r="479" spans="1:3" x14ac:dyDescent="0.3">
      <c r="A479" s="284">
        <v>45245</v>
      </c>
      <c r="B479">
        <v>106.03</v>
      </c>
      <c r="C479">
        <v>106.05</v>
      </c>
    </row>
    <row r="480" spans="1:3" x14ac:dyDescent="0.3">
      <c r="A480" s="284">
        <v>45244</v>
      </c>
      <c r="B480">
        <v>105.6</v>
      </c>
      <c r="C480">
        <v>105.59</v>
      </c>
    </row>
    <row r="481" spans="1:3" x14ac:dyDescent="0.3">
      <c r="A481" s="284">
        <v>45243</v>
      </c>
      <c r="B481">
        <v>103.51</v>
      </c>
      <c r="C481">
        <v>103.5</v>
      </c>
    </row>
    <row r="482" spans="1:3" x14ac:dyDescent="0.3">
      <c r="A482" s="284">
        <v>45240</v>
      </c>
      <c r="B482">
        <v>104.33</v>
      </c>
      <c r="C482">
        <v>104.29</v>
      </c>
    </row>
    <row r="483" spans="1:3" x14ac:dyDescent="0.3">
      <c r="A483" s="284">
        <v>45239</v>
      </c>
      <c r="B483">
        <v>102.23</v>
      </c>
      <c r="C483">
        <v>102.2</v>
      </c>
    </row>
    <row r="484" spans="1:3" x14ac:dyDescent="0.3">
      <c r="A484" s="284">
        <v>45238</v>
      </c>
      <c r="B484">
        <v>104.3</v>
      </c>
      <c r="C484">
        <v>104.3</v>
      </c>
    </row>
    <row r="485" spans="1:3" x14ac:dyDescent="0.3">
      <c r="A485" s="284">
        <v>45237</v>
      </c>
      <c r="B485">
        <v>103.68</v>
      </c>
      <c r="C485">
        <v>103.67</v>
      </c>
    </row>
    <row r="486" spans="1:3" x14ac:dyDescent="0.3">
      <c r="A486" s="284">
        <v>45236</v>
      </c>
      <c r="B486">
        <v>104.03</v>
      </c>
      <c r="C486">
        <v>104.06</v>
      </c>
    </row>
    <row r="487" spans="1:3" x14ac:dyDescent="0.3">
      <c r="A487" s="284">
        <v>45233</v>
      </c>
      <c r="B487">
        <v>102.65</v>
      </c>
      <c r="C487">
        <v>102.64</v>
      </c>
    </row>
    <row r="488" spans="1:3" x14ac:dyDescent="0.3">
      <c r="A488" s="284">
        <v>45232</v>
      </c>
      <c r="B488">
        <v>100.01</v>
      </c>
      <c r="C488">
        <v>100</v>
      </c>
    </row>
    <row r="489" spans="1:3" x14ac:dyDescent="0.3">
      <c r="A489" s="284">
        <v>45231</v>
      </c>
      <c r="B489">
        <v>91.35</v>
      </c>
      <c r="C489">
        <v>91.3</v>
      </c>
    </row>
    <row r="490" spans="1:3" x14ac:dyDescent="0.3">
      <c r="A490" s="284">
        <v>45230</v>
      </c>
      <c r="B490">
        <v>92.24</v>
      </c>
      <c r="C490">
        <v>92.21</v>
      </c>
    </row>
    <row r="491" spans="1:3" x14ac:dyDescent="0.3">
      <c r="A491" s="284">
        <v>45229</v>
      </c>
      <c r="B491">
        <v>93.15</v>
      </c>
      <c r="C491">
        <v>93.13</v>
      </c>
    </row>
    <row r="492" spans="1:3" x14ac:dyDescent="0.3">
      <c r="A492" s="284">
        <v>45226</v>
      </c>
      <c r="B492">
        <v>92.02</v>
      </c>
      <c r="C492">
        <v>92</v>
      </c>
    </row>
    <row r="493" spans="1:3" x14ac:dyDescent="0.3">
      <c r="A493" s="284">
        <v>45225</v>
      </c>
      <c r="B493">
        <v>92.67</v>
      </c>
      <c r="C493">
        <v>92.62</v>
      </c>
    </row>
    <row r="494" spans="1:3" x14ac:dyDescent="0.3">
      <c r="A494" s="284">
        <v>45224</v>
      </c>
      <c r="B494">
        <v>94</v>
      </c>
      <c r="C494">
        <v>93.97</v>
      </c>
    </row>
    <row r="495" spans="1:3" x14ac:dyDescent="0.3">
      <c r="A495" s="284">
        <v>45223</v>
      </c>
      <c r="B495">
        <v>94.62</v>
      </c>
      <c r="C495">
        <v>94.61</v>
      </c>
    </row>
    <row r="496" spans="1:3" x14ac:dyDescent="0.3">
      <c r="A496" s="284">
        <v>45222</v>
      </c>
      <c r="B496">
        <v>94.2</v>
      </c>
      <c r="C496">
        <v>94.18</v>
      </c>
    </row>
    <row r="497" spans="1:3" x14ac:dyDescent="0.3">
      <c r="A497" s="284">
        <v>45219</v>
      </c>
      <c r="B497">
        <v>94.19</v>
      </c>
      <c r="C497">
        <v>94.19</v>
      </c>
    </row>
    <row r="498" spans="1:3" x14ac:dyDescent="0.3">
      <c r="A498" s="284">
        <v>45218</v>
      </c>
      <c r="B498">
        <v>94.42</v>
      </c>
      <c r="C498">
        <v>94.4</v>
      </c>
    </row>
    <row r="499" spans="1:3" x14ac:dyDescent="0.3">
      <c r="A499" s="284">
        <v>45217</v>
      </c>
      <c r="B499">
        <v>93.75</v>
      </c>
      <c r="C499">
        <v>93.75</v>
      </c>
    </row>
    <row r="500" spans="1:3" x14ac:dyDescent="0.3">
      <c r="A500" s="284">
        <v>45216</v>
      </c>
      <c r="B500">
        <v>94.18</v>
      </c>
      <c r="C500">
        <v>94.18</v>
      </c>
    </row>
    <row r="501" spans="1:3" x14ac:dyDescent="0.3">
      <c r="A501" s="284">
        <v>45215</v>
      </c>
      <c r="B501">
        <v>93.65</v>
      </c>
      <c r="C501">
        <v>93.64</v>
      </c>
    </row>
    <row r="502" spans="1:3" x14ac:dyDescent="0.3">
      <c r="A502" s="284">
        <v>45212</v>
      </c>
      <c r="B502">
        <v>91.48</v>
      </c>
      <c r="C502">
        <v>91.49</v>
      </c>
    </row>
    <row r="503" spans="1:3" x14ac:dyDescent="0.3">
      <c r="A503" s="284">
        <v>45211</v>
      </c>
      <c r="B503">
        <v>91.42</v>
      </c>
      <c r="C503">
        <v>91.42</v>
      </c>
    </row>
    <row r="504" spans="1:3" x14ac:dyDescent="0.3">
      <c r="A504" s="284">
        <v>45210</v>
      </c>
      <c r="B504">
        <v>91.95</v>
      </c>
      <c r="C504">
        <v>91.95</v>
      </c>
    </row>
    <row r="505" spans="1:3" x14ac:dyDescent="0.3">
      <c r="A505" s="284">
        <v>45209</v>
      </c>
      <c r="B505">
        <v>93.18</v>
      </c>
      <c r="C505">
        <v>93.17</v>
      </c>
    </row>
    <row r="506" spans="1:3" x14ac:dyDescent="0.3">
      <c r="A506" s="284">
        <v>45208</v>
      </c>
      <c r="B506">
        <v>92.68</v>
      </c>
      <c r="C506">
        <v>92.69</v>
      </c>
    </row>
    <row r="507" spans="1:3" x14ac:dyDescent="0.3">
      <c r="A507" s="284">
        <v>45205</v>
      </c>
      <c r="B507">
        <v>92.85</v>
      </c>
      <c r="C507">
        <v>92.83</v>
      </c>
    </row>
    <row r="508" spans="1:3" x14ac:dyDescent="0.3">
      <c r="A508" s="284">
        <v>45204</v>
      </c>
      <c r="B508">
        <v>92.37</v>
      </c>
      <c r="C508">
        <v>92.36</v>
      </c>
    </row>
    <row r="509" spans="1:3" x14ac:dyDescent="0.3">
      <c r="A509" s="284">
        <v>45203</v>
      </c>
      <c r="B509">
        <v>91.15</v>
      </c>
      <c r="C509">
        <v>91.13</v>
      </c>
    </row>
    <row r="510" spans="1:3" x14ac:dyDescent="0.3">
      <c r="A510" s="284">
        <v>45202</v>
      </c>
      <c r="B510">
        <v>89.48</v>
      </c>
      <c r="C510">
        <v>89.47</v>
      </c>
    </row>
    <row r="511" spans="1:3" x14ac:dyDescent="0.3">
      <c r="A511" s="284">
        <v>45201</v>
      </c>
      <c r="B511">
        <v>91.13</v>
      </c>
      <c r="C511">
        <v>91.12</v>
      </c>
    </row>
    <row r="512" spans="1:3" x14ac:dyDescent="0.3">
      <c r="A512" s="284">
        <v>45198</v>
      </c>
      <c r="B512">
        <v>91.27</v>
      </c>
      <c r="C512">
        <v>91.27</v>
      </c>
    </row>
    <row r="513" spans="1:3" x14ac:dyDescent="0.3">
      <c r="A513" s="284">
        <v>45197</v>
      </c>
      <c r="B513">
        <v>91.08</v>
      </c>
      <c r="C513">
        <v>91.08</v>
      </c>
    </row>
    <row r="514" spans="1:3" x14ac:dyDescent="0.3">
      <c r="A514" s="284">
        <v>45196</v>
      </c>
      <c r="B514">
        <v>91.17</v>
      </c>
      <c r="C514">
        <v>91.16</v>
      </c>
    </row>
    <row r="515" spans="1:3" x14ac:dyDescent="0.3">
      <c r="A515" s="284">
        <v>45195</v>
      </c>
      <c r="B515">
        <v>92</v>
      </c>
      <c r="C515">
        <v>91.97</v>
      </c>
    </row>
    <row r="516" spans="1:3" x14ac:dyDescent="0.3">
      <c r="A516" s="284">
        <v>45194</v>
      </c>
      <c r="B516">
        <v>92.74</v>
      </c>
      <c r="C516">
        <v>92.73</v>
      </c>
    </row>
    <row r="517" spans="1:3" x14ac:dyDescent="0.3">
      <c r="A517" s="284">
        <v>45191</v>
      </c>
      <c r="B517">
        <v>93.68</v>
      </c>
      <c r="C517">
        <v>93.65</v>
      </c>
    </row>
    <row r="518" spans="1:3" x14ac:dyDescent="0.3">
      <c r="A518" s="284">
        <v>45190</v>
      </c>
      <c r="B518">
        <v>93.1</v>
      </c>
      <c r="C518">
        <v>93.09</v>
      </c>
    </row>
    <row r="519" spans="1:3" x14ac:dyDescent="0.3">
      <c r="A519" s="284">
        <v>45189</v>
      </c>
      <c r="B519">
        <v>95.16</v>
      </c>
      <c r="C519">
        <v>95.15</v>
      </c>
    </row>
    <row r="520" spans="1:3" x14ac:dyDescent="0.3">
      <c r="A520" s="284">
        <v>45188</v>
      </c>
      <c r="B520">
        <v>95.29</v>
      </c>
      <c r="C520">
        <v>95.28</v>
      </c>
    </row>
    <row r="521" spans="1:3" x14ac:dyDescent="0.3">
      <c r="A521" s="284">
        <v>45187</v>
      </c>
      <c r="B521">
        <v>96.76</v>
      </c>
      <c r="C521">
        <v>96.74</v>
      </c>
    </row>
    <row r="522" spans="1:3" x14ac:dyDescent="0.3">
      <c r="A522" s="284">
        <v>45184</v>
      </c>
      <c r="B522">
        <v>96.23</v>
      </c>
      <c r="C522">
        <v>96.22</v>
      </c>
    </row>
    <row r="523" spans="1:3" x14ac:dyDescent="0.3">
      <c r="A523" s="284">
        <v>45183</v>
      </c>
      <c r="B523">
        <v>97.16</v>
      </c>
      <c r="C523">
        <v>97.14</v>
      </c>
    </row>
    <row r="524" spans="1:3" x14ac:dyDescent="0.3">
      <c r="A524" s="284">
        <v>45182</v>
      </c>
      <c r="B524">
        <v>96.93</v>
      </c>
      <c r="C524">
        <v>96.93</v>
      </c>
    </row>
    <row r="525" spans="1:3" x14ac:dyDescent="0.3">
      <c r="A525" s="284">
        <v>45181</v>
      </c>
      <c r="B525">
        <v>96.24</v>
      </c>
      <c r="C525">
        <v>96.23</v>
      </c>
    </row>
    <row r="526" spans="1:3" x14ac:dyDescent="0.3">
      <c r="A526" s="284">
        <v>45180</v>
      </c>
      <c r="B526">
        <v>95.67</v>
      </c>
      <c r="C526">
        <v>95.65</v>
      </c>
    </row>
    <row r="527" spans="1:3" x14ac:dyDescent="0.3">
      <c r="A527" s="284">
        <v>45177</v>
      </c>
      <c r="B527">
        <v>95.28</v>
      </c>
      <c r="C527">
        <v>95.26</v>
      </c>
    </row>
    <row r="528" spans="1:3" x14ac:dyDescent="0.3">
      <c r="A528" s="284">
        <v>45176</v>
      </c>
      <c r="B528">
        <v>95.1</v>
      </c>
      <c r="C528">
        <v>95.11</v>
      </c>
    </row>
    <row r="529" spans="1:3" x14ac:dyDescent="0.3">
      <c r="A529" s="284">
        <v>45175</v>
      </c>
      <c r="B529">
        <v>95.95</v>
      </c>
      <c r="C529">
        <v>95.97</v>
      </c>
    </row>
    <row r="530" spans="1:3" x14ac:dyDescent="0.3">
      <c r="A530" s="284">
        <v>45174</v>
      </c>
      <c r="B530">
        <v>96.84</v>
      </c>
      <c r="C530">
        <v>96.8</v>
      </c>
    </row>
    <row r="531" spans="1:3" x14ac:dyDescent="0.3">
      <c r="A531" s="284">
        <v>45170</v>
      </c>
      <c r="B531">
        <v>98</v>
      </c>
      <c r="C531">
        <v>97.99</v>
      </c>
    </row>
    <row r="532" spans="1:3" x14ac:dyDescent="0.3">
      <c r="A532" s="284">
        <v>45169</v>
      </c>
      <c r="B532">
        <v>97.44</v>
      </c>
      <c r="C532">
        <v>97.44</v>
      </c>
    </row>
    <row r="533" spans="1:3" x14ac:dyDescent="0.3">
      <c r="A533" s="284">
        <v>45168</v>
      </c>
      <c r="B533">
        <v>99.24</v>
      </c>
      <c r="C533">
        <v>99.23</v>
      </c>
    </row>
    <row r="534" spans="1:3" x14ac:dyDescent="0.3">
      <c r="A534" s="284">
        <v>45167</v>
      </c>
      <c r="B534">
        <v>99.15</v>
      </c>
      <c r="C534">
        <v>99.15</v>
      </c>
    </row>
    <row r="535" spans="1:3" x14ac:dyDescent="0.3">
      <c r="A535" s="284">
        <v>45166</v>
      </c>
      <c r="B535">
        <v>97.04</v>
      </c>
      <c r="C535">
        <v>97.05</v>
      </c>
    </row>
    <row r="536" spans="1:3" x14ac:dyDescent="0.3">
      <c r="A536" s="284">
        <v>45163</v>
      </c>
      <c r="B536">
        <v>95.48</v>
      </c>
      <c r="C536">
        <v>95.46</v>
      </c>
    </row>
    <row r="537" spans="1:3" x14ac:dyDescent="0.3">
      <c r="A537" s="284">
        <v>45162</v>
      </c>
      <c r="B537">
        <v>94.83</v>
      </c>
      <c r="C537">
        <v>94.82</v>
      </c>
    </row>
    <row r="538" spans="1:3" x14ac:dyDescent="0.3">
      <c r="A538" s="284">
        <v>45161</v>
      </c>
      <c r="B538">
        <v>95.18</v>
      </c>
      <c r="C538">
        <v>95.18</v>
      </c>
    </row>
    <row r="539" spans="1:3" x14ac:dyDescent="0.3">
      <c r="A539" s="284">
        <v>45160</v>
      </c>
      <c r="B539">
        <v>96.07</v>
      </c>
      <c r="C539">
        <v>96.07</v>
      </c>
    </row>
    <row r="540" spans="1:3" x14ac:dyDescent="0.3">
      <c r="A540" s="284">
        <v>45159</v>
      </c>
      <c r="B540">
        <v>96.46</v>
      </c>
      <c r="C540">
        <v>96.43</v>
      </c>
    </row>
    <row r="541" spans="1:3" x14ac:dyDescent="0.3">
      <c r="A541" s="284">
        <v>45156</v>
      </c>
      <c r="B541">
        <v>97.23</v>
      </c>
      <c r="C541">
        <v>97.25</v>
      </c>
    </row>
    <row r="542" spans="1:3" x14ac:dyDescent="0.3">
      <c r="A542" s="284">
        <v>45155</v>
      </c>
      <c r="B542">
        <v>96.57</v>
      </c>
      <c r="C542">
        <v>96.55</v>
      </c>
    </row>
    <row r="543" spans="1:3" x14ac:dyDescent="0.3">
      <c r="A543" s="284">
        <v>45154</v>
      </c>
      <c r="B543">
        <v>98.98</v>
      </c>
      <c r="C543">
        <v>98.97</v>
      </c>
    </row>
    <row r="544" spans="1:3" x14ac:dyDescent="0.3">
      <c r="A544" s="284">
        <v>45153</v>
      </c>
      <c r="B544">
        <v>100.04</v>
      </c>
      <c r="C544">
        <v>100.06</v>
      </c>
    </row>
    <row r="545" spans="1:3" x14ac:dyDescent="0.3">
      <c r="A545" s="284">
        <v>45152</v>
      </c>
      <c r="B545">
        <v>101.01</v>
      </c>
      <c r="C545">
        <v>101.05</v>
      </c>
    </row>
    <row r="546" spans="1:3" x14ac:dyDescent="0.3">
      <c r="A546" s="284">
        <v>45149</v>
      </c>
      <c r="B546">
        <v>100.99</v>
      </c>
      <c r="C546">
        <v>101</v>
      </c>
    </row>
    <row r="547" spans="1:3" x14ac:dyDescent="0.3">
      <c r="A547" s="284">
        <v>45148</v>
      </c>
      <c r="B547">
        <v>101.66</v>
      </c>
      <c r="C547">
        <v>101.65</v>
      </c>
    </row>
    <row r="548" spans="1:3" x14ac:dyDescent="0.3">
      <c r="A548" s="284">
        <v>45147</v>
      </c>
      <c r="B548">
        <v>99.92</v>
      </c>
      <c r="C548">
        <v>99.92</v>
      </c>
    </row>
    <row r="549" spans="1:3" x14ac:dyDescent="0.3">
      <c r="A549" s="284">
        <v>45146</v>
      </c>
      <c r="B549">
        <v>100.69499999999999</v>
      </c>
      <c r="C549">
        <v>100.69</v>
      </c>
    </row>
    <row r="550" spans="1:3" x14ac:dyDescent="0.3">
      <c r="A550" s="284">
        <v>45145</v>
      </c>
      <c r="B550">
        <v>101.74</v>
      </c>
      <c r="C550">
        <v>101.72</v>
      </c>
    </row>
    <row r="551" spans="1:3" x14ac:dyDescent="0.3">
      <c r="A551" s="284">
        <v>45142</v>
      </c>
      <c r="B551">
        <v>100.68</v>
      </c>
      <c r="C551">
        <v>100.67</v>
      </c>
    </row>
    <row r="552" spans="1:3" x14ac:dyDescent="0.3">
      <c r="A552" s="284">
        <v>45141</v>
      </c>
      <c r="B552">
        <v>102.33</v>
      </c>
      <c r="C552">
        <v>102.3</v>
      </c>
    </row>
    <row r="553" spans="1:3" x14ac:dyDescent="0.3">
      <c r="A553" s="284">
        <v>45140</v>
      </c>
      <c r="B553">
        <v>102.13</v>
      </c>
      <c r="C553">
        <v>102.13</v>
      </c>
    </row>
    <row r="554" spans="1:3" x14ac:dyDescent="0.3">
      <c r="A554" s="284">
        <v>45139</v>
      </c>
      <c r="B554">
        <v>101.26</v>
      </c>
      <c r="C554">
        <v>101.27</v>
      </c>
    </row>
    <row r="555" spans="1:3" x14ac:dyDescent="0.3">
      <c r="A555" s="284">
        <v>45138</v>
      </c>
      <c r="B555">
        <v>101.57</v>
      </c>
      <c r="C555">
        <v>101.63</v>
      </c>
    </row>
    <row r="556" spans="1:3" x14ac:dyDescent="0.3">
      <c r="A556" s="284">
        <v>45135</v>
      </c>
      <c r="B556">
        <v>101.25</v>
      </c>
      <c r="C556">
        <v>101.21</v>
      </c>
    </row>
    <row r="557" spans="1:3" x14ac:dyDescent="0.3">
      <c r="A557" s="284">
        <v>45134</v>
      </c>
      <c r="B557">
        <v>100.78</v>
      </c>
      <c r="C557">
        <v>100.75</v>
      </c>
    </row>
    <row r="558" spans="1:3" x14ac:dyDescent="0.3">
      <c r="A558" s="284">
        <v>45133</v>
      </c>
      <c r="B558">
        <v>101.73</v>
      </c>
      <c r="C558">
        <v>101.74</v>
      </c>
    </row>
    <row r="559" spans="1:3" x14ac:dyDescent="0.3">
      <c r="A559" s="284">
        <v>45132</v>
      </c>
      <c r="B559">
        <v>102.92</v>
      </c>
      <c r="C559">
        <v>102.92</v>
      </c>
    </row>
    <row r="560" spans="1:3" x14ac:dyDescent="0.3">
      <c r="A560" s="284">
        <v>45131</v>
      </c>
      <c r="B560">
        <v>102.78</v>
      </c>
      <c r="C560">
        <v>102.76</v>
      </c>
    </row>
    <row r="561" spans="1:3" x14ac:dyDescent="0.3">
      <c r="A561" s="284">
        <v>45128</v>
      </c>
      <c r="B561">
        <v>102.82</v>
      </c>
      <c r="C561">
        <v>102.82</v>
      </c>
    </row>
    <row r="562" spans="1:3" x14ac:dyDescent="0.3">
      <c r="A562" s="284">
        <v>45127</v>
      </c>
      <c r="B562">
        <v>100.88</v>
      </c>
      <c r="C562">
        <v>100.87</v>
      </c>
    </row>
    <row r="563" spans="1:3" x14ac:dyDescent="0.3">
      <c r="A563" s="284">
        <v>45126</v>
      </c>
      <c r="B563">
        <v>101.83</v>
      </c>
      <c r="C563">
        <v>101.83</v>
      </c>
    </row>
    <row r="564" spans="1:3" x14ac:dyDescent="0.3">
      <c r="A564" s="284">
        <v>45125</v>
      </c>
      <c r="B564">
        <v>100.76</v>
      </c>
      <c r="C564">
        <v>100.76</v>
      </c>
    </row>
    <row r="565" spans="1:3" x14ac:dyDescent="0.3">
      <c r="A565" s="284">
        <v>45124</v>
      </c>
      <c r="B565">
        <v>100.93</v>
      </c>
      <c r="C565">
        <v>100.92</v>
      </c>
    </row>
    <row r="566" spans="1:3" x14ac:dyDescent="0.3">
      <c r="A566" s="284">
        <v>45121</v>
      </c>
      <c r="B566">
        <v>101.61</v>
      </c>
      <c r="C566">
        <v>101.65</v>
      </c>
    </row>
    <row r="567" spans="1:3" x14ac:dyDescent="0.3">
      <c r="A567" s="284">
        <v>45120</v>
      </c>
      <c r="B567">
        <v>101.6</v>
      </c>
      <c r="C567">
        <v>101.58</v>
      </c>
    </row>
    <row r="568" spans="1:3" x14ac:dyDescent="0.3">
      <c r="A568" s="284">
        <v>45119</v>
      </c>
      <c r="B568">
        <v>101.14</v>
      </c>
      <c r="C568">
        <v>101.16</v>
      </c>
    </row>
    <row r="569" spans="1:3" x14ac:dyDescent="0.3">
      <c r="A569" s="284">
        <v>45118</v>
      </c>
      <c r="B569">
        <v>100.09</v>
      </c>
      <c r="C569">
        <v>100.09</v>
      </c>
    </row>
    <row r="570" spans="1:3" x14ac:dyDescent="0.3">
      <c r="A570" s="284">
        <v>45117</v>
      </c>
      <c r="B570">
        <v>99.13</v>
      </c>
      <c r="C570">
        <v>99.15</v>
      </c>
    </row>
    <row r="571" spans="1:3" x14ac:dyDescent="0.3">
      <c r="A571" s="284">
        <v>45114</v>
      </c>
      <c r="B571">
        <v>96.05</v>
      </c>
      <c r="C571">
        <v>96.06</v>
      </c>
    </row>
    <row r="572" spans="1:3" x14ac:dyDescent="0.3">
      <c r="A572" s="284">
        <v>45113</v>
      </c>
      <c r="B572">
        <v>96.2</v>
      </c>
      <c r="C572">
        <v>96.19</v>
      </c>
    </row>
    <row r="573" spans="1:3" x14ac:dyDescent="0.3">
      <c r="A573" s="284">
        <v>45112</v>
      </c>
      <c r="B573">
        <v>98.46</v>
      </c>
      <c r="C573">
        <v>98.47</v>
      </c>
    </row>
    <row r="574" spans="1:3" x14ac:dyDescent="0.3">
      <c r="A574" s="284">
        <v>45110</v>
      </c>
      <c r="B574">
        <v>99.15</v>
      </c>
      <c r="C574">
        <v>99.17</v>
      </c>
    </row>
    <row r="575" spans="1:3" x14ac:dyDescent="0.3">
      <c r="A575" s="284">
        <v>45107</v>
      </c>
      <c r="B575">
        <v>99.06</v>
      </c>
      <c r="C575">
        <v>99.02</v>
      </c>
    </row>
    <row r="576" spans="1:3" x14ac:dyDescent="0.3">
      <c r="A576" s="284">
        <v>45106</v>
      </c>
      <c r="B576">
        <v>98.68</v>
      </c>
      <c r="C576">
        <v>98.69</v>
      </c>
    </row>
    <row r="577" spans="1:3" x14ac:dyDescent="0.3">
      <c r="A577" s="284">
        <v>45105</v>
      </c>
      <c r="B577">
        <v>98.61</v>
      </c>
      <c r="C577">
        <v>98.6</v>
      </c>
    </row>
    <row r="578" spans="1:3" x14ac:dyDescent="0.3">
      <c r="A578" s="284">
        <v>45104</v>
      </c>
      <c r="B578">
        <v>98.72</v>
      </c>
      <c r="C578">
        <v>98.76</v>
      </c>
    </row>
    <row r="579" spans="1:3" x14ac:dyDescent="0.3">
      <c r="A579" s="284">
        <v>45103</v>
      </c>
      <c r="B579">
        <v>98.23</v>
      </c>
      <c r="C579">
        <v>98.23</v>
      </c>
    </row>
    <row r="580" spans="1:3" x14ac:dyDescent="0.3">
      <c r="A580" s="284">
        <v>45100</v>
      </c>
      <c r="B580">
        <v>98.34</v>
      </c>
      <c r="C580">
        <v>98.28</v>
      </c>
    </row>
    <row r="581" spans="1:3" x14ac:dyDescent="0.3">
      <c r="A581" s="284">
        <v>45099</v>
      </c>
      <c r="B581">
        <v>100.85</v>
      </c>
      <c r="C581">
        <v>100.82</v>
      </c>
    </row>
    <row r="582" spans="1:3" x14ac:dyDescent="0.3">
      <c r="A582" s="284">
        <v>45098</v>
      </c>
      <c r="B582">
        <v>101.87</v>
      </c>
      <c r="C582">
        <v>101.87</v>
      </c>
    </row>
    <row r="583" spans="1:3" x14ac:dyDescent="0.3">
      <c r="A583" s="284">
        <v>45097</v>
      </c>
      <c r="B583">
        <v>101.27</v>
      </c>
      <c r="C583">
        <v>101.25</v>
      </c>
    </row>
    <row r="584" spans="1:3" x14ac:dyDescent="0.3">
      <c r="A584" s="284">
        <v>45093</v>
      </c>
      <c r="B584">
        <v>101.87</v>
      </c>
      <c r="C584">
        <v>101.87</v>
      </c>
    </row>
    <row r="585" spans="1:3" x14ac:dyDescent="0.3">
      <c r="A585" s="284">
        <v>45092</v>
      </c>
      <c r="B585">
        <v>101.38</v>
      </c>
      <c r="C585">
        <v>101.4</v>
      </c>
    </row>
    <row r="586" spans="1:3" x14ac:dyDescent="0.3">
      <c r="A586" s="284">
        <v>45091</v>
      </c>
      <c r="B586">
        <v>100.66</v>
      </c>
      <c r="C586">
        <v>100.67</v>
      </c>
    </row>
    <row r="587" spans="1:3" x14ac:dyDescent="0.3">
      <c r="A587" s="284">
        <v>45090</v>
      </c>
      <c r="B587">
        <v>99.26</v>
      </c>
      <c r="C587">
        <v>99.27</v>
      </c>
    </row>
    <row r="588" spans="1:3" x14ac:dyDescent="0.3">
      <c r="A588" s="284">
        <v>45089</v>
      </c>
      <c r="B588">
        <v>98.46</v>
      </c>
      <c r="C588">
        <v>98.47</v>
      </c>
    </row>
    <row r="589" spans="1:3" x14ac:dyDescent="0.3">
      <c r="A589" s="284">
        <v>45086</v>
      </c>
      <c r="B589">
        <v>97.96</v>
      </c>
      <c r="C589">
        <v>97.94</v>
      </c>
    </row>
    <row r="590" spans="1:3" x14ac:dyDescent="0.3">
      <c r="A590" s="284">
        <v>45085</v>
      </c>
      <c r="B590">
        <v>99.15</v>
      </c>
      <c r="C590">
        <v>99.11</v>
      </c>
    </row>
    <row r="591" spans="1:3" x14ac:dyDescent="0.3">
      <c r="A591" s="284">
        <v>45084</v>
      </c>
      <c r="B591">
        <v>97.92</v>
      </c>
      <c r="C591">
        <v>97.93</v>
      </c>
    </row>
    <row r="592" spans="1:3" x14ac:dyDescent="0.3">
      <c r="A592" s="284">
        <v>45083</v>
      </c>
      <c r="B592">
        <v>98.22</v>
      </c>
      <c r="C592">
        <v>98.22</v>
      </c>
    </row>
    <row r="593" spans="1:3" x14ac:dyDescent="0.3">
      <c r="A593" s="284">
        <v>45082</v>
      </c>
      <c r="B593">
        <v>99.93</v>
      </c>
      <c r="C593">
        <v>99.92</v>
      </c>
    </row>
    <row r="594" spans="1:3" x14ac:dyDescent="0.3">
      <c r="A594" s="284">
        <v>45079</v>
      </c>
      <c r="B594">
        <v>99.5</v>
      </c>
      <c r="C594">
        <v>99.52</v>
      </c>
    </row>
    <row r="595" spans="1:3" x14ac:dyDescent="0.3">
      <c r="A595" s="284">
        <v>45078</v>
      </c>
      <c r="B595">
        <v>97.52</v>
      </c>
      <c r="C595">
        <v>97.51</v>
      </c>
    </row>
    <row r="596" spans="1:3" x14ac:dyDescent="0.3">
      <c r="A596" s="284">
        <v>45077</v>
      </c>
      <c r="B596">
        <v>97.64</v>
      </c>
      <c r="C596">
        <v>97.61</v>
      </c>
    </row>
    <row r="597" spans="1:3" x14ac:dyDescent="0.3">
      <c r="A597" s="284">
        <v>45076</v>
      </c>
      <c r="B597">
        <v>97.75</v>
      </c>
      <c r="C597">
        <v>97.76</v>
      </c>
    </row>
    <row r="598" spans="1:3" x14ac:dyDescent="0.3">
      <c r="A598" s="284">
        <v>45072</v>
      </c>
      <c r="B598">
        <v>98.53</v>
      </c>
      <c r="C598">
        <v>98.51</v>
      </c>
    </row>
    <row r="599" spans="1:3" x14ac:dyDescent="0.3">
      <c r="A599" s="284">
        <v>45071</v>
      </c>
      <c r="B599">
        <v>98.44</v>
      </c>
      <c r="C599">
        <v>98.42</v>
      </c>
    </row>
    <row r="600" spans="1:3" x14ac:dyDescent="0.3">
      <c r="A600" s="284">
        <v>45070</v>
      </c>
      <c r="B600">
        <v>99.61</v>
      </c>
      <c r="C600">
        <v>99.6</v>
      </c>
    </row>
    <row r="601" spans="1:3" x14ac:dyDescent="0.3">
      <c r="A601" s="284">
        <v>45069</v>
      </c>
      <c r="B601">
        <v>100.34</v>
      </c>
      <c r="C601">
        <v>100.34</v>
      </c>
    </row>
    <row r="602" spans="1:3" x14ac:dyDescent="0.3">
      <c r="A602" s="284">
        <v>45068</v>
      </c>
      <c r="B602">
        <v>102.9</v>
      </c>
      <c r="C602">
        <v>102.9</v>
      </c>
    </row>
    <row r="603" spans="1:3" x14ac:dyDescent="0.3">
      <c r="A603" s="284">
        <v>45065</v>
      </c>
      <c r="B603">
        <v>105.51</v>
      </c>
      <c r="C603">
        <v>105.48</v>
      </c>
    </row>
    <row r="604" spans="1:3" x14ac:dyDescent="0.3">
      <c r="A604" s="284">
        <v>45064</v>
      </c>
      <c r="B604">
        <v>107.09</v>
      </c>
      <c r="C604">
        <v>107.09</v>
      </c>
    </row>
    <row r="605" spans="1:3" x14ac:dyDescent="0.3">
      <c r="A605" s="284">
        <v>45063</v>
      </c>
      <c r="B605">
        <v>105.69</v>
      </c>
      <c r="C605">
        <v>105.68</v>
      </c>
    </row>
    <row r="606" spans="1:3" x14ac:dyDescent="0.3">
      <c r="A606" s="284">
        <v>45062</v>
      </c>
      <c r="B606">
        <v>105.28</v>
      </c>
      <c r="C606">
        <v>105.27</v>
      </c>
    </row>
    <row r="607" spans="1:3" x14ac:dyDescent="0.3">
      <c r="A607" s="284">
        <v>45061</v>
      </c>
      <c r="B607">
        <v>106.64</v>
      </c>
      <c r="C607">
        <v>106.62</v>
      </c>
    </row>
    <row r="608" spans="1:3" x14ac:dyDescent="0.3">
      <c r="A608" s="284">
        <v>45058</v>
      </c>
      <c r="B608">
        <v>106.12</v>
      </c>
      <c r="C608">
        <v>106.11</v>
      </c>
    </row>
    <row r="609" spans="1:3" x14ac:dyDescent="0.3">
      <c r="A609" s="284">
        <v>45057</v>
      </c>
      <c r="B609">
        <v>105.63</v>
      </c>
      <c r="C609">
        <v>105.62</v>
      </c>
    </row>
    <row r="610" spans="1:3" x14ac:dyDescent="0.3">
      <c r="A610" s="284">
        <v>45056</v>
      </c>
      <c r="B610">
        <v>106.97</v>
      </c>
      <c r="C610">
        <v>106.96</v>
      </c>
    </row>
    <row r="611" spans="1:3" x14ac:dyDescent="0.3">
      <c r="A611" s="284">
        <v>45055</v>
      </c>
      <c r="B611">
        <v>106.71</v>
      </c>
      <c r="C611">
        <v>106.73</v>
      </c>
    </row>
    <row r="612" spans="1:3" x14ac:dyDescent="0.3">
      <c r="A612" s="284">
        <v>45054</v>
      </c>
      <c r="B612">
        <v>107.17</v>
      </c>
      <c r="C612">
        <v>107.16</v>
      </c>
    </row>
    <row r="613" spans="1:3" x14ac:dyDescent="0.3">
      <c r="A613" s="284">
        <v>45051</v>
      </c>
      <c r="B613">
        <v>107.21</v>
      </c>
      <c r="C613">
        <v>107.19</v>
      </c>
    </row>
    <row r="614" spans="1:3" x14ac:dyDescent="0.3">
      <c r="A614" s="284">
        <v>45050</v>
      </c>
      <c r="B614">
        <v>104.72</v>
      </c>
      <c r="C614">
        <v>104.7</v>
      </c>
    </row>
    <row r="615" spans="1:3" x14ac:dyDescent="0.3">
      <c r="A615" s="284">
        <v>45049</v>
      </c>
      <c r="B615">
        <v>103.96</v>
      </c>
      <c r="C615">
        <v>103.95</v>
      </c>
    </row>
    <row r="616" spans="1:3" x14ac:dyDescent="0.3">
      <c r="A616" s="284">
        <v>45048</v>
      </c>
      <c r="B616">
        <v>114.46</v>
      </c>
      <c r="C616">
        <v>114.44</v>
      </c>
    </row>
    <row r="617" spans="1:3" x14ac:dyDescent="0.3">
      <c r="A617" s="284">
        <v>45047</v>
      </c>
      <c r="B617">
        <v>114.56</v>
      </c>
      <c r="C617">
        <v>114.52</v>
      </c>
    </row>
    <row r="618" spans="1:3" x14ac:dyDescent="0.3">
      <c r="A618" s="284">
        <v>45044</v>
      </c>
      <c r="B618">
        <v>114.29</v>
      </c>
      <c r="C618">
        <v>114.3</v>
      </c>
    </row>
    <row r="619" spans="1:3" x14ac:dyDescent="0.3">
      <c r="A619" s="284">
        <v>45043</v>
      </c>
      <c r="B619">
        <v>112.75</v>
      </c>
      <c r="C619">
        <v>112.73</v>
      </c>
    </row>
    <row r="620" spans="1:3" x14ac:dyDescent="0.3">
      <c r="A620" s="284">
        <v>45042</v>
      </c>
      <c r="B620">
        <v>111.47</v>
      </c>
      <c r="C620">
        <v>111.47</v>
      </c>
    </row>
    <row r="621" spans="1:3" x14ac:dyDescent="0.3">
      <c r="A621" s="284">
        <v>45041</v>
      </c>
      <c r="B621">
        <v>109.34</v>
      </c>
      <c r="C621">
        <v>109.32</v>
      </c>
    </row>
    <row r="622" spans="1:3" x14ac:dyDescent="0.3">
      <c r="A622" s="284">
        <v>45040</v>
      </c>
      <c r="B622">
        <v>109.29</v>
      </c>
      <c r="C622">
        <v>109.28</v>
      </c>
    </row>
    <row r="623" spans="1:3" x14ac:dyDescent="0.3">
      <c r="A623" s="284">
        <v>45037</v>
      </c>
      <c r="B623">
        <v>108.19</v>
      </c>
      <c r="C623">
        <v>108.19</v>
      </c>
    </row>
    <row r="624" spans="1:3" x14ac:dyDescent="0.3">
      <c r="A624" s="284">
        <v>45036</v>
      </c>
      <c r="B624">
        <v>107.05</v>
      </c>
      <c r="C624">
        <v>107.07</v>
      </c>
    </row>
    <row r="625" spans="1:3" x14ac:dyDescent="0.3">
      <c r="A625" s="284">
        <v>45035</v>
      </c>
      <c r="B625">
        <v>107.16</v>
      </c>
      <c r="C625">
        <v>107.16</v>
      </c>
    </row>
    <row r="626" spans="1:3" x14ac:dyDescent="0.3">
      <c r="A626" s="284">
        <v>45034</v>
      </c>
      <c r="B626">
        <v>107.91</v>
      </c>
      <c r="C626">
        <v>107.91</v>
      </c>
    </row>
    <row r="627" spans="1:3" x14ac:dyDescent="0.3">
      <c r="A627" s="284">
        <v>45033</v>
      </c>
      <c r="B627">
        <v>108.31</v>
      </c>
      <c r="C627">
        <v>108.32</v>
      </c>
    </row>
    <row r="628" spans="1:3" x14ac:dyDescent="0.3">
      <c r="A628" s="284">
        <v>45030</v>
      </c>
      <c r="B628">
        <v>107.47</v>
      </c>
      <c r="C628">
        <v>107.47</v>
      </c>
    </row>
    <row r="629" spans="1:3" x14ac:dyDescent="0.3">
      <c r="A629" s="284">
        <v>45029</v>
      </c>
      <c r="B629">
        <v>106.99</v>
      </c>
      <c r="C629">
        <v>107</v>
      </c>
    </row>
    <row r="630" spans="1:3" x14ac:dyDescent="0.3">
      <c r="A630" s="284">
        <v>45028</v>
      </c>
      <c r="B630">
        <v>105.6</v>
      </c>
      <c r="C630">
        <v>105.63</v>
      </c>
    </row>
    <row r="631" spans="1:3" x14ac:dyDescent="0.3">
      <c r="A631" s="284">
        <v>45027</v>
      </c>
      <c r="B631">
        <v>105.74</v>
      </c>
      <c r="C631">
        <v>105.77</v>
      </c>
    </row>
    <row r="632" spans="1:3" x14ac:dyDescent="0.3">
      <c r="A632" s="284">
        <v>45026</v>
      </c>
      <c r="B632">
        <v>104.74</v>
      </c>
      <c r="C632">
        <v>104.74</v>
      </c>
    </row>
    <row r="633" spans="1:3" x14ac:dyDescent="0.3">
      <c r="A633" s="284">
        <v>45022</v>
      </c>
      <c r="B633">
        <v>104.68</v>
      </c>
      <c r="C633">
        <v>104.68</v>
      </c>
    </row>
    <row r="634" spans="1:3" x14ac:dyDescent="0.3">
      <c r="A634" s="284">
        <v>45021</v>
      </c>
      <c r="B634">
        <v>104.9</v>
      </c>
      <c r="C634">
        <v>104.88</v>
      </c>
    </row>
    <row r="635" spans="1:3" x14ac:dyDescent="0.3">
      <c r="A635" s="284">
        <v>45020</v>
      </c>
      <c r="B635">
        <v>104</v>
      </c>
      <c r="C635">
        <v>104.02</v>
      </c>
    </row>
    <row r="636" spans="1:3" x14ac:dyDescent="0.3">
      <c r="A636" s="284">
        <v>45019</v>
      </c>
      <c r="B636">
        <v>104.85</v>
      </c>
      <c r="C636">
        <v>104.82</v>
      </c>
    </row>
    <row r="637" spans="1:3" x14ac:dyDescent="0.3">
      <c r="A637" s="284">
        <v>45016</v>
      </c>
      <c r="B637">
        <v>104.13</v>
      </c>
      <c r="C637">
        <v>104.13</v>
      </c>
    </row>
    <row r="638" spans="1:3" x14ac:dyDescent="0.3">
      <c r="A638" s="284">
        <v>45015</v>
      </c>
      <c r="B638">
        <v>101.32</v>
      </c>
      <c r="C638">
        <v>101.32</v>
      </c>
    </row>
    <row r="639" spans="1:3" x14ac:dyDescent="0.3">
      <c r="A639" s="284">
        <v>45014</v>
      </c>
      <c r="B639">
        <v>100.62</v>
      </c>
      <c r="C639">
        <v>100.62</v>
      </c>
    </row>
    <row r="640" spans="1:3" x14ac:dyDescent="0.3">
      <c r="A640" s="284">
        <v>45013</v>
      </c>
      <c r="B640">
        <v>98.72</v>
      </c>
      <c r="C640">
        <v>98.71</v>
      </c>
    </row>
    <row r="641" spans="1:3" x14ac:dyDescent="0.3">
      <c r="A641" s="284">
        <v>45012</v>
      </c>
      <c r="B641">
        <v>98.66</v>
      </c>
      <c r="C641">
        <v>98.7</v>
      </c>
    </row>
    <row r="642" spans="1:3" x14ac:dyDescent="0.3">
      <c r="A642" s="284">
        <v>45009</v>
      </c>
      <c r="B642">
        <v>98.34</v>
      </c>
      <c r="C642">
        <v>98.31</v>
      </c>
    </row>
    <row r="643" spans="1:3" x14ac:dyDescent="0.3">
      <c r="A643" s="284">
        <v>45008</v>
      </c>
      <c r="B643">
        <v>98.42</v>
      </c>
      <c r="C643">
        <v>98.39</v>
      </c>
    </row>
    <row r="644" spans="1:3" x14ac:dyDescent="0.3">
      <c r="A644" s="284">
        <v>45007</v>
      </c>
      <c r="B644">
        <v>99.12</v>
      </c>
      <c r="C644">
        <v>99.07</v>
      </c>
    </row>
    <row r="645" spans="1:3" x14ac:dyDescent="0.3">
      <c r="A645" s="284">
        <v>45006</v>
      </c>
      <c r="B645">
        <v>100.54</v>
      </c>
      <c r="C645">
        <v>100.54</v>
      </c>
    </row>
    <row r="646" spans="1:3" x14ac:dyDescent="0.3">
      <c r="A646" s="284">
        <v>45005</v>
      </c>
      <c r="B646">
        <v>99.85</v>
      </c>
      <c r="C646">
        <v>99.84</v>
      </c>
    </row>
    <row r="647" spans="1:3" x14ac:dyDescent="0.3">
      <c r="A647" s="284">
        <v>45002</v>
      </c>
      <c r="B647">
        <v>98.7</v>
      </c>
      <c r="C647">
        <v>98.67</v>
      </c>
    </row>
    <row r="648" spans="1:3" x14ac:dyDescent="0.3">
      <c r="A648" s="284">
        <v>45001</v>
      </c>
      <c r="B648">
        <v>100.43</v>
      </c>
      <c r="C648">
        <v>100.4</v>
      </c>
    </row>
    <row r="649" spans="1:3" x14ac:dyDescent="0.3">
      <c r="A649" s="284">
        <v>45000</v>
      </c>
      <c r="B649">
        <v>99.34</v>
      </c>
      <c r="C649">
        <v>99.35</v>
      </c>
    </row>
    <row r="650" spans="1:3" x14ac:dyDescent="0.3">
      <c r="A650" s="284">
        <v>44999</v>
      </c>
      <c r="B650">
        <v>99.46</v>
      </c>
      <c r="C650">
        <v>99.41</v>
      </c>
    </row>
    <row r="651" spans="1:3" x14ac:dyDescent="0.3">
      <c r="A651" s="284">
        <v>44998</v>
      </c>
      <c r="B651">
        <v>99.08</v>
      </c>
      <c r="C651">
        <v>99.05</v>
      </c>
    </row>
    <row r="652" spans="1:3" x14ac:dyDescent="0.3">
      <c r="A652" s="284">
        <v>44995</v>
      </c>
      <c r="B652">
        <v>99.38</v>
      </c>
      <c r="C652">
        <v>99.37</v>
      </c>
    </row>
    <row r="653" spans="1:3" x14ac:dyDescent="0.3">
      <c r="A653" s="284">
        <v>44994</v>
      </c>
      <c r="B653">
        <v>100.3</v>
      </c>
      <c r="C653">
        <v>100.28</v>
      </c>
    </row>
    <row r="654" spans="1:3" x14ac:dyDescent="0.3">
      <c r="A654" s="284">
        <v>44993</v>
      </c>
      <c r="B654">
        <v>102.5</v>
      </c>
      <c r="C654">
        <v>102.49</v>
      </c>
    </row>
    <row r="655" spans="1:3" x14ac:dyDescent="0.3">
      <c r="A655" s="284">
        <v>44992</v>
      </c>
      <c r="B655">
        <v>103.34</v>
      </c>
      <c r="C655">
        <v>103.36</v>
      </c>
    </row>
    <row r="656" spans="1:3" x14ac:dyDescent="0.3">
      <c r="A656" s="284">
        <v>44991</v>
      </c>
      <c r="B656">
        <v>104.99</v>
      </c>
      <c r="C656">
        <v>104.99</v>
      </c>
    </row>
    <row r="657" spans="1:3" x14ac:dyDescent="0.3">
      <c r="A657" s="284">
        <v>44988</v>
      </c>
      <c r="B657">
        <v>104.55</v>
      </c>
      <c r="C657">
        <v>104.55</v>
      </c>
    </row>
    <row r="658" spans="1:3" x14ac:dyDescent="0.3">
      <c r="A658" s="284">
        <v>44987</v>
      </c>
      <c r="B658">
        <v>103.01</v>
      </c>
      <c r="C658">
        <v>103.02</v>
      </c>
    </row>
    <row r="659" spans="1:3" x14ac:dyDescent="0.3">
      <c r="A659" s="284">
        <v>44986</v>
      </c>
      <c r="B659">
        <v>101.43</v>
      </c>
      <c r="C659">
        <v>101.43</v>
      </c>
    </row>
    <row r="660" spans="1:3" x14ac:dyDescent="0.3">
      <c r="A660" s="284">
        <v>44985</v>
      </c>
      <c r="B660">
        <v>102.09</v>
      </c>
      <c r="C660">
        <v>102.08</v>
      </c>
    </row>
    <row r="661" spans="1:3" x14ac:dyDescent="0.3">
      <c r="A661" s="284">
        <v>44984</v>
      </c>
      <c r="B661">
        <v>102.44</v>
      </c>
      <c r="C661">
        <v>102.43</v>
      </c>
    </row>
    <row r="662" spans="1:3" x14ac:dyDescent="0.3">
      <c r="A662" s="284">
        <v>44981</v>
      </c>
      <c r="B662">
        <v>101.6</v>
      </c>
      <c r="C662">
        <v>101.59</v>
      </c>
    </row>
    <row r="663" spans="1:3" x14ac:dyDescent="0.3">
      <c r="A663" s="284">
        <v>44980</v>
      </c>
      <c r="B663">
        <v>103.51</v>
      </c>
      <c r="C663">
        <v>103.48</v>
      </c>
    </row>
    <row r="664" spans="1:3" x14ac:dyDescent="0.3">
      <c r="A664" s="284">
        <v>44979</v>
      </c>
      <c r="B664">
        <v>104.77</v>
      </c>
      <c r="C664">
        <v>104.8</v>
      </c>
    </row>
    <row r="665" spans="1:3" x14ac:dyDescent="0.3">
      <c r="A665" s="284">
        <v>44978</v>
      </c>
      <c r="B665">
        <v>104.78</v>
      </c>
      <c r="C665">
        <v>104.78</v>
      </c>
    </row>
    <row r="666" spans="1:3" x14ac:dyDescent="0.3">
      <c r="A666" s="284">
        <v>44974</v>
      </c>
      <c r="B666">
        <v>107.1</v>
      </c>
      <c r="C666">
        <v>107.07</v>
      </c>
    </row>
    <row r="667" spans="1:3" x14ac:dyDescent="0.3">
      <c r="A667" s="284">
        <v>44973</v>
      </c>
      <c r="B667">
        <v>107.54</v>
      </c>
      <c r="C667">
        <v>107.53</v>
      </c>
    </row>
    <row r="668" spans="1:3" x14ac:dyDescent="0.3">
      <c r="A668" s="284">
        <v>44972</v>
      </c>
      <c r="B668">
        <v>109</v>
      </c>
      <c r="C668">
        <v>108.99</v>
      </c>
    </row>
    <row r="669" spans="1:3" x14ac:dyDescent="0.3">
      <c r="A669" s="284">
        <v>44971</v>
      </c>
      <c r="B669">
        <v>107.98</v>
      </c>
      <c r="C669">
        <v>107.92</v>
      </c>
    </row>
    <row r="670" spans="1:3" x14ac:dyDescent="0.3">
      <c r="A670" s="284">
        <v>44970</v>
      </c>
      <c r="B670">
        <v>108.52</v>
      </c>
      <c r="C670">
        <v>108.52</v>
      </c>
    </row>
    <row r="671" spans="1:3" x14ac:dyDescent="0.3">
      <c r="A671" s="284">
        <v>44967</v>
      </c>
      <c r="B671">
        <v>107.09</v>
      </c>
      <c r="C671">
        <v>107.08</v>
      </c>
    </row>
    <row r="672" spans="1:3" x14ac:dyDescent="0.3">
      <c r="A672" s="284">
        <v>44966</v>
      </c>
      <c r="B672">
        <v>106.05</v>
      </c>
      <c r="C672">
        <v>106.01</v>
      </c>
    </row>
    <row r="673" spans="1:3" x14ac:dyDescent="0.3">
      <c r="A673" s="284">
        <v>44965</v>
      </c>
      <c r="B673">
        <v>106.3</v>
      </c>
      <c r="C673">
        <v>106.28</v>
      </c>
    </row>
    <row r="674" spans="1:3" x14ac:dyDescent="0.3">
      <c r="A674" s="284">
        <v>44964</v>
      </c>
      <c r="B674">
        <v>106.825</v>
      </c>
      <c r="C674">
        <v>106.81</v>
      </c>
    </row>
    <row r="675" spans="1:3" x14ac:dyDescent="0.3">
      <c r="A675" s="284">
        <v>44963</v>
      </c>
      <c r="B675">
        <v>105.02</v>
      </c>
      <c r="C675">
        <v>105.02</v>
      </c>
    </row>
    <row r="676" spans="1:3" x14ac:dyDescent="0.3">
      <c r="A676" s="284">
        <v>44960</v>
      </c>
      <c r="B676">
        <v>104.3</v>
      </c>
      <c r="C676">
        <v>104.28</v>
      </c>
    </row>
    <row r="677" spans="1:3" x14ac:dyDescent="0.3">
      <c r="A677" s="284">
        <v>44959</v>
      </c>
      <c r="B677">
        <v>109.15</v>
      </c>
      <c r="C677">
        <v>109.21</v>
      </c>
    </row>
    <row r="678" spans="1:3" x14ac:dyDescent="0.3">
      <c r="A678" s="284">
        <v>44958</v>
      </c>
      <c r="B678">
        <v>109.99</v>
      </c>
      <c r="C678">
        <v>109.98</v>
      </c>
    </row>
    <row r="679" spans="1:3" x14ac:dyDescent="0.3">
      <c r="A679" s="284">
        <v>44957</v>
      </c>
      <c r="B679">
        <v>109.14</v>
      </c>
      <c r="C679">
        <v>109.14</v>
      </c>
    </row>
    <row r="680" spans="1:3" x14ac:dyDescent="0.3">
      <c r="A680" s="284">
        <v>44956</v>
      </c>
      <c r="B680">
        <v>108.4</v>
      </c>
      <c r="C680">
        <v>108.4</v>
      </c>
    </row>
    <row r="681" spans="1:3" x14ac:dyDescent="0.3">
      <c r="A681" s="284">
        <v>44953</v>
      </c>
      <c r="B681">
        <v>109.02</v>
      </c>
      <c r="C681">
        <v>109.02</v>
      </c>
    </row>
    <row r="682" spans="1:3" x14ac:dyDescent="0.3">
      <c r="A682" s="284">
        <v>44952</v>
      </c>
      <c r="B682">
        <v>108.76</v>
      </c>
      <c r="C682">
        <v>108.74</v>
      </c>
    </row>
    <row r="683" spans="1:3" x14ac:dyDescent="0.3">
      <c r="A683" s="284">
        <v>44951</v>
      </c>
      <c r="B683">
        <v>106.98</v>
      </c>
      <c r="C683">
        <v>106.94</v>
      </c>
    </row>
    <row r="684" spans="1:3" x14ac:dyDescent="0.3">
      <c r="A684" s="284">
        <v>44950</v>
      </c>
      <c r="B684">
        <v>106.64</v>
      </c>
      <c r="C684">
        <v>106.62</v>
      </c>
    </row>
    <row r="685" spans="1:3" x14ac:dyDescent="0.3">
      <c r="A685" s="284">
        <v>44949</v>
      </c>
      <c r="B685">
        <v>106.21</v>
      </c>
      <c r="C685">
        <v>106.19</v>
      </c>
    </row>
    <row r="686" spans="1:3" x14ac:dyDescent="0.3">
      <c r="A686" s="284">
        <v>44946</v>
      </c>
      <c r="B686">
        <v>105.04</v>
      </c>
      <c r="C686">
        <v>104.99</v>
      </c>
    </row>
    <row r="687" spans="1:3" x14ac:dyDescent="0.3">
      <c r="A687" s="284">
        <v>44945</v>
      </c>
      <c r="B687">
        <v>104.26</v>
      </c>
      <c r="C687">
        <v>104.25</v>
      </c>
    </row>
    <row r="688" spans="1:3" x14ac:dyDescent="0.3">
      <c r="A688" s="284">
        <v>44944</v>
      </c>
      <c r="B688">
        <v>105</v>
      </c>
      <c r="C688">
        <v>105.02</v>
      </c>
    </row>
    <row r="689" spans="1:3" x14ac:dyDescent="0.3">
      <c r="A689" s="284">
        <v>44943</v>
      </c>
      <c r="B689">
        <v>106.75</v>
      </c>
      <c r="C689">
        <v>106.74</v>
      </c>
    </row>
    <row r="690" spans="1:3" x14ac:dyDescent="0.3">
      <c r="A690" s="284">
        <v>44939</v>
      </c>
      <c r="B690">
        <v>107.23</v>
      </c>
      <c r="C690">
        <v>107.23</v>
      </c>
    </row>
    <row r="691" spans="1:3" x14ac:dyDescent="0.3">
      <c r="A691" s="284">
        <v>44938</v>
      </c>
      <c r="B691">
        <v>105.85</v>
      </c>
      <c r="C691">
        <v>105.85</v>
      </c>
    </row>
    <row r="692" spans="1:3" x14ac:dyDescent="0.3">
      <c r="A692" s="284">
        <v>44937</v>
      </c>
      <c r="B692">
        <v>106.3</v>
      </c>
      <c r="C692">
        <v>106.27</v>
      </c>
    </row>
    <row r="693" spans="1:3" x14ac:dyDescent="0.3">
      <c r="A693" s="284">
        <v>44936</v>
      </c>
      <c r="B693">
        <v>106</v>
      </c>
      <c r="C693">
        <v>106.03</v>
      </c>
    </row>
    <row r="694" spans="1:3" x14ac:dyDescent="0.3">
      <c r="A694" s="284">
        <v>44935</v>
      </c>
      <c r="B694">
        <v>104.74</v>
      </c>
      <c r="C694">
        <v>104.74</v>
      </c>
    </row>
    <row r="695" spans="1:3" x14ac:dyDescent="0.3">
      <c r="A695" s="284">
        <v>44932</v>
      </c>
      <c r="B695">
        <v>106.69</v>
      </c>
      <c r="C695">
        <v>106.66</v>
      </c>
    </row>
    <row r="696" spans="1:3" x14ac:dyDescent="0.3">
      <c r="A696" s="284">
        <v>44931</v>
      </c>
      <c r="B696">
        <v>104.43</v>
      </c>
      <c r="C696">
        <v>104.43</v>
      </c>
    </row>
    <row r="697" spans="1:3" x14ac:dyDescent="0.3">
      <c r="A697" s="284">
        <v>44930</v>
      </c>
      <c r="B697">
        <v>104.46</v>
      </c>
      <c r="C697">
        <v>104.47</v>
      </c>
    </row>
    <row r="698" spans="1:3" x14ac:dyDescent="0.3">
      <c r="A698" s="284">
        <v>44929</v>
      </c>
      <c r="B698">
        <v>100.83</v>
      </c>
      <c r="C698">
        <v>100.82</v>
      </c>
    </row>
    <row r="699" spans="1:3" x14ac:dyDescent="0.3">
      <c r="A699" s="284">
        <v>44925</v>
      </c>
      <c r="B699">
        <v>99.2</v>
      </c>
      <c r="C699">
        <v>99.17</v>
      </c>
    </row>
    <row r="700" spans="1:3" x14ac:dyDescent="0.3">
      <c r="A700" s="284">
        <v>44924</v>
      </c>
      <c r="B700">
        <v>99.77</v>
      </c>
      <c r="C700">
        <v>99.77</v>
      </c>
    </row>
    <row r="701" spans="1:3" x14ac:dyDescent="0.3">
      <c r="A701" s="284">
        <v>44923</v>
      </c>
      <c r="B701">
        <v>98.6</v>
      </c>
      <c r="C701">
        <v>98.6</v>
      </c>
    </row>
    <row r="702" spans="1:3" x14ac:dyDescent="0.3">
      <c r="A702" s="284">
        <v>44922</v>
      </c>
      <c r="B702">
        <v>99.2</v>
      </c>
      <c r="C702">
        <v>99.2</v>
      </c>
    </row>
    <row r="703" spans="1:3" x14ac:dyDescent="0.3">
      <c r="A703" s="284">
        <v>44918</v>
      </c>
      <c r="B703">
        <v>98.27</v>
      </c>
      <c r="C703">
        <v>98.26</v>
      </c>
    </row>
    <row r="704" spans="1:3" x14ac:dyDescent="0.3">
      <c r="A704" s="284">
        <v>44917</v>
      </c>
      <c r="B704">
        <v>97.76</v>
      </c>
      <c r="C704">
        <v>97.76</v>
      </c>
    </row>
    <row r="705" spans="1:3" x14ac:dyDescent="0.3">
      <c r="A705" s="284">
        <v>44916</v>
      </c>
      <c r="B705">
        <v>98.67</v>
      </c>
      <c r="C705">
        <v>98.67</v>
      </c>
    </row>
    <row r="706" spans="1:3" x14ac:dyDescent="0.3">
      <c r="A706" s="284">
        <v>44915</v>
      </c>
      <c r="B706">
        <v>98</v>
      </c>
      <c r="C706">
        <v>97.99</v>
      </c>
    </row>
    <row r="707" spans="1:3" x14ac:dyDescent="0.3">
      <c r="A707" s="284">
        <v>44914</v>
      </c>
      <c r="B707">
        <v>98.3</v>
      </c>
      <c r="C707">
        <v>98.3</v>
      </c>
    </row>
    <row r="708" spans="1:3" x14ac:dyDescent="0.3">
      <c r="A708" s="284">
        <v>44911</v>
      </c>
      <c r="B708">
        <v>98.83</v>
      </c>
      <c r="C708">
        <v>98.76</v>
      </c>
    </row>
    <row r="709" spans="1:3" x14ac:dyDescent="0.3">
      <c r="A709" s="284">
        <v>44910</v>
      </c>
      <c r="B709">
        <v>99.99</v>
      </c>
      <c r="C709">
        <v>99.99</v>
      </c>
    </row>
    <row r="710" spans="1:3" x14ac:dyDescent="0.3">
      <c r="A710" s="284">
        <v>44909</v>
      </c>
      <c r="B710">
        <v>102.19</v>
      </c>
      <c r="C710">
        <v>102.18</v>
      </c>
    </row>
    <row r="711" spans="1:3" x14ac:dyDescent="0.3">
      <c r="A711" s="284">
        <v>44908</v>
      </c>
      <c r="B711">
        <v>102.11</v>
      </c>
      <c r="C711">
        <v>102.12</v>
      </c>
    </row>
    <row r="712" spans="1:3" x14ac:dyDescent="0.3">
      <c r="A712" s="284">
        <v>44907</v>
      </c>
      <c r="B712">
        <v>102.7</v>
      </c>
      <c r="C712">
        <v>102.72</v>
      </c>
    </row>
    <row r="713" spans="1:3" x14ac:dyDescent="0.3">
      <c r="A713" s="284">
        <v>44904</v>
      </c>
      <c r="B713">
        <v>101.79</v>
      </c>
      <c r="C713">
        <v>101.78</v>
      </c>
    </row>
    <row r="714" spans="1:3" x14ac:dyDescent="0.3">
      <c r="A714" s="284">
        <v>44903</v>
      </c>
      <c r="B714">
        <v>103.74</v>
      </c>
      <c r="C714">
        <v>103.74</v>
      </c>
    </row>
    <row r="715" spans="1:3" x14ac:dyDescent="0.3">
      <c r="A715" s="284">
        <v>44902</v>
      </c>
      <c r="B715">
        <v>101.87</v>
      </c>
      <c r="C715">
        <v>101.84</v>
      </c>
    </row>
    <row r="716" spans="1:3" x14ac:dyDescent="0.3">
      <c r="A716" s="284">
        <v>44901</v>
      </c>
      <c r="B716">
        <v>102.08</v>
      </c>
      <c r="C716">
        <v>102.07</v>
      </c>
    </row>
    <row r="717" spans="1:3" x14ac:dyDescent="0.3">
      <c r="A717" s="284">
        <v>44900</v>
      </c>
      <c r="B717">
        <v>103.55</v>
      </c>
      <c r="C717">
        <v>103.52</v>
      </c>
    </row>
    <row r="718" spans="1:3" x14ac:dyDescent="0.3">
      <c r="A718" s="284">
        <v>44897</v>
      </c>
      <c r="B718">
        <v>105.05</v>
      </c>
      <c r="C718">
        <v>105.04</v>
      </c>
    </row>
    <row r="719" spans="1:3" x14ac:dyDescent="0.3">
      <c r="A719" s="284">
        <v>44896</v>
      </c>
      <c r="B719">
        <v>103.37</v>
      </c>
      <c r="C719">
        <v>103.38</v>
      </c>
    </row>
    <row r="720" spans="1:3" x14ac:dyDescent="0.3">
      <c r="A720" s="284">
        <v>44895</v>
      </c>
      <c r="B720">
        <v>102.2</v>
      </c>
      <c r="C720">
        <v>102.2</v>
      </c>
    </row>
    <row r="721" spans="1:3" x14ac:dyDescent="0.3">
      <c r="A721" s="284">
        <v>44894</v>
      </c>
      <c r="B721">
        <v>98.66</v>
      </c>
      <c r="C721">
        <v>98.65</v>
      </c>
    </row>
    <row r="722" spans="1:3" x14ac:dyDescent="0.3">
      <c r="A722" s="284">
        <v>44893</v>
      </c>
      <c r="B722">
        <v>98.66</v>
      </c>
      <c r="C722">
        <v>98.66</v>
      </c>
    </row>
    <row r="723" spans="1:3" x14ac:dyDescent="0.3">
      <c r="A723" s="284">
        <v>44890</v>
      </c>
      <c r="B723">
        <v>99.56</v>
      </c>
      <c r="C723">
        <v>99.56</v>
      </c>
    </row>
    <row r="724" spans="1:3" x14ac:dyDescent="0.3">
      <c r="A724" s="284">
        <v>44888</v>
      </c>
      <c r="B724">
        <v>99.52</v>
      </c>
      <c r="C724">
        <v>99.51</v>
      </c>
    </row>
    <row r="725" spans="1:3" x14ac:dyDescent="0.3">
      <c r="A725" s="284">
        <v>44887</v>
      </c>
      <c r="B725">
        <v>98.43</v>
      </c>
      <c r="C725">
        <v>98.4</v>
      </c>
    </row>
    <row r="726" spans="1:3" x14ac:dyDescent="0.3">
      <c r="A726" s="284">
        <v>44886</v>
      </c>
      <c r="B726">
        <v>98.32</v>
      </c>
      <c r="C726">
        <v>98.29</v>
      </c>
    </row>
    <row r="727" spans="1:3" x14ac:dyDescent="0.3">
      <c r="A727" s="284">
        <v>44883</v>
      </c>
      <c r="B727">
        <v>97.95</v>
      </c>
      <c r="C727">
        <v>97.97</v>
      </c>
    </row>
    <row r="728" spans="1:3" x14ac:dyDescent="0.3">
      <c r="A728" s="284">
        <v>44882</v>
      </c>
      <c r="B728">
        <v>96.97</v>
      </c>
      <c r="C728">
        <v>97</v>
      </c>
    </row>
    <row r="729" spans="1:3" x14ac:dyDescent="0.3">
      <c r="A729" s="284">
        <v>44881</v>
      </c>
      <c r="B729">
        <v>97.07</v>
      </c>
      <c r="C729">
        <v>97.08</v>
      </c>
    </row>
    <row r="730" spans="1:3" x14ac:dyDescent="0.3">
      <c r="A730" s="284">
        <v>44880</v>
      </c>
      <c r="B730">
        <v>97.83</v>
      </c>
      <c r="C730">
        <v>97.85</v>
      </c>
    </row>
    <row r="731" spans="1:3" x14ac:dyDescent="0.3">
      <c r="A731" s="284">
        <v>44879</v>
      </c>
      <c r="B731">
        <v>97.42</v>
      </c>
      <c r="C731">
        <v>97.4</v>
      </c>
    </row>
    <row r="732" spans="1:3" x14ac:dyDescent="0.3">
      <c r="A732" s="284">
        <v>44876</v>
      </c>
      <c r="B732">
        <v>97.38</v>
      </c>
      <c r="C732">
        <v>97.36</v>
      </c>
    </row>
    <row r="733" spans="1:3" x14ac:dyDescent="0.3">
      <c r="A733" s="284">
        <v>44875</v>
      </c>
      <c r="B733">
        <v>96.26</v>
      </c>
      <c r="C733">
        <v>96.23</v>
      </c>
    </row>
    <row r="734" spans="1:3" x14ac:dyDescent="0.3">
      <c r="A734" s="284">
        <v>44874</v>
      </c>
      <c r="B734">
        <v>91.63</v>
      </c>
      <c r="C734">
        <v>91.64</v>
      </c>
    </row>
    <row r="735" spans="1:3" x14ac:dyDescent="0.3">
      <c r="A735" s="284">
        <v>44873</v>
      </c>
      <c r="B735">
        <v>92.75</v>
      </c>
      <c r="C735">
        <v>92.74</v>
      </c>
    </row>
    <row r="736" spans="1:3" x14ac:dyDescent="0.3">
      <c r="A736" s="284">
        <v>44872</v>
      </c>
      <c r="B736">
        <v>90.45</v>
      </c>
      <c r="C736">
        <v>90.46</v>
      </c>
    </row>
    <row r="737" spans="1:3" x14ac:dyDescent="0.3">
      <c r="A737" s="284">
        <v>44869</v>
      </c>
      <c r="B737">
        <v>91.86</v>
      </c>
      <c r="C737">
        <v>91.84</v>
      </c>
    </row>
    <row r="738" spans="1:3" x14ac:dyDescent="0.3">
      <c r="A738" s="284">
        <v>44868</v>
      </c>
      <c r="B738">
        <v>84.68</v>
      </c>
      <c r="C738">
        <v>84.74</v>
      </c>
    </row>
    <row r="739" spans="1:3" x14ac:dyDescent="0.3">
      <c r="A739" s="284">
        <v>44867</v>
      </c>
      <c r="B739">
        <v>84.58</v>
      </c>
      <c r="C739">
        <v>84.56</v>
      </c>
    </row>
    <row r="740" spans="1:3" x14ac:dyDescent="0.3">
      <c r="A740" s="284">
        <v>44866</v>
      </c>
      <c r="B740">
        <v>87.1</v>
      </c>
      <c r="C740">
        <v>87.08</v>
      </c>
    </row>
    <row r="741" spans="1:3" x14ac:dyDescent="0.3">
      <c r="A741" s="284">
        <v>44865</v>
      </c>
      <c r="B741">
        <v>86.59</v>
      </c>
      <c r="C741">
        <v>86.57</v>
      </c>
    </row>
    <row r="742" spans="1:3" x14ac:dyDescent="0.3">
      <c r="A742" s="284">
        <v>44862</v>
      </c>
      <c r="B742">
        <v>87.1</v>
      </c>
      <c r="C742">
        <v>87.08</v>
      </c>
    </row>
    <row r="743" spans="1:3" x14ac:dyDescent="0.3">
      <c r="A743" s="284">
        <v>44861</v>
      </c>
      <c r="B743">
        <v>85.28</v>
      </c>
      <c r="C743">
        <v>85.27</v>
      </c>
    </row>
    <row r="744" spans="1:3" x14ac:dyDescent="0.3">
      <c r="A744" s="284">
        <v>44860</v>
      </c>
      <c r="B744">
        <v>85.89</v>
      </c>
      <c r="C744">
        <v>85.89</v>
      </c>
    </row>
    <row r="745" spans="1:3" x14ac:dyDescent="0.3">
      <c r="A745" s="284">
        <v>44859</v>
      </c>
      <c r="B745">
        <v>85.21</v>
      </c>
      <c r="C745">
        <v>85.23</v>
      </c>
    </row>
    <row r="746" spans="1:3" x14ac:dyDescent="0.3">
      <c r="A746" s="284">
        <v>44858</v>
      </c>
      <c r="B746">
        <v>83.76</v>
      </c>
      <c r="C746">
        <v>83.75</v>
      </c>
    </row>
    <row r="747" spans="1:3" x14ac:dyDescent="0.3">
      <c r="A747" s="284">
        <v>44855</v>
      </c>
      <c r="B747">
        <v>88.61</v>
      </c>
      <c r="C747">
        <v>88.63</v>
      </c>
    </row>
    <row r="748" spans="1:3" x14ac:dyDescent="0.3">
      <c r="A748" s="284">
        <v>44854</v>
      </c>
      <c r="B748">
        <v>86.79</v>
      </c>
      <c r="C748">
        <v>86.79</v>
      </c>
    </row>
    <row r="749" spans="1:3" x14ac:dyDescent="0.3">
      <c r="A749" s="284">
        <v>44853</v>
      </c>
      <c r="B749">
        <v>87.52</v>
      </c>
      <c r="C749">
        <v>87.54</v>
      </c>
    </row>
    <row r="750" spans="1:3" x14ac:dyDescent="0.3">
      <c r="A750" s="284">
        <v>44852</v>
      </c>
      <c r="B750">
        <v>88.96</v>
      </c>
      <c r="C750">
        <v>88.96</v>
      </c>
    </row>
    <row r="751" spans="1:3" x14ac:dyDescent="0.3">
      <c r="A751" s="284">
        <v>44851</v>
      </c>
      <c r="B751">
        <v>88.9</v>
      </c>
      <c r="C751">
        <v>88.91</v>
      </c>
    </row>
    <row r="752" spans="1:3" x14ac:dyDescent="0.3">
      <c r="A752" s="284">
        <v>44848</v>
      </c>
      <c r="B752">
        <v>86.37</v>
      </c>
      <c r="C752">
        <v>86.38</v>
      </c>
    </row>
    <row r="753" spans="1:3" x14ac:dyDescent="0.3">
      <c r="A753" s="284">
        <v>44847</v>
      </c>
      <c r="B753">
        <v>89.37</v>
      </c>
      <c r="C753">
        <v>89.37</v>
      </c>
    </row>
    <row r="754" spans="1:3" x14ac:dyDescent="0.3">
      <c r="A754" s="284">
        <v>44846</v>
      </c>
      <c r="B754">
        <v>86.87</v>
      </c>
      <c r="C754">
        <v>86.86</v>
      </c>
    </row>
    <row r="755" spans="1:3" x14ac:dyDescent="0.3">
      <c r="A755" s="284">
        <v>44845</v>
      </c>
      <c r="B755">
        <v>86.21</v>
      </c>
      <c r="C755">
        <v>86.2</v>
      </c>
    </row>
    <row r="756" spans="1:3" x14ac:dyDescent="0.3">
      <c r="A756" s="284">
        <v>44844</v>
      </c>
      <c r="B756">
        <v>87.06</v>
      </c>
      <c r="C756">
        <v>87.05</v>
      </c>
    </row>
    <row r="757" spans="1:3" x14ac:dyDescent="0.3">
      <c r="A757" s="284">
        <v>44841</v>
      </c>
      <c r="B757">
        <v>87.03</v>
      </c>
      <c r="C757">
        <v>87.03</v>
      </c>
    </row>
    <row r="758" spans="1:3" x14ac:dyDescent="0.3">
      <c r="A758" s="284">
        <v>44840</v>
      </c>
      <c r="B758">
        <v>89.35</v>
      </c>
      <c r="C758">
        <v>89.34</v>
      </c>
    </row>
    <row r="759" spans="1:3" x14ac:dyDescent="0.3">
      <c r="A759" s="284">
        <v>44839</v>
      </c>
      <c r="B759">
        <v>90.12</v>
      </c>
      <c r="C759">
        <v>90.14</v>
      </c>
    </row>
    <row r="760" spans="1:3" x14ac:dyDescent="0.3">
      <c r="A760" s="284">
        <v>44838</v>
      </c>
      <c r="B760">
        <v>88.51</v>
      </c>
      <c r="C760">
        <v>88.52</v>
      </c>
    </row>
    <row r="761" spans="1:3" x14ac:dyDescent="0.3">
      <c r="A761" s="284">
        <v>44837</v>
      </c>
      <c r="B761">
        <v>85.62</v>
      </c>
      <c r="C761">
        <v>85.65</v>
      </c>
    </row>
    <row r="762" spans="1:3" x14ac:dyDescent="0.3">
      <c r="A762" s="284">
        <v>44834</v>
      </c>
      <c r="B762">
        <v>84.26</v>
      </c>
      <c r="C762">
        <v>84.26</v>
      </c>
    </row>
    <row r="763" spans="1:3" x14ac:dyDescent="0.3">
      <c r="A763" s="284">
        <v>44833</v>
      </c>
      <c r="B763">
        <v>86.57</v>
      </c>
      <c r="C763">
        <v>86.57</v>
      </c>
    </row>
    <row r="764" spans="1:3" x14ac:dyDescent="0.3">
      <c r="A764" s="284">
        <v>44832</v>
      </c>
      <c r="B764">
        <v>87.11</v>
      </c>
      <c r="C764">
        <v>87.1</v>
      </c>
    </row>
    <row r="765" spans="1:3" x14ac:dyDescent="0.3">
      <c r="A765" s="284">
        <v>44831</v>
      </c>
      <c r="B765">
        <v>84.28</v>
      </c>
      <c r="C765">
        <v>84.29</v>
      </c>
    </row>
    <row r="766" spans="1:3" x14ac:dyDescent="0.3">
      <c r="A766" s="284">
        <v>44830</v>
      </c>
      <c r="B766">
        <v>84.81</v>
      </c>
      <c r="C766">
        <v>84.78</v>
      </c>
    </row>
    <row r="767" spans="1:3" x14ac:dyDescent="0.3">
      <c r="A767" s="284">
        <v>44827</v>
      </c>
      <c r="B767">
        <v>84.17</v>
      </c>
      <c r="C767">
        <v>84.17</v>
      </c>
    </row>
    <row r="768" spans="1:3" x14ac:dyDescent="0.3">
      <c r="A768" s="284">
        <v>44826</v>
      </c>
      <c r="B768">
        <v>84.7</v>
      </c>
      <c r="C768">
        <v>84.69</v>
      </c>
    </row>
    <row r="769" spans="1:3" x14ac:dyDescent="0.3">
      <c r="A769" s="284">
        <v>44825</v>
      </c>
      <c r="B769">
        <v>88.6</v>
      </c>
      <c r="C769">
        <v>88.58</v>
      </c>
    </row>
    <row r="770" spans="1:3" x14ac:dyDescent="0.3">
      <c r="A770" s="284">
        <v>44824</v>
      </c>
      <c r="B770">
        <v>90.79</v>
      </c>
      <c r="C770">
        <v>90.79</v>
      </c>
    </row>
    <row r="771" spans="1:3" x14ac:dyDescent="0.3">
      <c r="A771" s="284">
        <v>44823</v>
      </c>
      <c r="B771">
        <v>92.14</v>
      </c>
      <c r="C771">
        <v>92.15</v>
      </c>
    </row>
    <row r="772" spans="1:3" x14ac:dyDescent="0.3">
      <c r="A772" s="284">
        <v>44820</v>
      </c>
      <c r="B772">
        <v>91.31</v>
      </c>
      <c r="C772">
        <v>91.3</v>
      </c>
    </row>
    <row r="773" spans="1:3" x14ac:dyDescent="0.3">
      <c r="A773" s="284">
        <v>44819</v>
      </c>
      <c r="B773">
        <v>92.22</v>
      </c>
      <c r="C773">
        <v>92.22</v>
      </c>
    </row>
    <row r="774" spans="1:3" x14ac:dyDescent="0.3">
      <c r="A774" s="284">
        <v>44818</v>
      </c>
      <c r="B774">
        <v>92.7</v>
      </c>
      <c r="C774">
        <v>92.69</v>
      </c>
    </row>
    <row r="775" spans="1:3" x14ac:dyDescent="0.3">
      <c r="A775" s="284">
        <v>44817</v>
      </c>
      <c r="B775">
        <v>87.84</v>
      </c>
      <c r="C775">
        <v>87.84</v>
      </c>
    </row>
    <row r="776" spans="1:3" x14ac:dyDescent="0.3">
      <c r="A776" s="284">
        <v>44816</v>
      </c>
      <c r="B776">
        <v>89.07</v>
      </c>
      <c r="C776">
        <v>89.07</v>
      </c>
    </row>
    <row r="777" spans="1:3" x14ac:dyDescent="0.3">
      <c r="A777" s="284">
        <v>44813</v>
      </c>
      <c r="B777">
        <v>88.69</v>
      </c>
      <c r="C777">
        <v>88.68</v>
      </c>
    </row>
    <row r="778" spans="1:3" x14ac:dyDescent="0.3">
      <c r="A778" s="284">
        <v>44812</v>
      </c>
      <c r="B778">
        <v>89.46</v>
      </c>
      <c r="C778">
        <v>89.45</v>
      </c>
    </row>
    <row r="779" spans="1:3" x14ac:dyDescent="0.3">
      <c r="A779" s="284">
        <v>44811</v>
      </c>
      <c r="B779">
        <v>88.31</v>
      </c>
      <c r="C779">
        <v>88.29</v>
      </c>
    </row>
    <row r="780" spans="1:3" x14ac:dyDescent="0.3">
      <c r="A780" s="284">
        <v>44810</v>
      </c>
      <c r="B780">
        <v>84.52</v>
      </c>
      <c r="C780">
        <v>84.52</v>
      </c>
    </row>
    <row r="781" spans="1:3" x14ac:dyDescent="0.3">
      <c r="A781" s="284">
        <v>44806</v>
      </c>
      <c r="B781">
        <v>82.94</v>
      </c>
      <c r="C781">
        <v>82.94</v>
      </c>
    </row>
    <row r="782" spans="1:3" x14ac:dyDescent="0.3">
      <c r="A782" s="284">
        <v>44805</v>
      </c>
      <c r="B782">
        <v>85.4</v>
      </c>
      <c r="C782">
        <v>85.4</v>
      </c>
    </row>
    <row r="783" spans="1:3" x14ac:dyDescent="0.3">
      <c r="A783" s="284">
        <v>44804</v>
      </c>
      <c r="B783">
        <v>84.07</v>
      </c>
      <c r="C783">
        <v>84.05</v>
      </c>
    </row>
    <row r="784" spans="1:3" x14ac:dyDescent="0.3">
      <c r="A784" s="284">
        <v>44803</v>
      </c>
      <c r="B784">
        <v>83.41</v>
      </c>
      <c r="C784">
        <v>83.41</v>
      </c>
    </row>
    <row r="785" spans="1:3" x14ac:dyDescent="0.3">
      <c r="A785" s="284">
        <v>44802</v>
      </c>
      <c r="B785">
        <v>84.12</v>
      </c>
      <c r="C785">
        <v>84.12</v>
      </c>
    </row>
    <row r="786" spans="1:3" x14ac:dyDescent="0.3">
      <c r="A786" s="284">
        <v>44799</v>
      </c>
      <c r="B786">
        <v>84.06</v>
      </c>
      <c r="C786">
        <v>84.06</v>
      </c>
    </row>
    <row r="787" spans="1:3" x14ac:dyDescent="0.3">
      <c r="A787" s="284">
        <v>44798</v>
      </c>
      <c r="B787">
        <v>87.39</v>
      </c>
      <c r="C787">
        <v>87.4</v>
      </c>
    </row>
    <row r="788" spans="1:3" x14ac:dyDescent="0.3">
      <c r="A788" s="284">
        <v>44797</v>
      </c>
      <c r="B788">
        <v>86.05</v>
      </c>
      <c r="C788">
        <v>86.05</v>
      </c>
    </row>
    <row r="789" spans="1:3" x14ac:dyDescent="0.3">
      <c r="A789" s="284">
        <v>44796</v>
      </c>
      <c r="B789">
        <v>84.69</v>
      </c>
      <c r="C789">
        <v>84.69</v>
      </c>
    </row>
    <row r="790" spans="1:3" x14ac:dyDescent="0.3">
      <c r="A790" s="284">
        <v>44795</v>
      </c>
      <c r="B790">
        <v>84.95</v>
      </c>
      <c r="C790">
        <v>84.92</v>
      </c>
    </row>
    <row r="791" spans="1:3" x14ac:dyDescent="0.3">
      <c r="A791" s="284">
        <v>44792</v>
      </c>
      <c r="B791">
        <v>86.92</v>
      </c>
      <c r="C791">
        <v>86.91</v>
      </c>
    </row>
    <row r="792" spans="1:3" x14ac:dyDescent="0.3">
      <c r="A792" s="284">
        <v>44791</v>
      </c>
      <c r="B792">
        <v>88.55</v>
      </c>
      <c r="C792">
        <v>88.56</v>
      </c>
    </row>
    <row r="793" spans="1:3" x14ac:dyDescent="0.3">
      <c r="A793" s="284">
        <v>44790</v>
      </c>
      <c r="B793">
        <v>88.35</v>
      </c>
      <c r="C793">
        <v>88.34</v>
      </c>
    </row>
    <row r="794" spans="1:3" x14ac:dyDescent="0.3">
      <c r="A794" s="284">
        <v>44789</v>
      </c>
      <c r="B794">
        <v>89.4</v>
      </c>
      <c r="C794">
        <v>89.39</v>
      </c>
    </row>
    <row r="795" spans="1:3" x14ac:dyDescent="0.3">
      <c r="A795" s="284">
        <v>44788</v>
      </c>
      <c r="B795">
        <v>89.16</v>
      </c>
      <c r="C795">
        <v>89.16</v>
      </c>
    </row>
    <row r="796" spans="1:3" x14ac:dyDescent="0.3">
      <c r="A796" s="284">
        <v>44785</v>
      </c>
      <c r="B796">
        <v>88.31</v>
      </c>
      <c r="C796">
        <v>88.31</v>
      </c>
    </row>
    <row r="797" spans="1:3" x14ac:dyDescent="0.3">
      <c r="A797" s="284">
        <v>44784</v>
      </c>
      <c r="B797">
        <v>87.27</v>
      </c>
      <c r="C797">
        <v>87.27</v>
      </c>
    </row>
    <row r="798" spans="1:3" x14ac:dyDescent="0.3">
      <c r="A798" s="284">
        <v>44783</v>
      </c>
      <c r="B798">
        <v>86.49</v>
      </c>
      <c r="C798">
        <v>86.48</v>
      </c>
    </row>
    <row r="799" spans="1:3" x14ac:dyDescent="0.3">
      <c r="A799" s="284">
        <v>44782</v>
      </c>
      <c r="B799">
        <v>84.84</v>
      </c>
      <c r="C799">
        <v>84.82</v>
      </c>
    </row>
    <row r="800" spans="1:3" x14ac:dyDescent="0.3">
      <c r="A800" s="284">
        <v>44781</v>
      </c>
      <c r="B800">
        <v>85.72</v>
      </c>
      <c r="C800">
        <v>85.72</v>
      </c>
    </row>
    <row r="801" spans="1:3" x14ac:dyDescent="0.3">
      <c r="A801" s="284">
        <v>44778</v>
      </c>
      <c r="B801">
        <v>85.73</v>
      </c>
      <c r="C801">
        <v>85.73</v>
      </c>
    </row>
    <row r="802" spans="1:3" x14ac:dyDescent="0.3">
      <c r="A802" s="284">
        <v>44777</v>
      </c>
      <c r="B802">
        <v>86.88</v>
      </c>
      <c r="C802">
        <v>86.87</v>
      </c>
    </row>
    <row r="803" spans="1:3" x14ac:dyDescent="0.3">
      <c r="A803" s="284">
        <v>44776</v>
      </c>
      <c r="B803">
        <v>87.27</v>
      </c>
      <c r="C803">
        <v>87.27</v>
      </c>
    </row>
    <row r="804" spans="1:3" x14ac:dyDescent="0.3">
      <c r="A804" s="284">
        <v>44775</v>
      </c>
      <c r="B804">
        <v>83.71</v>
      </c>
      <c r="C804">
        <v>83.66</v>
      </c>
    </row>
    <row r="805" spans="1:3" x14ac:dyDescent="0.3">
      <c r="A805" s="284">
        <v>44774</v>
      </c>
      <c r="B805">
        <v>84.91</v>
      </c>
      <c r="C805">
        <v>84.93</v>
      </c>
    </row>
    <row r="806" spans="1:3" x14ac:dyDescent="0.3">
      <c r="A806" s="284">
        <v>44771</v>
      </c>
      <c r="B806">
        <v>84.78</v>
      </c>
      <c r="C806">
        <v>84.74</v>
      </c>
    </row>
    <row r="807" spans="1:3" x14ac:dyDescent="0.3">
      <c r="A807" s="284">
        <v>44770</v>
      </c>
      <c r="B807">
        <v>84.67</v>
      </c>
      <c r="C807">
        <v>84.67</v>
      </c>
    </row>
    <row r="808" spans="1:3" x14ac:dyDescent="0.3">
      <c r="A808" s="284">
        <v>44769</v>
      </c>
      <c r="B808">
        <v>82.96</v>
      </c>
      <c r="C808">
        <v>82.94</v>
      </c>
    </row>
    <row r="809" spans="1:3" x14ac:dyDescent="0.3">
      <c r="A809" s="284">
        <v>44768</v>
      </c>
      <c r="B809">
        <v>80.31</v>
      </c>
      <c r="C809">
        <v>80.3</v>
      </c>
    </row>
    <row r="810" spans="1:3" x14ac:dyDescent="0.3">
      <c r="A810" s="284">
        <v>44767</v>
      </c>
      <c r="B810">
        <v>81.5</v>
      </c>
      <c r="C810">
        <v>81.5</v>
      </c>
    </row>
    <row r="811" spans="1:3" x14ac:dyDescent="0.3">
      <c r="A811" s="284">
        <v>44764</v>
      </c>
      <c r="B811">
        <v>83.59</v>
      </c>
      <c r="C811">
        <v>83.6</v>
      </c>
    </row>
    <row r="812" spans="1:3" x14ac:dyDescent="0.3">
      <c r="A812" s="284">
        <v>44763</v>
      </c>
      <c r="B812">
        <v>83.54</v>
      </c>
      <c r="C812">
        <v>83.54</v>
      </c>
    </row>
    <row r="813" spans="1:3" x14ac:dyDescent="0.3">
      <c r="A813" s="284">
        <v>44762</v>
      </c>
      <c r="B813">
        <v>83.27</v>
      </c>
      <c r="C813">
        <v>83.25</v>
      </c>
    </row>
    <row r="814" spans="1:3" x14ac:dyDescent="0.3">
      <c r="A814" s="284">
        <v>44761</v>
      </c>
      <c r="B814">
        <v>82.55</v>
      </c>
      <c r="C814">
        <v>82.54</v>
      </c>
    </row>
    <row r="815" spans="1:3" x14ac:dyDescent="0.3">
      <c r="A815" s="284">
        <v>44760</v>
      </c>
      <c r="B815">
        <v>80.23</v>
      </c>
      <c r="C815">
        <v>80.22</v>
      </c>
    </row>
    <row r="816" spans="1:3" x14ac:dyDescent="0.3">
      <c r="A816" s="284">
        <v>44757</v>
      </c>
      <c r="B816">
        <v>79.62</v>
      </c>
      <c r="C816">
        <v>79.62</v>
      </c>
    </row>
    <row r="817" spans="1:3" x14ac:dyDescent="0.3">
      <c r="A817" s="284">
        <v>44756</v>
      </c>
      <c r="B817">
        <v>78.2</v>
      </c>
      <c r="C817">
        <v>78.17</v>
      </c>
    </row>
    <row r="818" spans="1:3" x14ac:dyDescent="0.3">
      <c r="A818" s="284">
        <v>44755</v>
      </c>
      <c r="B818">
        <v>77.92</v>
      </c>
      <c r="C818">
        <v>77.900000000000006</v>
      </c>
    </row>
    <row r="819" spans="1:3" x14ac:dyDescent="0.3">
      <c r="A819" s="284">
        <v>44754</v>
      </c>
      <c r="B819">
        <v>77.760000000000005</v>
      </c>
      <c r="C819">
        <v>77.760000000000005</v>
      </c>
    </row>
    <row r="820" spans="1:3" x14ac:dyDescent="0.3">
      <c r="A820" s="284">
        <v>44753</v>
      </c>
      <c r="B820">
        <v>77.900000000000006</v>
      </c>
      <c r="C820">
        <v>77.900000000000006</v>
      </c>
    </row>
    <row r="821" spans="1:3" x14ac:dyDescent="0.3">
      <c r="A821" s="284">
        <v>44750</v>
      </c>
      <c r="B821">
        <v>79.28</v>
      </c>
      <c r="C821">
        <v>79.27</v>
      </c>
    </row>
    <row r="822" spans="1:3" x14ac:dyDescent="0.3">
      <c r="A822" s="284">
        <v>44749</v>
      </c>
      <c r="B822">
        <v>79.239999999999995</v>
      </c>
      <c r="C822">
        <v>79.2</v>
      </c>
    </row>
    <row r="823" spans="1:3" x14ac:dyDescent="0.3">
      <c r="A823" s="284">
        <v>44748</v>
      </c>
      <c r="B823">
        <v>78.86</v>
      </c>
      <c r="C823">
        <v>78.849999999999994</v>
      </c>
    </row>
    <row r="824" spans="1:3" x14ac:dyDescent="0.3">
      <c r="A824" s="284">
        <v>44747</v>
      </c>
      <c r="B824">
        <v>79.52</v>
      </c>
      <c r="C824">
        <v>79.510000000000005</v>
      </c>
    </row>
    <row r="825" spans="1:3" x14ac:dyDescent="0.3">
      <c r="A825" s="284">
        <v>44743</v>
      </c>
      <c r="B825">
        <v>79.260000000000005</v>
      </c>
      <c r="C825">
        <v>79.25</v>
      </c>
    </row>
    <row r="826" spans="1:3" x14ac:dyDescent="0.3">
      <c r="A826" s="284">
        <v>44742</v>
      </c>
      <c r="B826">
        <v>76.39</v>
      </c>
      <c r="C826">
        <v>76.42</v>
      </c>
    </row>
    <row r="827" spans="1:3" x14ac:dyDescent="0.3">
      <c r="A827" s="284">
        <v>44741</v>
      </c>
      <c r="B827">
        <v>76.430000000000007</v>
      </c>
      <c r="C827">
        <v>76.39</v>
      </c>
    </row>
    <row r="828" spans="1:3" x14ac:dyDescent="0.3">
      <c r="A828" s="284">
        <v>44740</v>
      </c>
      <c r="B828">
        <v>76.34</v>
      </c>
      <c r="C828">
        <v>76.31</v>
      </c>
    </row>
    <row r="829" spans="1:3" x14ac:dyDescent="0.3">
      <c r="A829" s="284">
        <v>44739</v>
      </c>
      <c r="B829">
        <v>77.680000000000007</v>
      </c>
      <c r="C829">
        <v>77.709999999999994</v>
      </c>
    </row>
    <row r="830" spans="1:3" x14ac:dyDescent="0.3">
      <c r="A830" s="284">
        <v>44736</v>
      </c>
      <c r="B830">
        <v>78.11</v>
      </c>
      <c r="C830">
        <v>78.12</v>
      </c>
    </row>
    <row r="831" spans="1:3" x14ac:dyDescent="0.3">
      <c r="A831" s="284">
        <v>44735</v>
      </c>
      <c r="B831">
        <v>75.2</v>
      </c>
      <c r="C831">
        <v>75.19</v>
      </c>
    </row>
    <row r="832" spans="1:3" x14ac:dyDescent="0.3">
      <c r="A832" s="284">
        <v>44734</v>
      </c>
      <c r="B832">
        <v>73.3</v>
      </c>
      <c r="C832">
        <v>73.290000000000006</v>
      </c>
    </row>
    <row r="833" spans="1:3" x14ac:dyDescent="0.3">
      <c r="A833" s="284">
        <v>44733</v>
      </c>
      <c r="B833">
        <v>72.959999999999994</v>
      </c>
      <c r="C833">
        <v>72.94</v>
      </c>
    </row>
    <row r="834" spans="1:3" x14ac:dyDescent="0.3">
      <c r="A834" s="284">
        <v>44729</v>
      </c>
      <c r="B834">
        <v>71.87</v>
      </c>
      <c r="C834">
        <v>71.83</v>
      </c>
    </row>
    <row r="835" spans="1:3" x14ac:dyDescent="0.3">
      <c r="A835" s="284">
        <v>44728</v>
      </c>
      <c r="B835">
        <v>70.95</v>
      </c>
      <c r="C835">
        <v>70.95</v>
      </c>
    </row>
    <row r="836" spans="1:3" x14ac:dyDescent="0.3">
      <c r="A836" s="284">
        <v>44727</v>
      </c>
      <c r="B836">
        <v>74.19</v>
      </c>
      <c r="C836">
        <v>74.180000000000007</v>
      </c>
    </row>
    <row r="837" spans="1:3" x14ac:dyDescent="0.3">
      <c r="A837" s="284">
        <v>44726</v>
      </c>
      <c r="B837">
        <v>72.31</v>
      </c>
      <c r="C837">
        <v>72.3</v>
      </c>
    </row>
    <row r="838" spans="1:3" x14ac:dyDescent="0.3">
      <c r="A838" s="284">
        <v>44725</v>
      </c>
      <c r="B838">
        <v>72.36</v>
      </c>
      <c r="C838">
        <v>72.36</v>
      </c>
    </row>
    <row r="839" spans="1:3" x14ac:dyDescent="0.3">
      <c r="A839" s="284">
        <v>44722</v>
      </c>
      <c r="B839">
        <v>75.67</v>
      </c>
      <c r="C839">
        <v>75.66</v>
      </c>
    </row>
    <row r="840" spans="1:3" x14ac:dyDescent="0.3">
      <c r="A840" s="284">
        <v>44721</v>
      </c>
      <c r="B840">
        <v>78.91</v>
      </c>
      <c r="C840">
        <v>78.87</v>
      </c>
    </row>
    <row r="841" spans="1:3" x14ac:dyDescent="0.3">
      <c r="A841" s="284">
        <v>44720</v>
      </c>
      <c r="B841">
        <v>78.47</v>
      </c>
      <c r="C841">
        <v>78.47</v>
      </c>
    </row>
    <row r="842" spans="1:3" x14ac:dyDescent="0.3">
      <c r="A842" s="284">
        <v>44719</v>
      </c>
      <c r="B842">
        <v>79.47</v>
      </c>
      <c r="C842">
        <v>79.459999999999994</v>
      </c>
    </row>
    <row r="843" spans="1:3" x14ac:dyDescent="0.3">
      <c r="A843" s="284">
        <v>44718</v>
      </c>
      <c r="B843">
        <v>78.98</v>
      </c>
      <c r="C843">
        <v>78.97</v>
      </c>
    </row>
    <row r="844" spans="1:3" x14ac:dyDescent="0.3">
      <c r="A844" s="284">
        <v>44715</v>
      </c>
      <c r="B844">
        <v>79.05</v>
      </c>
      <c r="C844">
        <v>79.05</v>
      </c>
    </row>
    <row r="845" spans="1:3" x14ac:dyDescent="0.3">
      <c r="A845" s="284">
        <v>44714</v>
      </c>
      <c r="B845">
        <v>79.42</v>
      </c>
      <c r="C845">
        <v>79.42</v>
      </c>
    </row>
    <row r="846" spans="1:3" x14ac:dyDescent="0.3">
      <c r="A846" s="284">
        <v>44713</v>
      </c>
      <c r="B846">
        <v>76.28</v>
      </c>
      <c r="C846">
        <v>76.27</v>
      </c>
    </row>
    <row r="847" spans="1:3" x14ac:dyDescent="0.3">
      <c r="A847" s="284">
        <v>44712</v>
      </c>
      <c r="B847">
        <v>78.5</v>
      </c>
      <c r="C847">
        <v>78.44</v>
      </c>
    </row>
    <row r="848" spans="1:3" x14ac:dyDescent="0.3">
      <c r="A848" s="284">
        <v>44708</v>
      </c>
      <c r="B848">
        <v>76.709999999999994</v>
      </c>
      <c r="C848">
        <v>76.7</v>
      </c>
    </row>
    <row r="849" spans="1:3" x14ac:dyDescent="0.3">
      <c r="A849" s="284">
        <v>44707</v>
      </c>
      <c r="B849">
        <v>74.489999999999995</v>
      </c>
      <c r="C849">
        <v>74.5</v>
      </c>
    </row>
    <row r="850" spans="1:3" x14ac:dyDescent="0.3">
      <c r="A850" s="284">
        <v>44706</v>
      </c>
      <c r="B850">
        <v>72.48</v>
      </c>
      <c r="C850">
        <v>72.48</v>
      </c>
    </row>
    <row r="851" spans="1:3" x14ac:dyDescent="0.3">
      <c r="A851" s="284">
        <v>44705</v>
      </c>
      <c r="B851">
        <v>72.72</v>
      </c>
      <c r="C851">
        <v>72.72</v>
      </c>
    </row>
    <row r="852" spans="1:3" x14ac:dyDescent="0.3">
      <c r="A852" s="284">
        <v>44704</v>
      </c>
      <c r="B852">
        <v>73.42</v>
      </c>
      <c r="C852">
        <v>73.42</v>
      </c>
    </row>
    <row r="853" spans="1:3" x14ac:dyDescent="0.3">
      <c r="A853" s="284">
        <v>44701</v>
      </c>
      <c r="B853">
        <v>73.39</v>
      </c>
      <c r="C853">
        <v>73.400000000000006</v>
      </c>
    </row>
    <row r="854" spans="1:3" x14ac:dyDescent="0.3">
      <c r="A854" s="284">
        <v>44700</v>
      </c>
      <c r="B854">
        <v>71.930000000000007</v>
      </c>
      <c r="C854">
        <v>71.930000000000007</v>
      </c>
    </row>
    <row r="855" spans="1:3" x14ac:dyDescent="0.3">
      <c r="A855" s="284">
        <v>44699</v>
      </c>
      <c r="B855">
        <v>71.28</v>
      </c>
      <c r="C855">
        <v>71.3</v>
      </c>
    </row>
    <row r="856" spans="1:3" x14ac:dyDescent="0.3">
      <c r="A856" s="284">
        <v>44698</v>
      </c>
      <c r="B856">
        <v>73.72</v>
      </c>
      <c r="C856">
        <v>73.739999999999995</v>
      </c>
    </row>
    <row r="857" spans="1:3" x14ac:dyDescent="0.3">
      <c r="A857" s="284">
        <v>44697</v>
      </c>
      <c r="B857">
        <v>72.42</v>
      </c>
      <c r="C857">
        <v>72.430000000000007</v>
      </c>
    </row>
    <row r="858" spans="1:3" x14ac:dyDescent="0.3">
      <c r="A858" s="284">
        <v>44694</v>
      </c>
      <c r="B858">
        <v>75.599999999999994</v>
      </c>
      <c r="C858">
        <v>75.599999999999994</v>
      </c>
    </row>
    <row r="859" spans="1:3" x14ac:dyDescent="0.3">
      <c r="A859" s="284">
        <v>44693</v>
      </c>
      <c r="B859">
        <v>69.900000000000006</v>
      </c>
      <c r="C859">
        <v>69.91</v>
      </c>
    </row>
    <row r="860" spans="1:3" x14ac:dyDescent="0.3">
      <c r="A860" s="284">
        <v>44692</v>
      </c>
      <c r="B860">
        <v>70.06</v>
      </c>
      <c r="C860">
        <v>70.06</v>
      </c>
    </row>
    <row r="861" spans="1:3" x14ac:dyDescent="0.3">
      <c r="A861" s="284">
        <v>44691</v>
      </c>
      <c r="B861">
        <v>71.86</v>
      </c>
      <c r="C861">
        <v>71.86</v>
      </c>
    </row>
    <row r="862" spans="1:3" x14ac:dyDescent="0.3">
      <c r="A862" s="284">
        <v>44690</v>
      </c>
      <c r="B862">
        <v>73.489999999999995</v>
      </c>
      <c r="C862">
        <v>73.489999999999995</v>
      </c>
    </row>
    <row r="863" spans="1:3" x14ac:dyDescent="0.3">
      <c r="A863" s="284">
        <v>44687</v>
      </c>
      <c r="B863">
        <v>76.52</v>
      </c>
      <c r="C863">
        <v>76.510000000000005</v>
      </c>
    </row>
    <row r="864" spans="1:3" x14ac:dyDescent="0.3">
      <c r="A864" s="284">
        <v>44686</v>
      </c>
      <c r="B864">
        <v>77.48</v>
      </c>
      <c r="C864">
        <v>77.48</v>
      </c>
    </row>
    <row r="865" spans="1:3" x14ac:dyDescent="0.3">
      <c r="A865" s="284">
        <v>44685</v>
      </c>
      <c r="B865">
        <v>81.64</v>
      </c>
      <c r="C865">
        <v>81.599999999999994</v>
      </c>
    </row>
    <row r="866" spans="1:3" x14ac:dyDescent="0.3">
      <c r="A866" s="284">
        <v>44684</v>
      </c>
      <c r="B866">
        <v>74.33</v>
      </c>
      <c r="C866">
        <v>74.36</v>
      </c>
    </row>
    <row r="867" spans="1:3" x14ac:dyDescent="0.3">
      <c r="A867" s="284">
        <v>44683</v>
      </c>
      <c r="B867">
        <v>75.37</v>
      </c>
      <c r="C867">
        <v>75.34</v>
      </c>
    </row>
    <row r="868" spans="1:3" x14ac:dyDescent="0.3">
      <c r="A868" s="284">
        <v>44680</v>
      </c>
      <c r="B868">
        <v>74.64</v>
      </c>
      <c r="C868">
        <v>74.63</v>
      </c>
    </row>
    <row r="869" spans="1:3" x14ac:dyDescent="0.3">
      <c r="A869" s="284">
        <v>44679</v>
      </c>
      <c r="B869">
        <v>76.58</v>
      </c>
      <c r="C869">
        <v>76.58</v>
      </c>
    </row>
    <row r="870" spans="1:3" x14ac:dyDescent="0.3">
      <c r="A870" s="284">
        <v>44678</v>
      </c>
      <c r="B870">
        <v>74.739999999999995</v>
      </c>
      <c r="C870">
        <v>74.739999999999995</v>
      </c>
    </row>
    <row r="871" spans="1:3" x14ac:dyDescent="0.3">
      <c r="A871" s="284">
        <v>44677</v>
      </c>
      <c r="B871">
        <v>75.63</v>
      </c>
      <c r="C871">
        <v>75.63</v>
      </c>
    </row>
    <row r="872" spans="1:3" x14ac:dyDescent="0.3">
      <c r="A872" s="284">
        <v>44676</v>
      </c>
      <c r="B872">
        <v>77.98</v>
      </c>
      <c r="C872">
        <v>77.97</v>
      </c>
    </row>
    <row r="873" spans="1:3" x14ac:dyDescent="0.3">
      <c r="A873" s="284">
        <v>44673</v>
      </c>
      <c r="B873">
        <v>77.92</v>
      </c>
      <c r="C873">
        <v>77.91</v>
      </c>
    </row>
    <row r="874" spans="1:3" x14ac:dyDescent="0.3">
      <c r="A874" s="284">
        <v>44672</v>
      </c>
      <c r="B874">
        <v>78.959999999999994</v>
      </c>
      <c r="C874">
        <v>78.959999999999994</v>
      </c>
    </row>
    <row r="875" spans="1:3" x14ac:dyDescent="0.3">
      <c r="A875" s="284">
        <v>44671</v>
      </c>
      <c r="B875">
        <v>80.17</v>
      </c>
      <c r="C875">
        <v>80.150000000000006</v>
      </c>
    </row>
    <row r="876" spans="1:3" x14ac:dyDescent="0.3">
      <c r="A876" s="284">
        <v>44670</v>
      </c>
      <c r="B876">
        <v>81.22</v>
      </c>
      <c r="C876">
        <v>81.209999999999994</v>
      </c>
    </row>
    <row r="877" spans="1:3" x14ac:dyDescent="0.3">
      <c r="A877" s="284">
        <v>44669</v>
      </c>
      <c r="B877">
        <v>79.599999999999994</v>
      </c>
      <c r="C877">
        <v>79.63</v>
      </c>
    </row>
    <row r="878" spans="1:3" x14ac:dyDescent="0.3">
      <c r="A878" s="284">
        <v>44665</v>
      </c>
      <c r="B878">
        <v>79.5</v>
      </c>
      <c r="C878">
        <v>79.5</v>
      </c>
    </row>
    <row r="879" spans="1:3" x14ac:dyDescent="0.3">
      <c r="A879" s="284">
        <v>44664</v>
      </c>
      <c r="B879">
        <v>80.92</v>
      </c>
      <c r="C879">
        <v>80.91</v>
      </c>
    </row>
    <row r="880" spans="1:3" x14ac:dyDescent="0.3">
      <c r="A880" s="284">
        <v>44663</v>
      </c>
      <c r="B880">
        <v>79.790000000000006</v>
      </c>
      <c r="C880">
        <v>79.78</v>
      </c>
    </row>
    <row r="881" spans="1:3" x14ac:dyDescent="0.3">
      <c r="A881" s="284">
        <v>44662</v>
      </c>
      <c r="B881">
        <v>80.680000000000007</v>
      </c>
      <c r="C881">
        <v>80.680000000000007</v>
      </c>
    </row>
    <row r="882" spans="1:3" x14ac:dyDescent="0.3">
      <c r="A882" s="284">
        <v>44659</v>
      </c>
      <c r="B882">
        <v>81.52</v>
      </c>
      <c r="C882">
        <v>81.5</v>
      </c>
    </row>
    <row r="883" spans="1:3" x14ac:dyDescent="0.3">
      <c r="A883" s="284">
        <v>44658</v>
      </c>
      <c r="B883">
        <v>83.12</v>
      </c>
      <c r="C883">
        <v>83.11</v>
      </c>
    </row>
    <row r="884" spans="1:3" x14ac:dyDescent="0.3">
      <c r="A884" s="284">
        <v>44657</v>
      </c>
      <c r="B884">
        <v>83.36</v>
      </c>
      <c r="C884">
        <v>83.35</v>
      </c>
    </row>
    <row r="885" spans="1:3" x14ac:dyDescent="0.3">
      <c r="A885" s="284">
        <v>44656</v>
      </c>
      <c r="B885">
        <v>84.12</v>
      </c>
      <c r="C885">
        <v>84.12</v>
      </c>
    </row>
    <row r="886" spans="1:3" x14ac:dyDescent="0.3">
      <c r="A886" s="284">
        <v>44655</v>
      </c>
      <c r="B886">
        <v>88.09</v>
      </c>
      <c r="C886">
        <v>88.09</v>
      </c>
    </row>
    <row r="887" spans="1:3" x14ac:dyDescent="0.3">
      <c r="A887" s="284">
        <v>44652</v>
      </c>
      <c r="B887">
        <v>91.49</v>
      </c>
      <c r="C887">
        <v>91.48</v>
      </c>
    </row>
    <row r="888" spans="1:3" x14ac:dyDescent="0.3">
      <c r="A888" s="284">
        <v>44651</v>
      </c>
      <c r="B888">
        <v>90.97</v>
      </c>
      <c r="C888">
        <v>90.97</v>
      </c>
    </row>
    <row r="889" spans="1:3" x14ac:dyDescent="0.3">
      <c r="A889" s="284">
        <v>44650</v>
      </c>
      <c r="B889">
        <v>91.03</v>
      </c>
      <c r="C889">
        <v>91.03</v>
      </c>
    </row>
    <row r="890" spans="1:3" x14ac:dyDescent="0.3">
      <c r="A890" s="284">
        <v>44649</v>
      </c>
      <c r="B890">
        <v>91.23</v>
      </c>
      <c r="C890">
        <v>91.24</v>
      </c>
    </row>
    <row r="891" spans="1:3" x14ac:dyDescent="0.3">
      <c r="A891" s="284">
        <v>44648</v>
      </c>
      <c r="B891">
        <v>88.38</v>
      </c>
      <c r="C891">
        <v>88.38</v>
      </c>
    </row>
    <row r="892" spans="1:3" x14ac:dyDescent="0.3">
      <c r="A892" s="284">
        <v>44645</v>
      </c>
      <c r="B892">
        <v>87.45</v>
      </c>
      <c r="C892">
        <v>87.45</v>
      </c>
    </row>
    <row r="893" spans="1:3" x14ac:dyDescent="0.3">
      <c r="A893" s="284">
        <v>44644</v>
      </c>
      <c r="B893">
        <v>87.12</v>
      </c>
      <c r="C893">
        <v>87.12</v>
      </c>
    </row>
    <row r="894" spans="1:3" x14ac:dyDescent="0.3">
      <c r="A894" s="284">
        <v>44643</v>
      </c>
      <c r="B894">
        <v>86.22</v>
      </c>
      <c r="C894">
        <v>86.22</v>
      </c>
    </row>
    <row r="895" spans="1:3" x14ac:dyDescent="0.3">
      <c r="A895" s="284">
        <v>44642</v>
      </c>
      <c r="B895">
        <v>87.89</v>
      </c>
      <c r="C895">
        <v>87.89</v>
      </c>
    </row>
    <row r="896" spans="1:3" x14ac:dyDescent="0.3">
      <c r="A896" s="284">
        <v>44641</v>
      </c>
      <c r="B896">
        <v>86.86</v>
      </c>
      <c r="C896">
        <v>86.86</v>
      </c>
    </row>
    <row r="897" spans="1:3" x14ac:dyDescent="0.3">
      <c r="A897" s="284">
        <v>44638</v>
      </c>
      <c r="B897">
        <v>89.6</v>
      </c>
      <c r="C897">
        <v>89.51</v>
      </c>
    </row>
    <row r="898" spans="1:3" x14ac:dyDescent="0.3">
      <c r="A898" s="284">
        <v>44637</v>
      </c>
      <c r="B898">
        <v>87.66</v>
      </c>
      <c r="C898">
        <v>87.66</v>
      </c>
    </row>
    <row r="899" spans="1:3" x14ac:dyDescent="0.3">
      <c r="A899" s="284">
        <v>44636</v>
      </c>
      <c r="B899">
        <v>87.41</v>
      </c>
      <c r="C899">
        <v>87.41</v>
      </c>
    </row>
    <row r="900" spans="1:3" x14ac:dyDescent="0.3">
      <c r="A900" s="284">
        <v>44635</v>
      </c>
      <c r="B900">
        <v>83.12</v>
      </c>
      <c r="C900">
        <v>83.1</v>
      </c>
    </row>
    <row r="901" spans="1:3" x14ac:dyDescent="0.3">
      <c r="A901" s="284">
        <v>44634</v>
      </c>
      <c r="B901">
        <v>79.290000000000006</v>
      </c>
      <c r="C901">
        <v>79.27</v>
      </c>
    </row>
    <row r="902" spans="1:3" x14ac:dyDescent="0.3">
      <c r="A902" s="284">
        <v>44631</v>
      </c>
      <c r="B902">
        <v>82.73</v>
      </c>
      <c r="C902">
        <v>82.7</v>
      </c>
    </row>
    <row r="903" spans="1:3" x14ac:dyDescent="0.3">
      <c r="A903" s="284">
        <v>44630</v>
      </c>
      <c r="B903">
        <v>87.16</v>
      </c>
      <c r="C903">
        <v>87.16</v>
      </c>
    </row>
    <row r="904" spans="1:3" x14ac:dyDescent="0.3">
      <c r="A904" s="284">
        <v>44629</v>
      </c>
      <c r="B904">
        <v>87.6</v>
      </c>
      <c r="C904">
        <v>87.59</v>
      </c>
    </row>
    <row r="905" spans="1:3" x14ac:dyDescent="0.3">
      <c r="A905" s="284">
        <v>44628</v>
      </c>
      <c r="B905">
        <v>84</v>
      </c>
      <c r="C905">
        <v>83.98</v>
      </c>
    </row>
    <row r="906" spans="1:3" x14ac:dyDescent="0.3">
      <c r="A906" s="284">
        <v>44627</v>
      </c>
      <c r="B906">
        <v>84.46</v>
      </c>
      <c r="C906">
        <v>84.46</v>
      </c>
    </row>
    <row r="907" spans="1:3" x14ac:dyDescent="0.3">
      <c r="A907" s="284">
        <v>44624</v>
      </c>
      <c r="B907">
        <v>90.03</v>
      </c>
      <c r="C907">
        <v>90.03</v>
      </c>
    </row>
    <row r="908" spans="1:3" x14ac:dyDescent="0.3">
      <c r="A908" s="284">
        <v>44623</v>
      </c>
      <c r="B908">
        <v>91.53</v>
      </c>
      <c r="C908">
        <v>91.52</v>
      </c>
    </row>
    <row r="909" spans="1:3" x14ac:dyDescent="0.3">
      <c r="A909" s="284">
        <v>44622</v>
      </c>
      <c r="B909">
        <v>92.77</v>
      </c>
      <c r="C909">
        <v>92.74</v>
      </c>
    </row>
    <row r="910" spans="1:3" x14ac:dyDescent="0.3">
      <c r="A910" s="284">
        <v>44621</v>
      </c>
      <c r="B910">
        <v>90.14</v>
      </c>
      <c r="C910">
        <v>90.14</v>
      </c>
    </row>
    <row r="911" spans="1:3" x14ac:dyDescent="0.3">
      <c r="A911" s="284">
        <v>44620</v>
      </c>
      <c r="B911">
        <v>91.79</v>
      </c>
      <c r="C911">
        <v>91.76</v>
      </c>
    </row>
    <row r="912" spans="1:3" x14ac:dyDescent="0.3">
      <c r="A912" s="284">
        <v>44617</v>
      </c>
      <c r="B912">
        <v>92.58</v>
      </c>
      <c r="C912">
        <v>92.57</v>
      </c>
    </row>
    <row r="913" spans="1:3" x14ac:dyDescent="0.3">
      <c r="A913" s="284">
        <v>44616</v>
      </c>
      <c r="B913">
        <v>91.01</v>
      </c>
      <c r="C913">
        <v>90.99</v>
      </c>
    </row>
    <row r="914" spans="1:3" x14ac:dyDescent="0.3">
      <c r="A914" s="284">
        <v>44615</v>
      </c>
      <c r="B914">
        <v>89.65</v>
      </c>
      <c r="C914">
        <v>89.66</v>
      </c>
    </row>
    <row r="915" spans="1:3" x14ac:dyDescent="0.3">
      <c r="A915" s="284">
        <v>44614</v>
      </c>
      <c r="B915">
        <v>93.11</v>
      </c>
      <c r="C915">
        <v>93.11</v>
      </c>
    </row>
    <row r="916" spans="1:3" x14ac:dyDescent="0.3">
      <c r="A916" s="284">
        <v>44610</v>
      </c>
      <c r="B916">
        <v>93.34</v>
      </c>
      <c r="C916">
        <v>93.34</v>
      </c>
    </row>
    <row r="917" spans="1:3" x14ac:dyDescent="0.3">
      <c r="A917" s="284">
        <v>44609</v>
      </c>
      <c r="B917">
        <v>93.05</v>
      </c>
      <c r="C917">
        <v>93.05</v>
      </c>
    </row>
    <row r="918" spans="1:3" x14ac:dyDescent="0.3">
      <c r="A918" s="284">
        <v>44608</v>
      </c>
      <c r="B918">
        <v>95.18</v>
      </c>
      <c r="C918">
        <v>95.15</v>
      </c>
    </row>
    <row r="919" spans="1:3" x14ac:dyDescent="0.3">
      <c r="A919" s="284">
        <v>44607</v>
      </c>
      <c r="B919">
        <v>94.51</v>
      </c>
      <c r="C919">
        <v>94.47</v>
      </c>
    </row>
    <row r="920" spans="1:3" x14ac:dyDescent="0.3">
      <c r="A920" s="284">
        <v>44606</v>
      </c>
      <c r="B920">
        <v>93.65</v>
      </c>
      <c r="C920">
        <v>93.64</v>
      </c>
    </row>
    <row r="921" spans="1:3" x14ac:dyDescent="0.3">
      <c r="A921" s="284">
        <v>44603</v>
      </c>
      <c r="B921">
        <v>93.73</v>
      </c>
      <c r="C921">
        <v>93.72</v>
      </c>
    </row>
    <row r="922" spans="1:3" x14ac:dyDescent="0.3">
      <c r="A922" s="284">
        <v>44602</v>
      </c>
      <c r="B922">
        <v>95.31</v>
      </c>
      <c r="C922">
        <v>95.32</v>
      </c>
    </row>
    <row r="923" spans="1:3" x14ac:dyDescent="0.3">
      <c r="A923" s="284">
        <v>44601</v>
      </c>
      <c r="B923">
        <v>97.13</v>
      </c>
      <c r="C923">
        <v>97.12</v>
      </c>
    </row>
    <row r="924" spans="1:3" x14ac:dyDescent="0.3">
      <c r="A924" s="284">
        <v>44600</v>
      </c>
      <c r="B924">
        <v>94.92</v>
      </c>
      <c r="C924">
        <v>94.91</v>
      </c>
    </row>
    <row r="925" spans="1:3" x14ac:dyDescent="0.3">
      <c r="A925" s="284">
        <v>44599</v>
      </c>
      <c r="B925">
        <v>95.19</v>
      </c>
      <c r="C925">
        <v>95.2</v>
      </c>
    </row>
    <row r="926" spans="1:3" x14ac:dyDescent="0.3">
      <c r="A926" s="284">
        <v>44596</v>
      </c>
      <c r="B926">
        <v>95</v>
      </c>
      <c r="C926">
        <v>94.99</v>
      </c>
    </row>
    <row r="927" spans="1:3" x14ac:dyDescent="0.3">
      <c r="A927" s="284">
        <v>44595</v>
      </c>
      <c r="B927">
        <v>95.94</v>
      </c>
      <c r="C927">
        <v>95.94</v>
      </c>
    </row>
    <row r="928" spans="1:3" x14ac:dyDescent="0.3">
      <c r="A928" s="284">
        <v>44594</v>
      </c>
      <c r="B928">
        <v>97.73</v>
      </c>
      <c r="C928">
        <v>97.69</v>
      </c>
    </row>
    <row r="929" spans="1:3" x14ac:dyDescent="0.3">
      <c r="A929" s="284">
        <v>44593</v>
      </c>
      <c r="B929">
        <v>98.76</v>
      </c>
      <c r="C929">
        <v>98.63</v>
      </c>
    </row>
    <row r="930" spans="1:3" x14ac:dyDescent="0.3">
      <c r="A930" s="284">
        <v>44592</v>
      </c>
      <c r="B930">
        <v>98.32</v>
      </c>
      <c r="C930">
        <v>98.3</v>
      </c>
    </row>
    <row r="931" spans="1:3" x14ac:dyDescent="0.3">
      <c r="A931" s="284">
        <v>44589</v>
      </c>
      <c r="B931">
        <v>97.21</v>
      </c>
      <c r="C931">
        <v>97.18</v>
      </c>
    </row>
    <row r="932" spans="1:3" x14ac:dyDescent="0.3">
      <c r="A932" s="284">
        <v>44588</v>
      </c>
      <c r="B932">
        <v>95.32</v>
      </c>
      <c r="C932">
        <v>95.32</v>
      </c>
    </row>
    <row r="933" spans="1:3" x14ac:dyDescent="0.3">
      <c r="A933" s="284">
        <v>44587</v>
      </c>
      <c r="B933">
        <v>95.58</v>
      </c>
      <c r="C933">
        <v>95.55</v>
      </c>
    </row>
    <row r="934" spans="1:3" x14ac:dyDescent="0.3">
      <c r="A934" s="284">
        <v>44586</v>
      </c>
      <c r="B934">
        <v>97.01</v>
      </c>
      <c r="C934">
        <v>97.01</v>
      </c>
    </row>
    <row r="935" spans="1:3" x14ac:dyDescent="0.3">
      <c r="A935" s="284">
        <v>44585</v>
      </c>
      <c r="B935">
        <v>98.1</v>
      </c>
      <c r="C935">
        <v>98.1</v>
      </c>
    </row>
    <row r="936" spans="1:3" x14ac:dyDescent="0.3">
      <c r="A936" s="284">
        <v>44582</v>
      </c>
      <c r="B936">
        <v>96.31</v>
      </c>
      <c r="C936">
        <v>96.28</v>
      </c>
    </row>
    <row r="937" spans="1:3" x14ac:dyDescent="0.3">
      <c r="A937" s="284">
        <v>44581</v>
      </c>
      <c r="B937">
        <v>95.72</v>
      </c>
      <c r="C937">
        <v>95.69</v>
      </c>
    </row>
    <row r="938" spans="1:3" x14ac:dyDescent="0.3">
      <c r="A938" s="284">
        <v>44580</v>
      </c>
      <c r="B938">
        <v>96.87</v>
      </c>
      <c r="C938">
        <v>96.87</v>
      </c>
    </row>
    <row r="939" spans="1:3" x14ac:dyDescent="0.3">
      <c r="A939" s="284">
        <v>44579</v>
      </c>
      <c r="B939">
        <v>97.73</v>
      </c>
      <c r="C939">
        <v>97.74</v>
      </c>
    </row>
    <row r="940" spans="1:3" x14ac:dyDescent="0.3">
      <c r="A940" s="284">
        <v>44575</v>
      </c>
      <c r="B940">
        <v>100.12</v>
      </c>
      <c r="C940">
        <v>100.11</v>
      </c>
    </row>
    <row r="941" spans="1:3" x14ac:dyDescent="0.3">
      <c r="A941" s="284">
        <v>44574</v>
      </c>
      <c r="B941">
        <v>102.4</v>
      </c>
      <c r="C941">
        <v>102.42</v>
      </c>
    </row>
    <row r="942" spans="1:3" x14ac:dyDescent="0.3">
      <c r="A942" s="284">
        <v>44573</v>
      </c>
      <c r="B942">
        <v>103.87</v>
      </c>
      <c r="C942">
        <v>103.84</v>
      </c>
    </row>
    <row r="943" spans="1:3" x14ac:dyDescent="0.3">
      <c r="A943" s="284">
        <v>44572</v>
      </c>
      <c r="B943">
        <v>104.04</v>
      </c>
      <c r="C943">
        <v>104.03</v>
      </c>
    </row>
    <row r="944" spans="1:3" x14ac:dyDescent="0.3">
      <c r="A944" s="284">
        <v>44571</v>
      </c>
      <c r="B944">
        <v>106.03</v>
      </c>
      <c r="C944">
        <v>106.04</v>
      </c>
    </row>
    <row r="945" spans="1:3" x14ac:dyDescent="0.3">
      <c r="A945" s="284">
        <v>44568</v>
      </c>
      <c r="B945">
        <v>107.57</v>
      </c>
      <c r="C945">
        <v>107.57</v>
      </c>
    </row>
    <row r="946" spans="1:3" x14ac:dyDescent="0.3">
      <c r="A946" s="284">
        <v>44567</v>
      </c>
      <c r="B946">
        <v>111.14</v>
      </c>
      <c r="C946">
        <v>111.14</v>
      </c>
    </row>
    <row r="947" spans="1:3" x14ac:dyDescent="0.3">
      <c r="A947" s="284">
        <v>44566</v>
      </c>
      <c r="B947">
        <v>110.44</v>
      </c>
      <c r="C947">
        <v>110.42</v>
      </c>
    </row>
    <row r="948" spans="1:3" x14ac:dyDescent="0.3">
      <c r="A948" s="284">
        <v>44565</v>
      </c>
      <c r="B948">
        <v>114.24</v>
      </c>
      <c r="C948">
        <v>114.23</v>
      </c>
    </row>
    <row r="949" spans="1:3" x14ac:dyDescent="0.3">
      <c r="A949" s="284">
        <v>44564</v>
      </c>
      <c r="B949">
        <v>116.68</v>
      </c>
      <c r="C949">
        <v>116.66</v>
      </c>
    </row>
    <row r="950" spans="1:3" x14ac:dyDescent="0.3">
      <c r="A950" s="284">
        <v>44561</v>
      </c>
      <c r="B950">
        <v>116.97</v>
      </c>
      <c r="C950">
        <v>116.97</v>
      </c>
    </row>
    <row r="951" spans="1:3" x14ac:dyDescent="0.3">
      <c r="A951" s="284">
        <v>44560</v>
      </c>
      <c r="B951">
        <v>116.24</v>
      </c>
      <c r="C951">
        <v>116.22</v>
      </c>
    </row>
    <row r="952" spans="1:3" x14ac:dyDescent="0.3">
      <c r="A952" s="284">
        <v>44559</v>
      </c>
      <c r="B952">
        <v>116.38</v>
      </c>
      <c r="C952">
        <v>116.36</v>
      </c>
    </row>
    <row r="953" spans="1:3" x14ac:dyDescent="0.3">
      <c r="A953" s="284">
        <v>44558</v>
      </c>
      <c r="B953">
        <v>115.57</v>
      </c>
      <c r="C953">
        <v>115.58</v>
      </c>
    </row>
    <row r="954" spans="1:3" x14ac:dyDescent="0.3">
      <c r="A954" s="284">
        <v>44557</v>
      </c>
      <c r="B954">
        <v>114.22</v>
      </c>
      <c r="C954">
        <v>114.21</v>
      </c>
    </row>
    <row r="955" spans="1:3" x14ac:dyDescent="0.3">
      <c r="A955" s="284">
        <v>44553</v>
      </c>
      <c r="B955">
        <v>112.37</v>
      </c>
      <c r="C955">
        <v>112.36</v>
      </c>
    </row>
    <row r="956" spans="1:3" x14ac:dyDescent="0.3">
      <c r="A956" s="284">
        <v>44552</v>
      </c>
      <c r="B956">
        <v>111.74</v>
      </c>
      <c r="C956">
        <v>111.75</v>
      </c>
    </row>
    <row r="957" spans="1:3" x14ac:dyDescent="0.3">
      <c r="A957" s="284">
        <v>44551</v>
      </c>
      <c r="B957">
        <v>110.37</v>
      </c>
      <c r="C957">
        <v>110.36</v>
      </c>
    </row>
    <row r="958" spans="1:3" x14ac:dyDescent="0.3">
      <c r="A958" s="284">
        <v>44550</v>
      </c>
      <c r="B958">
        <v>108.09</v>
      </c>
      <c r="C958">
        <v>108.09</v>
      </c>
    </row>
    <row r="959" spans="1:3" x14ac:dyDescent="0.3">
      <c r="A959" s="284">
        <v>44547</v>
      </c>
      <c r="B959">
        <v>108.63</v>
      </c>
      <c r="C959">
        <v>108.62</v>
      </c>
    </row>
    <row r="960" spans="1:3" x14ac:dyDescent="0.3">
      <c r="A960" s="284">
        <v>44546</v>
      </c>
      <c r="B960">
        <v>113.59</v>
      </c>
      <c r="C960">
        <v>113.57</v>
      </c>
    </row>
    <row r="961" spans="1:3" x14ac:dyDescent="0.3">
      <c r="A961" s="284">
        <v>44545</v>
      </c>
      <c r="B961">
        <v>114.68</v>
      </c>
      <c r="C961">
        <v>114.66</v>
      </c>
    </row>
    <row r="962" spans="1:3" x14ac:dyDescent="0.3">
      <c r="A962" s="284">
        <v>44544</v>
      </c>
      <c r="B962">
        <v>114.71</v>
      </c>
      <c r="C962">
        <v>114.72</v>
      </c>
    </row>
    <row r="963" spans="1:3" x14ac:dyDescent="0.3">
      <c r="A963" s="284">
        <v>44543</v>
      </c>
      <c r="B963">
        <v>115.56</v>
      </c>
      <c r="C963">
        <v>115.56</v>
      </c>
    </row>
    <row r="964" spans="1:3" x14ac:dyDescent="0.3">
      <c r="A964" s="284">
        <v>44540</v>
      </c>
      <c r="B964">
        <v>116.73</v>
      </c>
      <c r="C964">
        <v>116.72</v>
      </c>
    </row>
    <row r="965" spans="1:3" x14ac:dyDescent="0.3">
      <c r="A965" s="284">
        <v>44539</v>
      </c>
      <c r="B965">
        <v>115.35</v>
      </c>
      <c r="C965">
        <v>115.35</v>
      </c>
    </row>
    <row r="966" spans="1:3" x14ac:dyDescent="0.3">
      <c r="A966" s="284">
        <v>44538</v>
      </c>
      <c r="B966">
        <v>116.25</v>
      </c>
      <c r="C966">
        <v>116.24</v>
      </c>
    </row>
    <row r="967" spans="1:3" x14ac:dyDescent="0.3">
      <c r="A967" s="284">
        <v>44537</v>
      </c>
      <c r="B967">
        <v>116.26</v>
      </c>
      <c r="C967">
        <v>116.27</v>
      </c>
    </row>
    <row r="968" spans="1:3" x14ac:dyDescent="0.3">
      <c r="A968" s="284">
        <v>44536</v>
      </c>
      <c r="B968">
        <v>113.36</v>
      </c>
      <c r="C968">
        <v>113.36</v>
      </c>
    </row>
    <row r="969" spans="1:3" x14ac:dyDescent="0.3">
      <c r="A969" s="284">
        <v>44533</v>
      </c>
      <c r="B969">
        <v>111.24</v>
      </c>
      <c r="C969">
        <v>111.24</v>
      </c>
    </row>
    <row r="970" spans="1:3" x14ac:dyDescent="0.3">
      <c r="A970" s="284">
        <v>44532</v>
      </c>
      <c r="B970">
        <v>111.42</v>
      </c>
      <c r="C970">
        <v>111.42</v>
      </c>
    </row>
    <row r="971" spans="1:3" x14ac:dyDescent="0.3">
      <c r="A971" s="284">
        <v>44531</v>
      </c>
      <c r="B971">
        <v>108.66</v>
      </c>
      <c r="C971">
        <v>108.62</v>
      </c>
    </row>
    <row r="972" spans="1:3" x14ac:dyDescent="0.3">
      <c r="A972" s="284">
        <v>44530</v>
      </c>
      <c r="B972">
        <v>109.64</v>
      </c>
      <c r="C972">
        <v>109.62</v>
      </c>
    </row>
    <row r="973" spans="1:3" x14ac:dyDescent="0.3">
      <c r="A973" s="284">
        <v>44529</v>
      </c>
      <c r="B973">
        <v>110.73</v>
      </c>
      <c r="C973">
        <v>110.72</v>
      </c>
    </row>
    <row r="974" spans="1:3" x14ac:dyDescent="0.3">
      <c r="A974" s="284">
        <v>44526</v>
      </c>
      <c r="B974">
        <v>110.66</v>
      </c>
      <c r="C974">
        <v>110.58</v>
      </c>
    </row>
    <row r="975" spans="1:3" x14ac:dyDescent="0.3">
      <c r="A975" s="284">
        <v>44524</v>
      </c>
      <c r="B975">
        <v>113.97</v>
      </c>
      <c r="C975">
        <v>113.97</v>
      </c>
    </row>
    <row r="976" spans="1:3" x14ac:dyDescent="0.3">
      <c r="A976" s="284">
        <v>44523</v>
      </c>
      <c r="B976">
        <v>113.58</v>
      </c>
      <c r="C976">
        <v>113.57</v>
      </c>
    </row>
    <row r="977" spans="1:3" x14ac:dyDescent="0.3">
      <c r="A977" s="284">
        <v>44522</v>
      </c>
      <c r="B977">
        <v>111.45</v>
      </c>
      <c r="C977">
        <v>111.41</v>
      </c>
    </row>
    <row r="978" spans="1:3" x14ac:dyDescent="0.3">
      <c r="A978" s="284">
        <v>44519</v>
      </c>
      <c r="B978">
        <v>110.78</v>
      </c>
      <c r="C978">
        <v>110.78</v>
      </c>
    </row>
    <row r="979" spans="1:3" x14ac:dyDescent="0.3">
      <c r="A979" s="284">
        <v>44518</v>
      </c>
      <c r="B979">
        <v>112.9</v>
      </c>
      <c r="C979">
        <v>112.88</v>
      </c>
    </row>
    <row r="980" spans="1:3" x14ac:dyDescent="0.3">
      <c r="A980" s="284">
        <v>44517</v>
      </c>
      <c r="B980">
        <v>112.52</v>
      </c>
      <c r="C980">
        <v>112.52</v>
      </c>
    </row>
    <row r="981" spans="1:3" x14ac:dyDescent="0.3">
      <c r="A981" s="284">
        <v>44516</v>
      </c>
      <c r="B981">
        <v>112.23</v>
      </c>
      <c r="C981">
        <v>112.21</v>
      </c>
    </row>
    <row r="982" spans="1:3" x14ac:dyDescent="0.3">
      <c r="A982" s="284">
        <v>44515</v>
      </c>
      <c r="B982">
        <v>111.87</v>
      </c>
      <c r="C982">
        <v>111.88</v>
      </c>
    </row>
    <row r="983" spans="1:3" x14ac:dyDescent="0.3">
      <c r="A983" s="284">
        <v>44512</v>
      </c>
      <c r="B983">
        <v>111.72</v>
      </c>
      <c r="C983">
        <v>111.72</v>
      </c>
    </row>
    <row r="984" spans="1:3" x14ac:dyDescent="0.3">
      <c r="A984" s="284">
        <v>44511</v>
      </c>
      <c r="B984">
        <v>111.44</v>
      </c>
      <c r="C984">
        <v>111.43</v>
      </c>
    </row>
    <row r="985" spans="1:3" x14ac:dyDescent="0.3">
      <c r="A985" s="284">
        <v>44510</v>
      </c>
      <c r="B985">
        <v>113.25</v>
      </c>
      <c r="C985">
        <v>113.22</v>
      </c>
    </row>
    <row r="986" spans="1:3" x14ac:dyDescent="0.3">
      <c r="A986" s="284">
        <v>44509</v>
      </c>
      <c r="B986">
        <v>114.13</v>
      </c>
      <c r="C986">
        <v>114.12</v>
      </c>
    </row>
    <row r="987" spans="1:3" x14ac:dyDescent="0.3">
      <c r="A987" s="284">
        <v>44508</v>
      </c>
      <c r="B987">
        <v>115.16</v>
      </c>
      <c r="C987">
        <v>115.12</v>
      </c>
    </row>
    <row r="988" spans="1:3" x14ac:dyDescent="0.3">
      <c r="A988" s="284">
        <v>44505</v>
      </c>
      <c r="B988">
        <v>116.91</v>
      </c>
      <c r="C988">
        <v>116.9</v>
      </c>
    </row>
    <row r="989" spans="1:3" x14ac:dyDescent="0.3">
      <c r="A989" s="284">
        <v>44504</v>
      </c>
      <c r="B989">
        <v>112.16</v>
      </c>
      <c r="C989">
        <v>112.16</v>
      </c>
    </row>
    <row r="990" spans="1:3" x14ac:dyDescent="0.3">
      <c r="A990" s="284">
        <v>44503</v>
      </c>
      <c r="B990">
        <v>112.61</v>
      </c>
      <c r="C990">
        <v>112.61</v>
      </c>
    </row>
    <row r="991" spans="1:3" x14ac:dyDescent="0.3">
      <c r="A991" s="284">
        <v>44502</v>
      </c>
      <c r="B991">
        <v>111.45</v>
      </c>
      <c r="C991">
        <v>111.46</v>
      </c>
    </row>
    <row r="992" spans="1:3" x14ac:dyDescent="0.3">
      <c r="A992" s="284">
        <v>44501</v>
      </c>
      <c r="B992">
        <v>109.8</v>
      </c>
      <c r="C992">
        <v>109.8</v>
      </c>
    </row>
    <row r="993" spans="1:3" x14ac:dyDescent="0.3">
      <c r="A993" s="284">
        <v>44498</v>
      </c>
      <c r="B993">
        <v>106.07</v>
      </c>
      <c r="C993">
        <v>106.01</v>
      </c>
    </row>
    <row r="994" spans="1:3" x14ac:dyDescent="0.3">
      <c r="A994" s="284">
        <v>44497</v>
      </c>
      <c r="B994">
        <v>113.2</v>
      </c>
      <c r="C994">
        <v>113.19</v>
      </c>
    </row>
    <row r="995" spans="1:3" x14ac:dyDescent="0.3">
      <c r="A995" s="284">
        <v>44496</v>
      </c>
      <c r="B995">
        <v>113.51</v>
      </c>
      <c r="C995">
        <v>113.51</v>
      </c>
    </row>
    <row r="996" spans="1:3" x14ac:dyDescent="0.3">
      <c r="A996" s="284">
        <v>44495</v>
      </c>
      <c r="B996">
        <v>114.92</v>
      </c>
      <c r="C996">
        <v>114.92</v>
      </c>
    </row>
    <row r="997" spans="1:3" x14ac:dyDescent="0.3">
      <c r="A997" s="284">
        <v>44494</v>
      </c>
      <c r="B997">
        <v>114.71</v>
      </c>
      <c r="C997">
        <v>114.73</v>
      </c>
    </row>
    <row r="998" spans="1:3" x14ac:dyDescent="0.3">
      <c r="A998" s="284">
        <v>44491</v>
      </c>
      <c r="B998">
        <v>114.55</v>
      </c>
      <c r="C998">
        <v>114.56</v>
      </c>
    </row>
    <row r="999" spans="1:3" x14ac:dyDescent="0.3">
      <c r="A999" s="284">
        <v>44490</v>
      </c>
      <c r="B999">
        <v>114.44</v>
      </c>
      <c r="C999">
        <v>114.43</v>
      </c>
    </row>
    <row r="1000" spans="1:3" x14ac:dyDescent="0.3">
      <c r="A1000" s="284">
        <v>44489</v>
      </c>
      <c r="B1000">
        <v>113.86</v>
      </c>
      <c r="C1000">
        <v>113.87</v>
      </c>
    </row>
    <row r="1001" spans="1:3" x14ac:dyDescent="0.3">
      <c r="A1001" s="284">
        <v>44488</v>
      </c>
      <c r="B1001">
        <v>113.49</v>
      </c>
      <c r="C1001">
        <v>113.49</v>
      </c>
    </row>
    <row r="1002" spans="1:3" x14ac:dyDescent="0.3">
      <c r="A1002" s="284">
        <v>44487</v>
      </c>
      <c r="B1002">
        <v>113.37</v>
      </c>
      <c r="C1002">
        <v>113.37</v>
      </c>
    </row>
    <row r="1003" spans="1:3" x14ac:dyDescent="0.3">
      <c r="A1003" s="284">
        <v>44484</v>
      </c>
      <c r="B1003">
        <v>111.45</v>
      </c>
      <c r="C1003">
        <v>111.42</v>
      </c>
    </row>
    <row r="1004" spans="1:3" x14ac:dyDescent="0.3">
      <c r="A1004" s="284">
        <v>44483</v>
      </c>
      <c r="B1004">
        <v>111.87</v>
      </c>
      <c r="C1004">
        <v>111.87</v>
      </c>
    </row>
    <row r="1005" spans="1:3" x14ac:dyDescent="0.3">
      <c r="A1005" s="284">
        <v>44482</v>
      </c>
      <c r="B1005">
        <v>110.76</v>
      </c>
      <c r="C1005">
        <v>110.8</v>
      </c>
    </row>
    <row r="1006" spans="1:3" x14ac:dyDescent="0.3">
      <c r="A1006" s="284">
        <v>44481</v>
      </c>
      <c r="B1006">
        <v>111</v>
      </c>
      <c r="C1006">
        <v>110.99</v>
      </c>
    </row>
    <row r="1007" spans="1:3" x14ac:dyDescent="0.3">
      <c r="A1007" s="284">
        <v>44480</v>
      </c>
      <c r="B1007">
        <v>110.94</v>
      </c>
      <c r="C1007">
        <v>110.92</v>
      </c>
    </row>
    <row r="1008" spans="1:3" x14ac:dyDescent="0.3">
      <c r="A1008" s="284">
        <v>44477</v>
      </c>
      <c r="B1008">
        <v>111.22</v>
      </c>
      <c r="C1008">
        <v>111.21</v>
      </c>
    </row>
    <row r="1009" spans="1:3" x14ac:dyDescent="0.3">
      <c r="A1009" s="284">
        <v>44476</v>
      </c>
      <c r="B1009">
        <v>112.21</v>
      </c>
      <c r="C1009">
        <v>112.22</v>
      </c>
    </row>
    <row r="1010" spans="1:3" x14ac:dyDescent="0.3">
      <c r="A1010" s="284">
        <v>44475</v>
      </c>
      <c r="B1010">
        <v>111.64</v>
      </c>
      <c r="C1010">
        <v>111.66</v>
      </c>
    </row>
    <row r="1011" spans="1:3" x14ac:dyDescent="0.3">
      <c r="A1011" s="284">
        <v>44474</v>
      </c>
      <c r="B1011">
        <v>110.85</v>
      </c>
      <c r="C1011">
        <v>110.84</v>
      </c>
    </row>
    <row r="1012" spans="1:3" x14ac:dyDescent="0.3">
      <c r="A1012" s="284">
        <v>44473</v>
      </c>
      <c r="B1012">
        <v>111.46</v>
      </c>
      <c r="C1012">
        <v>111.51</v>
      </c>
    </row>
    <row r="1013" spans="1:3" x14ac:dyDescent="0.3">
      <c r="A1013" s="284">
        <v>44470</v>
      </c>
      <c r="B1013">
        <v>112.92</v>
      </c>
      <c r="C1013">
        <v>112.92</v>
      </c>
    </row>
    <row r="1014" spans="1:3" x14ac:dyDescent="0.3">
      <c r="A1014" s="284">
        <v>44469</v>
      </c>
      <c r="B1014">
        <v>110.31</v>
      </c>
      <c r="C1014">
        <v>110.31</v>
      </c>
    </row>
    <row r="1015" spans="1:3" x14ac:dyDescent="0.3">
      <c r="A1015" s="284">
        <v>44468</v>
      </c>
      <c r="B1015">
        <v>112.17</v>
      </c>
      <c r="C1015">
        <v>112.16</v>
      </c>
    </row>
    <row r="1016" spans="1:3" x14ac:dyDescent="0.3">
      <c r="A1016" s="284">
        <v>44467</v>
      </c>
      <c r="B1016">
        <v>111.71</v>
      </c>
      <c r="C1016">
        <v>111.71</v>
      </c>
    </row>
    <row r="1017" spans="1:3" x14ac:dyDescent="0.3">
      <c r="A1017" s="284">
        <v>44466</v>
      </c>
      <c r="B1017">
        <v>113.68</v>
      </c>
      <c r="C1017">
        <v>113.66</v>
      </c>
    </row>
    <row r="1018" spans="1:3" x14ac:dyDescent="0.3">
      <c r="A1018" s="284">
        <v>44463</v>
      </c>
      <c r="B1018">
        <v>114.11</v>
      </c>
      <c r="C1018">
        <v>114.09</v>
      </c>
    </row>
    <row r="1019" spans="1:3" x14ac:dyDescent="0.3">
      <c r="A1019" s="284">
        <v>44462</v>
      </c>
      <c r="B1019">
        <v>114.14</v>
      </c>
      <c r="C1019">
        <v>114.14</v>
      </c>
    </row>
    <row r="1020" spans="1:3" x14ac:dyDescent="0.3">
      <c r="A1020" s="284">
        <v>44461</v>
      </c>
      <c r="B1020">
        <v>113.07</v>
      </c>
      <c r="C1020">
        <v>113.07</v>
      </c>
    </row>
    <row r="1021" spans="1:3" x14ac:dyDescent="0.3">
      <c r="A1021" s="284">
        <v>44460</v>
      </c>
      <c r="B1021">
        <v>112.22</v>
      </c>
      <c r="C1021">
        <v>112.21</v>
      </c>
    </row>
    <row r="1022" spans="1:3" x14ac:dyDescent="0.3">
      <c r="A1022" s="284">
        <v>44459</v>
      </c>
      <c r="B1022">
        <v>111.82</v>
      </c>
      <c r="C1022">
        <v>111.83</v>
      </c>
    </row>
    <row r="1023" spans="1:3" x14ac:dyDescent="0.3">
      <c r="A1023" s="284">
        <v>44456</v>
      </c>
      <c r="B1023">
        <v>113.41</v>
      </c>
      <c r="C1023">
        <v>113.38</v>
      </c>
    </row>
    <row r="1024" spans="1:3" x14ac:dyDescent="0.3">
      <c r="A1024" s="284">
        <v>44455</v>
      </c>
      <c r="B1024">
        <v>114.67</v>
      </c>
      <c r="C1024">
        <v>114.64</v>
      </c>
    </row>
    <row r="1025" spans="1:3" x14ac:dyDescent="0.3">
      <c r="A1025" s="284">
        <v>44454</v>
      </c>
      <c r="B1025">
        <v>114.64</v>
      </c>
      <c r="C1025">
        <v>114.67</v>
      </c>
    </row>
    <row r="1026" spans="1:3" x14ac:dyDescent="0.3">
      <c r="A1026" s="284">
        <v>44453</v>
      </c>
      <c r="B1026">
        <v>118.86</v>
      </c>
      <c r="C1026">
        <v>118.86</v>
      </c>
    </row>
    <row r="1027" spans="1:3" x14ac:dyDescent="0.3">
      <c r="A1027" s="284">
        <v>44452</v>
      </c>
      <c r="B1027">
        <v>119.18</v>
      </c>
      <c r="C1027">
        <v>119.18</v>
      </c>
    </row>
    <row r="1028" spans="1:3" x14ac:dyDescent="0.3">
      <c r="A1028" s="284">
        <v>44449</v>
      </c>
      <c r="B1028">
        <v>119.34</v>
      </c>
      <c r="C1028">
        <v>119.34</v>
      </c>
    </row>
    <row r="1029" spans="1:3" x14ac:dyDescent="0.3">
      <c r="A1029" s="284">
        <v>44448</v>
      </c>
      <c r="B1029">
        <v>118.79</v>
      </c>
      <c r="C1029">
        <v>118.76</v>
      </c>
    </row>
    <row r="1030" spans="1:3" x14ac:dyDescent="0.3">
      <c r="A1030" s="284">
        <v>44447</v>
      </c>
      <c r="B1030">
        <v>118.04</v>
      </c>
      <c r="C1030">
        <v>118.04</v>
      </c>
    </row>
    <row r="1031" spans="1:3" x14ac:dyDescent="0.3">
      <c r="A1031" s="284">
        <v>44446</v>
      </c>
      <c r="B1031">
        <v>115.79</v>
      </c>
      <c r="C1031">
        <v>115.8</v>
      </c>
    </row>
    <row r="1032" spans="1:3" x14ac:dyDescent="0.3">
      <c r="A1032" s="284">
        <v>44442</v>
      </c>
      <c r="B1032">
        <v>117.19</v>
      </c>
      <c r="C1032">
        <v>117.18</v>
      </c>
    </row>
    <row r="1033" spans="1:3" x14ac:dyDescent="0.3">
      <c r="A1033" s="284">
        <v>44441</v>
      </c>
      <c r="B1033">
        <v>117.37</v>
      </c>
      <c r="C1033">
        <v>117.38</v>
      </c>
    </row>
    <row r="1034" spans="1:3" x14ac:dyDescent="0.3">
      <c r="A1034" s="284">
        <v>44440</v>
      </c>
      <c r="B1034">
        <v>117.45</v>
      </c>
      <c r="C1034">
        <v>117.44</v>
      </c>
    </row>
    <row r="1035" spans="1:3" x14ac:dyDescent="0.3">
      <c r="A1035" s="284">
        <v>44439</v>
      </c>
      <c r="B1035">
        <v>117.49</v>
      </c>
      <c r="C1035">
        <v>117.49</v>
      </c>
    </row>
    <row r="1036" spans="1:3" x14ac:dyDescent="0.3">
      <c r="A1036" s="284">
        <v>44438</v>
      </c>
      <c r="B1036">
        <v>115.61</v>
      </c>
      <c r="C1036">
        <v>115.59</v>
      </c>
    </row>
    <row r="1037" spans="1:3" x14ac:dyDescent="0.3">
      <c r="A1037" s="284">
        <v>44435</v>
      </c>
      <c r="B1037">
        <v>115.12</v>
      </c>
      <c r="C1037">
        <v>115.11</v>
      </c>
    </row>
    <row r="1038" spans="1:3" x14ac:dyDescent="0.3">
      <c r="A1038" s="284">
        <v>44434</v>
      </c>
      <c r="B1038">
        <v>114.32</v>
      </c>
      <c r="C1038">
        <v>114.29</v>
      </c>
    </row>
    <row r="1039" spans="1:3" x14ac:dyDescent="0.3">
      <c r="A1039" s="284">
        <v>44433</v>
      </c>
      <c r="B1039">
        <v>115.57</v>
      </c>
      <c r="C1039">
        <v>115.57</v>
      </c>
    </row>
    <row r="1040" spans="1:3" x14ac:dyDescent="0.3">
      <c r="A1040" s="284">
        <v>44432</v>
      </c>
      <c r="B1040">
        <v>115.08</v>
      </c>
      <c r="C1040">
        <v>115.09</v>
      </c>
    </row>
    <row r="1041" spans="1:3" x14ac:dyDescent="0.3">
      <c r="A1041" s="284">
        <v>44431</v>
      </c>
      <c r="B1041">
        <v>115.15</v>
      </c>
      <c r="C1041">
        <v>115.12</v>
      </c>
    </row>
    <row r="1042" spans="1:3" x14ac:dyDescent="0.3">
      <c r="A1042" s="284">
        <v>44428</v>
      </c>
      <c r="B1042">
        <v>114.63</v>
      </c>
      <c r="C1042">
        <v>114.62</v>
      </c>
    </row>
    <row r="1043" spans="1:3" x14ac:dyDescent="0.3">
      <c r="A1043" s="284">
        <v>44427</v>
      </c>
      <c r="B1043">
        <v>114.32</v>
      </c>
      <c r="C1043">
        <v>114.33</v>
      </c>
    </row>
    <row r="1044" spans="1:3" x14ac:dyDescent="0.3">
      <c r="A1044" s="284">
        <v>44426</v>
      </c>
      <c r="B1044">
        <v>115.68</v>
      </c>
      <c r="C1044">
        <v>115.68</v>
      </c>
    </row>
    <row r="1045" spans="1:3" x14ac:dyDescent="0.3">
      <c r="A1045" s="284">
        <v>44425</v>
      </c>
      <c r="B1045">
        <v>116.57</v>
      </c>
      <c r="C1045">
        <v>116.56</v>
      </c>
    </row>
    <row r="1046" spans="1:3" x14ac:dyDescent="0.3">
      <c r="A1046" s="284">
        <v>44424</v>
      </c>
      <c r="B1046">
        <v>117.54</v>
      </c>
      <c r="C1046">
        <v>117.54</v>
      </c>
    </row>
    <row r="1047" spans="1:3" x14ac:dyDescent="0.3">
      <c r="A1047" s="284">
        <v>44421</v>
      </c>
      <c r="B1047">
        <v>116.76</v>
      </c>
      <c r="C1047">
        <v>116.75</v>
      </c>
    </row>
    <row r="1048" spans="1:3" x14ac:dyDescent="0.3">
      <c r="A1048" s="284">
        <v>44420</v>
      </c>
      <c r="B1048">
        <v>115.75</v>
      </c>
      <c r="C1048">
        <v>115.73</v>
      </c>
    </row>
    <row r="1049" spans="1:3" x14ac:dyDescent="0.3">
      <c r="A1049" s="284">
        <v>44419</v>
      </c>
      <c r="B1049">
        <v>116.5</v>
      </c>
      <c r="C1049">
        <v>116.5</v>
      </c>
    </row>
    <row r="1050" spans="1:3" x14ac:dyDescent="0.3">
      <c r="A1050" s="284">
        <v>44418</v>
      </c>
      <c r="B1050">
        <v>116.39</v>
      </c>
      <c r="C1050">
        <v>116.39</v>
      </c>
    </row>
    <row r="1051" spans="1:3" x14ac:dyDescent="0.3">
      <c r="A1051" s="284">
        <v>44417</v>
      </c>
      <c r="B1051">
        <v>117.94</v>
      </c>
      <c r="C1051">
        <v>117.93</v>
      </c>
    </row>
    <row r="1052" spans="1:3" x14ac:dyDescent="0.3">
      <c r="A1052" s="284">
        <v>44414</v>
      </c>
      <c r="B1052">
        <v>119.05</v>
      </c>
      <c r="C1052">
        <v>119.05</v>
      </c>
    </row>
    <row r="1053" spans="1:3" x14ac:dyDescent="0.3">
      <c r="A1053" s="284">
        <v>44413</v>
      </c>
      <c r="B1053">
        <v>119.03</v>
      </c>
      <c r="C1053">
        <v>119.02</v>
      </c>
    </row>
    <row r="1054" spans="1:3" x14ac:dyDescent="0.3">
      <c r="A1054" s="284">
        <v>44412</v>
      </c>
      <c r="B1054">
        <v>118.25</v>
      </c>
      <c r="C1054">
        <v>118.22</v>
      </c>
    </row>
    <row r="1055" spans="1:3" x14ac:dyDescent="0.3">
      <c r="A1055" s="284">
        <v>44411</v>
      </c>
      <c r="B1055">
        <v>119.13</v>
      </c>
      <c r="C1055">
        <v>119.11</v>
      </c>
    </row>
    <row r="1056" spans="1:3" x14ac:dyDescent="0.3">
      <c r="A1056" s="284">
        <v>44410</v>
      </c>
      <c r="B1056">
        <v>120.37</v>
      </c>
      <c r="C1056">
        <v>120.36</v>
      </c>
    </row>
    <row r="1057" spans="1:3" x14ac:dyDescent="0.3">
      <c r="A1057" s="284">
        <v>44407</v>
      </c>
      <c r="B1057">
        <v>121.43</v>
      </c>
      <c r="C1057">
        <v>121.43</v>
      </c>
    </row>
    <row r="1058" spans="1:3" x14ac:dyDescent="0.3">
      <c r="A1058" s="284">
        <v>44406</v>
      </c>
      <c r="B1058">
        <v>122.38</v>
      </c>
      <c r="C1058">
        <v>122.36</v>
      </c>
    </row>
    <row r="1059" spans="1:3" x14ac:dyDescent="0.3">
      <c r="A1059" s="284">
        <v>44405</v>
      </c>
      <c r="B1059">
        <v>122.41</v>
      </c>
      <c r="C1059">
        <v>122.38</v>
      </c>
    </row>
    <row r="1060" spans="1:3" x14ac:dyDescent="0.3">
      <c r="A1060" s="284">
        <v>44404</v>
      </c>
      <c r="B1060">
        <v>126.03</v>
      </c>
      <c r="C1060">
        <v>126.03</v>
      </c>
    </row>
    <row r="1061" spans="1:3" x14ac:dyDescent="0.3">
      <c r="A1061" s="284">
        <v>44403</v>
      </c>
      <c r="B1061">
        <v>126.06</v>
      </c>
      <c r="C1061">
        <v>126.04</v>
      </c>
    </row>
    <row r="1062" spans="1:3" x14ac:dyDescent="0.3">
      <c r="A1062" s="284">
        <v>44400</v>
      </c>
      <c r="B1062">
        <v>125.97</v>
      </c>
      <c r="C1062">
        <v>125.96</v>
      </c>
    </row>
    <row r="1063" spans="1:3" x14ac:dyDescent="0.3">
      <c r="A1063" s="284">
        <v>44399</v>
      </c>
      <c r="B1063">
        <v>122.63</v>
      </c>
      <c r="C1063">
        <v>122.62</v>
      </c>
    </row>
    <row r="1064" spans="1:3" x14ac:dyDescent="0.3">
      <c r="A1064" s="284">
        <v>44398</v>
      </c>
      <c r="B1064">
        <v>119.27</v>
      </c>
      <c r="C1064">
        <v>119.26</v>
      </c>
    </row>
    <row r="1065" spans="1:3" x14ac:dyDescent="0.3">
      <c r="A1065" s="284">
        <v>44397</v>
      </c>
      <c r="B1065">
        <v>117.42</v>
      </c>
      <c r="C1065">
        <v>117.4</v>
      </c>
    </row>
    <row r="1066" spans="1:3" x14ac:dyDescent="0.3">
      <c r="A1066" s="284">
        <v>44396</v>
      </c>
      <c r="B1066">
        <v>115.32</v>
      </c>
      <c r="C1066">
        <v>115.31</v>
      </c>
    </row>
    <row r="1067" spans="1:3" x14ac:dyDescent="0.3">
      <c r="A1067" s="284">
        <v>44393</v>
      </c>
      <c r="B1067">
        <v>118.73</v>
      </c>
      <c r="C1067">
        <v>118.72</v>
      </c>
    </row>
    <row r="1068" spans="1:3" x14ac:dyDescent="0.3">
      <c r="A1068" s="284">
        <v>44392</v>
      </c>
      <c r="B1068">
        <v>118.97</v>
      </c>
      <c r="C1068">
        <v>118.94</v>
      </c>
    </row>
    <row r="1069" spans="1:3" x14ac:dyDescent="0.3">
      <c r="A1069" s="284">
        <v>44391</v>
      </c>
      <c r="B1069">
        <v>119.8</v>
      </c>
      <c r="C1069">
        <v>119.78</v>
      </c>
    </row>
    <row r="1070" spans="1:3" x14ac:dyDescent="0.3">
      <c r="A1070" s="284">
        <v>44390</v>
      </c>
      <c r="B1070">
        <v>119.55</v>
      </c>
      <c r="C1070">
        <v>119.56</v>
      </c>
    </row>
    <row r="1071" spans="1:3" x14ac:dyDescent="0.3">
      <c r="A1071" s="284">
        <v>44389</v>
      </c>
      <c r="B1071">
        <v>118.46</v>
      </c>
      <c r="C1071">
        <v>118.45</v>
      </c>
    </row>
    <row r="1072" spans="1:3" x14ac:dyDescent="0.3">
      <c r="A1072" s="284">
        <v>44386</v>
      </c>
      <c r="B1072">
        <v>117.47</v>
      </c>
      <c r="C1072">
        <v>117.47</v>
      </c>
    </row>
    <row r="1073" spans="1:3" x14ac:dyDescent="0.3">
      <c r="A1073" s="284">
        <v>44385</v>
      </c>
      <c r="B1073">
        <v>115.99</v>
      </c>
      <c r="C1073">
        <v>116.03</v>
      </c>
    </row>
    <row r="1074" spans="1:3" x14ac:dyDescent="0.3">
      <c r="A1074" s="284">
        <v>44384</v>
      </c>
      <c r="B1074">
        <v>117.14</v>
      </c>
      <c r="C1074">
        <v>117.14</v>
      </c>
    </row>
    <row r="1075" spans="1:3" x14ac:dyDescent="0.3">
      <c r="A1075" s="284">
        <v>44383</v>
      </c>
      <c r="B1075">
        <v>115.73</v>
      </c>
      <c r="C1075">
        <v>115.72</v>
      </c>
    </row>
    <row r="1076" spans="1:3" x14ac:dyDescent="0.3">
      <c r="A1076" s="284">
        <v>44379</v>
      </c>
      <c r="B1076">
        <v>114.97</v>
      </c>
      <c r="C1076">
        <v>114.96</v>
      </c>
    </row>
    <row r="1077" spans="1:3" x14ac:dyDescent="0.3">
      <c r="A1077" s="284">
        <v>44378</v>
      </c>
      <c r="B1077">
        <v>113.41</v>
      </c>
      <c r="C1077">
        <v>113.4</v>
      </c>
    </row>
    <row r="1078" spans="1:3" x14ac:dyDescent="0.3">
      <c r="A1078" s="284">
        <v>44377</v>
      </c>
      <c r="B1078">
        <v>111.81</v>
      </c>
      <c r="C1078">
        <v>111.8</v>
      </c>
    </row>
    <row r="1079" spans="1:3" x14ac:dyDescent="0.3">
      <c r="A1079" s="284">
        <v>44376</v>
      </c>
      <c r="B1079">
        <v>112.27</v>
      </c>
      <c r="C1079">
        <v>112.27</v>
      </c>
    </row>
    <row r="1080" spans="1:3" x14ac:dyDescent="0.3">
      <c r="A1080" s="284">
        <v>44375</v>
      </c>
      <c r="B1080">
        <v>112.24</v>
      </c>
      <c r="C1080">
        <v>112.22</v>
      </c>
    </row>
    <row r="1081" spans="1:3" x14ac:dyDescent="0.3">
      <c r="A1081" s="284">
        <v>44372</v>
      </c>
      <c r="B1081">
        <v>113.04</v>
      </c>
      <c r="C1081">
        <v>113.04</v>
      </c>
    </row>
    <row r="1082" spans="1:3" x14ac:dyDescent="0.3">
      <c r="A1082" s="284">
        <v>44371</v>
      </c>
      <c r="B1082">
        <v>111.99</v>
      </c>
      <c r="C1082">
        <v>111.97</v>
      </c>
    </row>
    <row r="1083" spans="1:3" x14ac:dyDescent="0.3">
      <c r="A1083" s="284">
        <v>44370</v>
      </c>
      <c r="B1083">
        <v>111.56</v>
      </c>
      <c r="C1083">
        <v>111.54</v>
      </c>
    </row>
    <row r="1084" spans="1:3" x14ac:dyDescent="0.3">
      <c r="A1084" s="284">
        <v>44369</v>
      </c>
      <c r="B1084">
        <v>111.85</v>
      </c>
      <c r="C1084">
        <v>111.85</v>
      </c>
    </row>
    <row r="1085" spans="1:3" x14ac:dyDescent="0.3">
      <c r="A1085" s="284">
        <v>44368</v>
      </c>
      <c r="B1085">
        <v>110.97</v>
      </c>
      <c r="C1085">
        <v>110.96</v>
      </c>
    </row>
    <row r="1086" spans="1:3" x14ac:dyDescent="0.3">
      <c r="A1086" s="284">
        <v>44365</v>
      </c>
      <c r="B1086">
        <v>109.7</v>
      </c>
      <c r="C1086">
        <v>109.69</v>
      </c>
    </row>
    <row r="1087" spans="1:3" x14ac:dyDescent="0.3">
      <c r="A1087" s="284">
        <v>44364</v>
      </c>
      <c r="B1087">
        <v>111.39</v>
      </c>
      <c r="C1087">
        <v>111.34</v>
      </c>
    </row>
    <row r="1088" spans="1:3" x14ac:dyDescent="0.3">
      <c r="A1088" s="284">
        <v>44363</v>
      </c>
      <c r="B1088">
        <v>111.36</v>
      </c>
      <c r="C1088">
        <v>111.35</v>
      </c>
    </row>
    <row r="1089" spans="1:3" x14ac:dyDescent="0.3">
      <c r="A1089" s="284">
        <v>44362</v>
      </c>
      <c r="B1089">
        <v>111.89</v>
      </c>
      <c r="C1089">
        <v>111.91</v>
      </c>
    </row>
    <row r="1090" spans="1:3" x14ac:dyDescent="0.3">
      <c r="A1090" s="284">
        <v>44361</v>
      </c>
      <c r="B1090">
        <v>112.45</v>
      </c>
      <c r="C1090">
        <v>112.46</v>
      </c>
    </row>
    <row r="1091" spans="1:3" x14ac:dyDescent="0.3">
      <c r="A1091" s="284">
        <v>44358</v>
      </c>
      <c r="B1091">
        <v>112.56</v>
      </c>
      <c r="C1091">
        <v>112.54</v>
      </c>
    </row>
    <row r="1092" spans="1:3" x14ac:dyDescent="0.3">
      <c r="A1092" s="284">
        <v>44357</v>
      </c>
      <c r="B1092">
        <v>112.21</v>
      </c>
      <c r="C1092">
        <v>112.21</v>
      </c>
    </row>
    <row r="1093" spans="1:3" x14ac:dyDescent="0.3">
      <c r="A1093" s="284">
        <v>44356</v>
      </c>
      <c r="B1093">
        <v>111.39</v>
      </c>
      <c r="C1093">
        <v>111.39</v>
      </c>
    </row>
    <row r="1094" spans="1:3" x14ac:dyDescent="0.3">
      <c r="A1094" s="284">
        <v>44355</v>
      </c>
      <c r="B1094">
        <v>111.52</v>
      </c>
      <c r="C1094">
        <v>111.53</v>
      </c>
    </row>
    <row r="1095" spans="1:3" x14ac:dyDescent="0.3">
      <c r="A1095" s="284">
        <v>44354</v>
      </c>
      <c r="B1095">
        <v>111.33</v>
      </c>
      <c r="C1095">
        <v>111.33</v>
      </c>
    </row>
    <row r="1096" spans="1:3" x14ac:dyDescent="0.3">
      <c r="A1096" s="284">
        <v>44351</v>
      </c>
      <c r="B1096">
        <v>111.99</v>
      </c>
      <c r="C1096">
        <v>111.98</v>
      </c>
    </row>
    <row r="1097" spans="1:3" x14ac:dyDescent="0.3">
      <c r="A1097" s="284">
        <v>44350</v>
      </c>
      <c r="B1097">
        <v>111.12</v>
      </c>
      <c r="C1097">
        <v>111.12</v>
      </c>
    </row>
    <row r="1098" spans="1:3" x14ac:dyDescent="0.3">
      <c r="A1098" s="284">
        <v>44349</v>
      </c>
      <c r="B1098">
        <v>113</v>
      </c>
      <c r="C1098">
        <v>112.97</v>
      </c>
    </row>
    <row r="1099" spans="1:3" x14ac:dyDescent="0.3">
      <c r="A1099" s="284">
        <v>44348</v>
      </c>
      <c r="B1099">
        <v>113.34</v>
      </c>
      <c r="C1099">
        <v>113.34</v>
      </c>
    </row>
    <row r="1100" spans="1:3" x14ac:dyDescent="0.3">
      <c r="A1100" s="284">
        <v>44344</v>
      </c>
      <c r="B1100">
        <v>113.88</v>
      </c>
      <c r="C1100">
        <v>113.88</v>
      </c>
    </row>
    <row r="1101" spans="1:3" x14ac:dyDescent="0.3">
      <c r="A1101" s="284">
        <v>44343</v>
      </c>
      <c r="B1101">
        <v>113.51</v>
      </c>
      <c r="C1101">
        <v>113.5</v>
      </c>
    </row>
    <row r="1102" spans="1:3" x14ac:dyDescent="0.3">
      <c r="A1102" s="284">
        <v>44342</v>
      </c>
      <c r="B1102">
        <v>112.85</v>
      </c>
      <c r="C1102">
        <v>112.86</v>
      </c>
    </row>
    <row r="1103" spans="1:3" x14ac:dyDescent="0.3">
      <c r="A1103" s="284">
        <v>44341</v>
      </c>
      <c r="B1103">
        <v>112.63</v>
      </c>
      <c r="C1103">
        <v>112.63</v>
      </c>
    </row>
    <row r="1104" spans="1:3" x14ac:dyDescent="0.3">
      <c r="A1104" s="284">
        <v>44340</v>
      </c>
      <c r="B1104">
        <v>112.52</v>
      </c>
      <c r="C1104">
        <v>112.48</v>
      </c>
    </row>
    <row r="1105" spans="1:3" x14ac:dyDescent="0.3">
      <c r="A1105" s="284">
        <v>44337</v>
      </c>
      <c r="B1105">
        <v>110.92</v>
      </c>
      <c r="C1105">
        <v>110.91</v>
      </c>
    </row>
    <row r="1106" spans="1:3" x14ac:dyDescent="0.3">
      <c r="A1106" s="284">
        <v>44336</v>
      </c>
      <c r="B1106">
        <v>111.41</v>
      </c>
      <c r="C1106">
        <v>111.41</v>
      </c>
    </row>
    <row r="1107" spans="1:3" x14ac:dyDescent="0.3">
      <c r="A1107" s="284">
        <v>44335</v>
      </c>
      <c r="B1107">
        <v>109.67</v>
      </c>
      <c r="C1107">
        <v>109.64</v>
      </c>
    </row>
    <row r="1108" spans="1:3" x14ac:dyDescent="0.3">
      <c r="A1108" s="284">
        <v>44334</v>
      </c>
      <c r="B1108">
        <v>111.07</v>
      </c>
      <c r="C1108">
        <v>111.07</v>
      </c>
    </row>
    <row r="1109" spans="1:3" x14ac:dyDescent="0.3">
      <c r="A1109" s="284">
        <v>44333</v>
      </c>
      <c r="B1109">
        <v>110.98</v>
      </c>
      <c r="C1109">
        <v>110.96</v>
      </c>
    </row>
    <row r="1110" spans="1:3" x14ac:dyDescent="0.3">
      <c r="A1110" s="284">
        <v>44330</v>
      </c>
      <c r="B1110">
        <v>111.2</v>
      </c>
      <c r="C1110">
        <v>111.19</v>
      </c>
    </row>
    <row r="1111" spans="1:3" x14ac:dyDescent="0.3">
      <c r="A1111" s="284">
        <v>44329</v>
      </c>
      <c r="B1111">
        <v>110.49</v>
      </c>
      <c r="C1111">
        <v>110.48</v>
      </c>
    </row>
    <row r="1112" spans="1:3" x14ac:dyDescent="0.3">
      <c r="A1112" s="284">
        <v>44328</v>
      </c>
      <c r="B1112">
        <v>109.79</v>
      </c>
      <c r="C1112">
        <v>109.79</v>
      </c>
    </row>
    <row r="1113" spans="1:3" x14ac:dyDescent="0.3">
      <c r="A1113" s="284">
        <v>44327</v>
      </c>
      <c r="B1113">
        <v>113.55</v>
      </c>
      <c r="C1113">
        <v>113.54</v>
      </c>
    </row>
    <row r="1114" spans="1:3" x14ac:dyDescent="0.3">
      <c r="A1114" s="284">
        <v>44326</v>
      </c>
      <c r="B1114">
        <v>114.3</v>
      </c>
      <c r="C1114">
        <v>114.29</v>
      </c>
    </row>
    <row r="1115" spans="1:3" x14ac:dyDescent="0.3">
      <c r="A1115" s="284">
        <v>44323</v>
      </c>
      <c r="B1115">
        <v>114.34</v>
      </c>
      <c r="C1115">
        <v>114.26</v>
      </c>
    </row>
    <row r="1116" spans="1:3" x14ac:dyDescent="0.3">
      <c r="A1116" s="284">
        <v>44322</v>
      </c>
      <c r="B1116">
        <v>114.74</v>
      </c>
      <c r="C1116">
        <v>114.73</v>
      </c>
    </row>
    <row r="1117" spans="1:3" x14ac:dyDescent="0.3">
      <c r="A1117" s="284">
        <v>44321</v>
      </c>
      <c r="B1117">
        <v>113.48</v>
      </c>
      <c r="C1117">
        <v>113.48</v>
      </c>
    </row>
    <row r="1118" spans="1:3" x14ac:dyDescent="0.3">
      <c r="A1118" s="284">
        <v>44320</v>
      </c>
      <c r="B1118">
        <v>114.11</v>
      </c>
      <c r="C1118">
        <v>114.12</v>
      </c>
    </row>
    <row r="1119" spans="1:3" x14ac:dyDescent="0.3">
      <c r="A1119" s="284">
        <v>44319</v>
      </c>
      <c r="B1119">
        <v>115.72</v>
      </c>
      <c r="C1119">
        <v>115.72</v>
      </c>
    </row>
    <row r="1120" spans="1:3" x14ac:dyDescent="0.3">
      <c r="A1120" s="284">
        <v>44316</v>
      </c>
      <c r="B1120">
        <v>114.49</v>
      </c>
      <c r="C1120">
        <v>114.49</v>
      </c>
    </row>
    <row r="1121" spans="1:3" x14ac:dyDescent="0.3">
      <c r="A1121" s="284">
        <v>44315</v>
      </c>
      <c r="B1121">
        <v>114.63</v>
      </c>
      <c r="C1121">
        <v>114.61</v>
      </c>
    </row>
    <row r="1122" spans="1:3" x14ac:dyDescent="0.3">
      <c r="A1122" s="284">
        <v>44314</v>
      </c>
      <c r="B1122">
        <v>112.4</v>
      </c>
      <c r="C1122">
        <v>112.4</v>
      </c>
    </row>
    <row r="1123" spans="1:3" x14ac:dyDescent="0.3">
      <c r="A1123" s="284">
        <v>44313</v>
      </c>
      <c r="B1123">
        <v>116.15</v>
      </c>
      <c r="C1123">
        <v>116.17</v>
      </c>
    </row>
    <row r="1124" spans="1:3" x14ac:dyDescent="0.3">
      <c r="A1124" s="284">
        <v>44312</v>
      </c>
      <c r="B1124">
        <v>115.92</v>
      </c>
      <c r="C1124">
        <v>115.9</v>
      </c>
    </row>
    <row r="1125" spans="1:3" x14ac:dyDescent="0.3">
      <c r="A1125" s="284">
        <v>44309</v>
      </c>
      <c r="B1125">
        <v>117.56</v>
      </c>
      <c r="C1125">
        <v>117.53</v>
      </c>
    </row>
    <row r="1126" spans="1:3" x14ac:dyDescent="0.3">
      <c r="A1126" s="284">
        <v>44308</v>
      </c>
      <c r="B1126">
        <v>115.92</v>
      </c>
      <c r="C1126">
        <v>115.92</v>
      </c>
    </row>
    <row r="1127" spans="1:3" x14ac:dyDescent="0.3">
      <c r="A1127" s="284">
        <v>44307</v>
      </c>
      <c r="B1127">
        <v>116.74</v>
      </c>
      <c r="C1127">
        <v>116.69</v>
      </c>
    </row>
    <row r="1128" spans="1:3" x14ac:dyDescent="0.3">
      <c r="A1128" s="284">
        <v>44306</v>
      </c>
      <c r="B1128">
        <v>116.27</v>
      </c>
      <c r="C1128">
        <v>116.26</v>
      </c>
    </row>
    <row r="1129" spans="1:3" x14ac:dyDescent="0.3">
      <c r="A1129" s="284">
        <v>44305</v>
      </c>
      <c r="B1129">
        <v>117.6</v>
      </c>
      <c r="C1129">
        <v>117.64</v>
      </c>
    </row>
    <row r="1130" spans="1:3" x14ac:dyDescent="0.3">
      <c r="A1130" s="284">
        <v>44302</v>
      </c>
      <c r="B1130">
        <v>118.34</v>
      </c>
      <c r="C1130">
        <v>118.3</v>
      </c>
    </row>
    <row r="1131" spans="1:3" x14ac:dyDescent="0.3">
      <c r="A1131" s="284">
        <v>44301</v>
      </c>
      <c r="B1131">
        <v>116.66</v>
      </c>
      <c r="C1131">
        <v>116.64</v>
      </c>
    </row>
    <row r="1132" spans="1:3" x14ac:dyDescent="0.3">
      <c r="A1132" s="284">
        <v>44300</v>
      </c>
      <c r="B1132">
        <v>115.16</v>
      </c>
      <c r="C1132">
        <v>115.12</v>
      </c>
    </row>
    <row r="1133" spans="1:3" x14ac:dyDescent="0.3">
      <c r="A1133" s="284">
        <v>44299</v>
      </c>
      <c r="B1133">
        <v>115.36</v>
      </c>
      <c r="C1133">
        <v>115.36</v>
      </c>
    </row>
    <row r="1134" spans="1:3" x14ac:dyDescent="0.3">
      <c r="A1134" s="284">
        <v>44298</v>
      </c>
      <c r="B1134">
        <v>113.81</v>
      </c>
      <c r="C1134">
        <v>113.8</v>
      </c>
    </row>
    <row r="1135" spans="1:3" x14ac:dyDescent="0.3">
      <c r="A1135" s="284">
        <v>44295</v>
      </c>
      <c r="B1135">
        <v>113.18</v>
      </c>
      <c r="C1135">
        <v>113.16</v>
      </c>
    </row>
    <row r="1136" spans="1:3" x14ac:dyDescent="0.3">
      <c r="A1136" s="284">
        <v>44294</v>
      </c>
      <c r="B1136">
        <v>113.04</v>
      </c>
      <c r="C1136">
        <v>113.03</v>
      </c>
    </row>
    <row r="1137" spans="1:3" x14ac:dyDescent="0.3">
      <c r="A1137" s="284">
        <v>44293</v>
      </c>
      <c r="B1137">
        <v>113.19</v>
      </c>
      <c r="C1137">
        <v>113.19</v>
      </c>
    </row>
    <row r="1138" spans="1:3" x14ac:dyDescent="0.3">
      <c r="A1138" s="284">
        <v>44292</v>
      </c>
      <c r="B1138">
        <v>113.15</v>
      </c>
      <c r="C1138">
        <v>113.15</v>
      </c>
    </row>
    <row r="1139" spans="1:3" x14ac:dyDescent="0.3">
      <c r="A1139" s="284">
        <v>44291</v>
      </c>
      <c r="B1139">
        <v>111.02</v>
      </c>
      <c r="C1139">
        <v>110.99</v>
      </c>
    </row>
    <row r="1140" spans="1:3" x14ac:dyDescent="0.3">
      <c r="A1140" s="284">
        <v>44287</v>
      </c>
      <c r="B1140">
        <v>109.38</v>
      </c>
      <c r="C1140">
        <v>109.35</v>
      </c>
    </row>
    <row r="1141" spans="1:3" x14ac:dyDescent="0.3">
      <c r="A1141" s="284">
        <v>44286</v>
      </c>
      <c r="B1141">
        <v>109.27</v>
      </c>
      <c r="C1141">
        <v>109.21</v>
      </c>
    </row>
    <row r="1142" spans="1:3" x14ac:dyDescent="0.3">
      <c r="A1142" s="284">
        <v>44285</v>
      </c>
      <c r="B1142">
        <v>110.27</v>
      </c>
      <c r="C1142">
        <v>110.28</v>
      </c>
    </row>
    <row r="1143" spans="1:3" x14ac:dyDescent="0.3">
      <c r="A1143" s="284">
        <v>44284</v>
      </c>
      <c r="B1143">
        <v>109.13</v>
      </c>
      <c r="C1143">
        <v>109.12</v>
      </c>
    </row>
    <row r="1144" spans="1:3" x14ac:dyDescent="0.3">
      <c r="A1144" s="284">
        <v>44281</v>
      </c>
      <c r="B1144">
        <v>109.9</v>
      </c>
      <c r="C1144">
        <v>109.91</v>
      </c>
    </row>
    <row r="1145" spans="1:3" x14ac:dyDescent="0.3">
      <c r="A1145" s="284">
        <v>44280</v>
      </c>
      <c r="B1145">
        <v>107.35</v>
      </c>
      <c r="C1145">
        <v>107.33</v>
      </c>
    </row>
    <row r="1146" spans="1:3" x14ac:dyDescent="0.3">
      <c r="A1146" s="284">
        <v>44279</v>
      </c>
      <c r="B1146">
        <v>104.97</v>
      </c>
      <c r="C1146">
        <v>104.94</v>
      </c>
    </row>
    <row r="1147" spans="1:3" x14ac:dyDescent="0.3">
      <c r="A1147" s="284">
        <v>44278</v>
      </c>
      <c r="B1147">
        <v>106.25</v>
      </c>
      <c r="C1147">
        <v>106.23</v>
      </c>
    </row>
    <row r="1148" spans="1:3" x14ac:dyDescent="0.3">
      <c r="A1148" s="284">
        <v>44277</v>
      </c>
      <c r="B1148">
        <v>107.57</v>
      </c>
      <c r="C1148">
        <v>107.57</v>
      </c>
    </row>
    <row r="1149" spans="1:3" x14ac:dyDescent="0.3">
      <c r="A1149" s="284">
        <v>44274</v>
      </c>
      <c r="B1149">
        <v>106.34</v>
      </c>
      <c r="C1149">
        <v>106.12</v>
      </c>
    </row>
    <row r="1150" spans="1:3" x14ac:dyDescent="0.3">
      <c r="A1150" s="284">
        <v>44273</v>
      </c>
      <c r="B1150">
        <v>107.62</v>
      </c>
      <c r="C1150">
        <v>107.62</v>
      </c>
    </row>
    <row r="1151" spans="1:3" x14ac:dyDescent="0.3">
      <c r="A1151" s="284">
        <v>44272</v>
      </c>
      <c r="B1151">
        <v>110.46</v>
      </c>
      <c r="C1151">
        <v>110.46</v>
      </c>
    </row>
    <row r="1152" spans="1:3" x14ac:dyDescent="0.3">
      <c r="A1152" s="284">
        <v>44271</v>
      </c>
      <c r="B1152">
        <v>111.34</v>
      </c>
      <c r="C1152">
        <v>111.34</v>
      </c>
    </row>
    <row r="1153" spans="1:3" x14ac:dyDescent="0.3">
      <c r="A1153" s="284">
        <v>44270</v>
      </c>
      <c r="B1153">
        <v>108.9</v>
      </c>
      <c r="C1153">
        <v>108.89</v>
      </c>
    </row>
    <row r="1154" spans="1:3" x14ac:dyDescent="0.3">
      <c r="A1154" s="284">
        <v>44267</v>
      </c>
      <c r="B1154">
        <v>107.81</v>
      </c>
      <c r="C1154">
        <v>107.81</v>
      </c>
    </row>
    <row r="1155" spans="1:3" x14ac:dyDescent="0.3">
      <c r="A1155" s="284">
        <v>44266</v>
      </c>
      <c r="B1155">
        <v>107.32</v>
      </c>
      <c r="C1155">
        <v>107.31</v>
      </c>
    </row>
    <row r="1156" spans="1:3" x14ac:dyDescent="0.3">
      <c r="A1156" s="284">
        <v>44265</v>
      </c>
      <c r="B1156">
        <v>107.78</v>
      </c>
      <c r="C1156">
        <v>107.78</v>
      </c>
    </row>
    <row r="1157" spans="1:3" x14ac:dyDescent="0.3">
      <c r="A1157" s="284">
        <v>44264</v>
      </c>
      <c r="B1157">
        <v>106.55</v>
      </c>
      <c r="C1157">
        <v>106.54</v>
      </c>
    </row>
    <row r="1158" spans="1:3" x14ac:dyDescent="0.3">
      <c r="A1158" s="284">
        <v>44263</v>
      </c>
      <c r="B1158">
        <v>105.03</v>
      </c>
      <c r="C1158">
        <v>105.02</v>
      </c>
    </row>
    <row r="1159" spans="1:3" x14ac:dyDescent="0.3">
      <c r="A1159" s="284">
        <v>44260</v>
      </c>
      <c r="B1159">
        <v>105.2</v>
      </c>
      <c r="C1159">
        <v>105.15</v>
      </c>
    </row>
    <row r="1160" spans="1:3" x14ac:dyDescent="0.3">
      <c r="A1160" s="284">
        <v>44259</v>
      </c>
      <c r="B1160">
        <v>104.89</v>
      </c>
      <c r="C1160">
        <v>104.89</v>
      </c>
    </row>
    <row r="1161" spans="1:3" x14ac:dyDescent="0.3">
      <c r="A1161" s="284">
        <v>44258</v>
      </c>
      <c r="B1161">
        <v>106.22</v>
      </c>
      <c r="C1161">
        <v>106.21</v>
      </c>
    </row>
    <row r="1162" spans="1:3" x14ac:dyDescent="0.3">
      <c r="A1162" s="284">
        <v>44257</v>
      </c>
      <c r="B1162">
        <v>107.2</v>
      </c>
      <c r="C1162">
        <v>107.2</v>
      </c>
    </row>
    <row r="1163" spans="1:3" x14ac:dyDescent="0.3">
      <c r="A1163" s="284">
        <v>44256</v>
      </c>
      <c r="B1163">
        <v>106.87</v>
      </c>
      <c r="C1163">
        <v>106.86</v>
      </c>
    </row>
    <row r="1164" spans="1:3" x14ac:dyDescent="0.3">
      <c r="A1164" s="284">
        <v>44253</v>
      </c>
      <c r="B1164">
        <v>108.03</v>
      </c>
      <c r="C1164">
        <v>107.96</v>
      </c>
    </row>
    <row r="1165" spans="1:3" x14ac:dyDescent="0.3">
      <c r="A1165" s="284">
        <v>44252</v>
      </c>
      <c r="B1165">
        <v>103.47</v>
      </c>
      <c r="C1165">
        <v>103.47</v>
      </c>
    </row>
    <row r="1166" spans="1:3" x14ac:dyDescent="0.3">
      <c r="A1166" s="284">
        <v>44251</v>
      </c>
      <c r="B1166">
        <v>104.38</v>
      </c>
      <c r="C1166">
        <v>104.35</v>
      </c>
    </row>
    <row r="1167" spans="1:3" x14ac:dyDescent="0.3">
      <c r="A1167" s="284">
        <v>44250</v>
      </c>
      <c r="B1167">
        <v>101.37</v>
      </c>
      <c r="C1167">
        <v>101.36</v>
      </c>
    </row>
    <row r="1168" spans="1:3" x14ac:dyDescent="0.3">
      <c r="A1168" s="284">
        <v>44249</v>
      </c>
      <c r="B1168">
        <v>101.81</v>
      </c>
      <c r="C1168">
        <v>101.81</v>
      </c>
    </row>
    <row r="1169" spans="1:3" x14ac:dyDescent="0.3">
      <c r="A1169" s="284">
        <v>44246</v>
      </c>
      <c r="B1169">
        <v>103.37</v>
      </c>
      <c r="C1169">
        <v>103.37</v>
      </c>
    </row>
    <row r="1170" spans="1:3" x14ac:dyDescent="0.3">
      <c r="A1170" s="284">
        <v>44245</v>
      </c>
      <c r="B1170">
        <v>104.97</v>
      </c>
      <c r="C1170">
        <v>104.9</v>
      </c>
    </row>
    <row r="1171" spans="1:3" x14ac:dyDescent="0.3">
      <c r="A1171" s="284">
        <v>44244</v>
      </c>
      <c r="B1171">
        <v>104.44</v>
      </c>
      <c r="C1171">
        <v>104.45</v>
      </c>
    </row>
    <row r="1172" spans="1:3" x14ac:dyDescent="0.3">
      <c r="A1172" s="284">
        <v>44243</v>
      </c>
      <c r="B1172">
        <v>106.15</v>
      </c>
      <c r="C1172">
        <v>106.12</v>
      </c>
    </row>
    <row r="1173" spans="1:3" x14ac:dyDescent="0.3">
      <c r="A1173" s="284">
        <v>44239</v>
      </c>
      <c r="B1173">
        <v>105.3</v>
      </c>
      <c r="C1173">
        <v>105.29</v>
      </c>
    </row>
    <row r="1174" spans="1:3" x14ac:dyDescent="0.3">
      <c r="A1174" s="284">
        <v>44238</v>
      </c>
      <c r="B1174">
        <v>105.86</v>
      </c>
      <c r="C1174">
        <v>105.84</v>
      </c>
    </row>
    <row r="1175" spans="1:3" x14ac:dyDescent="0.3">
      <c r="A1175" s="284">
        <v>44237</v>
      </c>
      <c r="B1175">
        <v>105.87</v>
      </c>
      <c r="C1175">
        <v>105.87</v>
      </c>
    </row>
    <row r="1176" spans="1:3" x14ac:dyDescent="0.3">
      <c r="A1176" s="284">
        <v>44236</v>
      </c>
      <c r="B1176">
        <v>106.22</v>
      </c>
      <c r="C1176">
        <v>106.21</v>
      </c>
    </row>
    <row r="1177" spans="1:3" x14ac:dyDescent="0.3">
      <c r="A1177" s="284">
        <v>44235</v>
      </c>
      <c r="B1177">
        <v>106.26</v>
      </c>
      <c r="C1177">
        <v>106.26</v>
      </c>
    </row>
    <row r="1178" spans="1:3" x14ac:dyDescent="0.3">
      <c r="A1178" s="284">
        <v>44232</v>
      </c>
      <c r="B1178">
        <v>106.48</v>
      </c>
      <c r="C1178">
        <v>106.47</v>
      </c>
    </row>
    <row r="1179" spans="1:3" x14ac:dyDescent="0.3">
      <c r="A1179" s="284">
        <v>44231</v>
      </c>
      <c r="B1179">
        <v>103.64</v>
      </c>
      <c r="C1179">
        <v>103.64</v>
      </c>
    </row>
    <row r="1180" spans="1:3" x14ac:dyDescent="0.3">
      <c r="A1180" s="284">
        <v>44230</v>
      </c>
      <c r="B1180">
        <v>101.02</v>
      </c>
      <c r="C1180">
        <v>101</v>
      </c>
    </row>
    <row r="1181" spans="1:3" x14ac:dyDescent="0.3">
      <c r="A1181" s="284">
        <v>44229</v>
      </c>
      <c r="B1181">
        <v>101.65</v>
      </c>
      <c r="C1181">
        <v>101.65</v>
      </c>
    </row>
    <row r="1182" spans="1:3" x14ac:dyDescent="0.3">
      <c r="A1182" s="284">
        <v>44228</v>
      </c>
      <c r="B1182">
        <v>98.58</v>
      </c>
      <c r="C1182">
        <v>98.5</v>
      </c>
    </row>
    <row r="1183" spans="1:3" x14ac:dyDescent="0.3">
      <c r="A1183" s="284">
        <v>44225</v>
      </c>
      <c r="B1183">
        <v>96.81</v>
      </c>
      <c r="C1183">
        <v>96.79</v>
      </c>
    </row>
    <row r="1184" spans="1:3" x14ac:dyDescent="0.3">
      <c r="A1184" s="284">
        <v>44224</v>
      </c>
      <c r="B1184">
        <v>98.15</v>
      </c>
      <c r="C1184">
        <v>98.11</v>
      </c>
    </row>
    <row r="1185" spans="1:3" x14ac:dyDescent="0.3">
      <c r="A1185" s="284">
        <v>44223</v>
      </c>
      <c r="B1185">
        <v>97.87</v>
      </c>
      <c r="C1185">
        <v>97.94</v>
      </c>
    </row>
    <row r="1186" spans="1:3" x14ac:dyDescent="0.3">
      <c r="A1186" s="284">
        <v>44222</v>
      </c>
      <c r="B1186">
        <v>104.69</v>
      </c>
      <c r="C1186">
        <v>104.7</v>
      </c>
    </row>
    <row r="1187" spans="1:3" x14ac:dyDescent="0.3">
      <c r="A1187" s="284">
        <v>44221</v>
      </c>
      <c r="B1187">
        <v>103.45</v>
      </c>
      <c r="C1187">
        <v>103.44</v>
      </c>
    </row>
    <row r="1188" spans="1:3" x14ac:dyDescent="0.3">
      <c r="A1188" s="284">
        <v>44218</v>
      </c>
      <c r="B1188">
        <v>103.91</v>
      </c>
      <c r="C1188">
        <v>103.88</v>
      </c>
    </row>
    <row r="1189" spans="1:3" x14ac:dyDescent="0.3">
      <c r="A1189" s="284">
        <v>44217</v>
      </c>
      <c r="B1189">
        <v>104.58</v>
      </c>
      <c r="C1189">
        <v>104.58</v>
      </c>
    </row>
    <row r="1190" spans="1:3" x14ac:dyDescent="0.3">
      <c r="A1190" s="284">
        <v>44216</v>
      </c>
      <c r="B1190">
        <v>105.46</v>
      </c>
      <c r="C1190">
        <v>105.43</v>
      </c>
    </row>
    <row r="1191" spans="1:3" x14ac:dyDescent="0.3">
      <c r="A1191" s="284">
        <v>44215</v>
      </c>
      <c r="B1191">
        <v>102.54</v>
      </c>
      <c r="C1191">
        <v>102.53</v>
      </c>
    </row>
    <row r="1192" spans="1:3" x14ac:dyDescent="0.3">
      <c r="A1192" s="284">
        <v>44211</v>
      </c>
      <c r="B1192">
        <v>102.33</v>
      </c>
      <c r="C1192">
        <v>102.32</v>
      </c>
    </row>
    <row r="1193" spans="1:3" x14ac:dyDescent="0.3">
      <c r="A1193" s="284">
        <v>44210</v>
      </c>
      <c r="B1193">
        <v>101.82</v>
      </c>
      <c r="C1193">
        <v>101.82</v>
      </c>
    </row>
    <row r="1194" spans="1:3" x14ac:dyDescent="0.3">
      <c r="A1194" s="284">
        <v>44209</v>
      </c>
      <c r="B1194">
        <v>102.89</v>
      </c>
      <c r="C1194">
        <v>102.89</v>
      </c>
    </row>
    <row r="1195" spans="1:3" x14ac:dyDescent="0.3">
      <c r="A1195" s="284">
        <v>44208</v>
      </c>
      <c r="B1195">
        <v>102.82</v>
      </c>
      <c r="C1195">
        <v>102.83</v>
      </c>
    </row>
    <row r="1196" spans="1:3" x14ac:dyDescent="0.3">
      <c r="A1196" s="284">
        <v>44207</v>
      </c>
      <c r="B1196">
        <v>104.6</v>
      </c>
      <c r="C1196">
        <v>104.64</v>
      </c>
    </row>
    <row r="1197" spans="1:3" x14ac:dyDescent="0.3">
      <c r="A1197" s="284">
        <v>44204</v>
      </c>
      <c r="B1197">
        <v>105.67</v>
      </c>
      <c r="C1197">
        <v>105.66</v>
      </c>
    </row>
    <row r="1198" spans="1:3" x14ac:dyDescent="0.3">
      <c r="A1198" s="284">
        <v>44203</v>
      </c>
      <c r="B1198">
        <v>103.35</v>
      </c>
      <c r="C1198">
        <v>103.31</v>
      </c>
    </row>
    <row r="1199" spans="1:3" x14ac:dyDescent="0.3">
      <c r="A1199" s="284">
        <v>44202</v>
      </c>
      <c r="B1199">
        <v>104.19</v>
      </c>
      <c r="C1199">
        <v>104.19</v>
      </c>
    </row>
    <row r="1200" spans="1:3" x14ac:dyDescent="0.3">
      <c r="A1200" s="284">
        <v>44201</v>
      </c>
      <c r="B1200">
        <v>103.44</v>
      </c>
      <c r="C1200">
        <v>103.44</v>
      </c>
    </row>
    <row r="1201" spans="1:3" x14ac:dyDescent="0.3">
      <c r="A1201" s="284">
        <v>44200</v>
      </c>
      <c r="B1201">
        <v>103.1</v>
      </c>
      <c r="C1201">
        <v>103.07</v>
      </c>
    </row>
    <row r="1202" spans="1:3" x14ac:dyDescent="0.3">
      <c r="A1202" s="284">
        <v>44196</v>
      </c>
      <c r="B1202">
        <v>106.98</v>
      </c>
      <c r="C1202">
        <v>106.99</v>
      </c>
    </row>
    <row r="1203" spans="1:3" x14ac:dyDescent="0.3">
      <c r="A1203" s="284">
        <v>44195</v>
      </c>
      <c r="B1203">
        <v>105.97</v>
      </c>
      <c r="C1203">
        <v>105.96</v>
      </c>
    </row>
    <row r="1204" spans="1:3" x14ac:dyDescent="0.3">
      <c r="A1204" s="284">
        <v>44194</v>
      </c>
      <c r="B1204">
        <v>105.63</v>
      </c>
      <c r="C1204">
        <v>105.6</v>
      </c>
    </row>
    <row r="1205" spans="1:3" x14ac:dyDescent="0.3">
      <c r="A1205" s="284">
        <v>44193</v>
      </c>
      <c r="B1205">
        <v>104.34</v>
      </c>
      <c r="C1205">
        <v>104.34</v>
      </c>
    </row>
    <row r="1206" spans="1:3" x14ac:dyDescent="0.3">
      <c r="A1206" s="284">
        <v>44189</v>
      </c>
      <c r="B1206">
        <v>102.01</v>
      </c>
      <c r="C1206">
        <v>101.97</v>
      </c>
    </row>
    <row r="1207" spans="1:3" x14ac:dyDescent="0.3">
      <c r="A1207" s="284">
        <v>44188</v>
      </c>
      <c r="B1207">
        <v>102.06</v>
      </c>
      <c r="C1207">
        <v>102</v>
      </c>
    </row>
    <row r="1208" spans="1:3" x14ac:dyDescent="0.3">
      <c r="A1208" s="284">
        <v>44187</v>
      </c>
      <c r="B1208">
        <v>102.41</v>
      </c>
      <c r="C1208">
        <v>102.41</v>
      </c>
    </row>
    <row r="1209" spans="1:3" x14ac:dyDescent="0.3">
      <c r="A1209" s="284">
        <v>44186</v>
      </c>
      <c r="B1209">
        <v>102.94</v>
      </c>
      <c r="C1209">
        <v>102.94</v>
      </c>
    </row>
    <row r="1210" spans="1:3" x14ac:dyDescent="0.3">
      <c r="A1210" s="284">
        <v>44183</v>
      </c>
      <c r="B1210">
        <v>103.28</v>
      </c>
      <c r="C1210">
        <v>103.26</v>
      </c>
    </row>
    <row r="1211" spans="1:3" x14ac:dyDescent="0.3">
      <c r="A1211" s="284">
        <v>44182</v>
      </c>
      <c r="B1211">
        <v>103.21</v>
      </c>
      <c r="C1211">
        <v>103.2</v>
      </c>
    </row>
    <row r="1212" spans="1:3" x14ac:dyDescent="0.3">
      <c r="A1212" s="284">
        <v>44181</v>
      </c>
      <c r="B1212">
        <v>103.27</v>
      </c>
      <c r="C1212">
        <v>103.26</v>
      </c>
    </row>
    <row r="1213" spans="1:3" x14ac:dyDescent="0.3">
      <c r="A1213" s="284">
        <v>44180</v>
      </c>
      <c r="B1213">
        <v>104.18</v>
      </c>
      <c r="C1213">
        <v>104.18</v>
      </c>
    </row>
    <row r="1214" spans="1:3" x14ac:dyDescent="0.3">
      <c r="A1214" s="284">
        <v>44179</v>
      </c>
      <c r="B1214">
        <v>103.32</v>
      </c>
      <c r="C1214">
        <v>103.28</v>
      </c>
    </row>
    <row r="1215" spans="1:3" x14ac:dyDescent="0.3">
      <c r="A1215" s="284">
        <v>44176</v>
      </c>
      <c r="B1215">
        <v>103</v>
      </c>
      <c r="C1215">
        <v>103</v>
      </c>
    </row>
    <row r="1216" spans="1:3" x14ac:dyDescent="0.3">
      <c r="A1216" s="284">
        <v>44175</v>
      </c>
      <c r="B1216">
        <v>105.39</v>
      </c>
      <c r="C1216">
        <v>105.38</v>
      </c>
    </row>
    <row r="1217" spans="1:3" x14ac:dyDescent="0.3">
      <c r="A1217" s="284">
        <v>44174</v>
      </c>
      <c r="B1217">
        <v>100.4</v>
      </c>
      <c r="C1217">
        <v>100.33</v>
      </c>
    </row>
    <row r="1218" spans="1:3" x14ac:dyDescent="0.3">
      <c r="A1218" s="284">
        <v>44173</v>
      </c>
      <c r="B1218">
        <v>101.21</v>
      </c>
      <c r="C1218">
        <v>101.2</v>
      </c>
    </row>
    <row r="1219" spans="1:3" x14ac:dyDescent="0.3">
      <c r="A1219" s="284">
        <v>44172</v>
      </c>
      <c r="B1219">
        <v>101.41</v>
      </c>
      <c r="C1219">
        <v>101.41</v>
      </c>
    </row>
    <row r="1220" spans="1:3" x14ac:dyDescent="0.3">
      <c r="A1220" s="284">
        <v>44169</v>
      </c>
      <c r="B1220">
        <v>102.28</v>
      </c>
      <c r="C1220">
        <v>102.28</v>
      </c>
    </row>
    <row r="1221" spans="1:3" x14ac:dyDescent="0.3">
      <c r="A1221" s="284">
        <v>44168</v>
      </c>
      <c r="B1221">
        <v>100.11</v>
      </c>
      <c r="C1221">
        <v>100.11</v>
      </c>
    </row>
    <row r="1222" spans="1:3" x14ac:dyDescent="0.3">
      <c r="A1222" s="284">
        <v>44167</v>
      </c>
      <c r="B1222">
        <v>98.91</v>
      </c>
      <c r="C1222">
        <v>98.9</v>
      </c>
    </row>
    <row r="1223" spans="1:3" x14ac:dyDescent="0.3">
      <c r="A1223" s="284">
        <v>44166</v>
      </c>
      <c r="B1223">
        <v>98.82</v>
      </c>
      <c r="C1223">
        <v>98.81</v>
      </c>
    </row>
    <row r="1224" spans="1:3" x14ac:dyDescent="0.3">
      <c r="A1224" s="284">
        <v>44165</v>
      </c>
      <c r="B1224">
        <v>98.02</v>
      </c>
      <c r="C1224">
        <v>98.03</v>
      </c>
    </row>
    <row r="1225" spans="1:3" x14ac:dyDescent="0.3">
      <c r="A1225" s="284">
        <v>44162</v>
      </c>
      <c r="B1225">
        <v>98.66</v>
      </c>
      <c r="C1225">
        <v>98.65</v>
      </c>
    </row>
    <row r="1226" spans="1:3" x14ac:dyDescent="0.3">
      <c r="A1226" s="284">
        <v>44160</v>
      </c>
      <c r="B1226">
        <v>98.2</v>
      </c>
      <c r="C1226">
        <v>98.19</v>
      </c>
    </row>
    <row r="1227" spans="1:3" x14ac:dyDescent="0.3">
      <c r="A1227" s="284">
        <v>44159</v>
      </c>
      <c r="B1227">
        <v>98.3</v>
      </c>
      <c r="C1227">
        <v>98.29</v>
      </c>
    </row>
    <row r="1228" spans="1:3" x14ac:dyDescent="0.3">
      <c r="A1228" s="284">
        <v>44158</v>
      </c>
      <c r="B1228">
        <v>96.88</v>
      </c>
      <c r="C1228">
        <v>96.88</v>
      </c>
    </row>
    <row r="1229" spans="1:3" x14ac:dyDescent="0.3">
      <c r="A1229" s="284">
        <v>44155</v>
      </c>
      <c r="B1229">
        <v>97.01</v>
      </c>
      <c r="C1229">
        <v>97</v>
      </c>
    </row>
    <row r="1230" spans="1:3" x14ac:dyDescent="0.3">
      <c r="A1230" s="284">
        <v>44154</v>
      </c>
      <c r="B1230">
        <v>97.76</v>
      </c>
      <c r="C1230">
        <v>97.73</v>
      </c>
    </row>
    <row r="1231" spans="1:3" x14ac:dyDescent="0.3">
      <c r="A1231" s="284">
        <v>44153</v>
      </c>
      <c r="B1231">
        <v>97.91</v>
      </c>
      <c r="C1231">
        <v>97.91</v>
      </c>
    </row>
    <row r="1232" spans="1:3" x14ac:dyDescent="0.3">
      <c r="A1232" s="284">
        <v>44152</v>
      </c>
      <c r="B1232">
        <v>98.6</v>
      </c>
      <c r="C1232">
        <v>98.63</v>
      </c>
    </row>
    <row r="1233" spans="1:3" x14ac:dyDescent="0.3">
      <c r="A1233" s="284">
        <v>44151</v>
      </c>
      <c r="B1233">
        <v>97.78</v>
      </c>
      <c r="C1233">
        <v>97.77</v>
      </c>
    </row>
    <row r="1234" spans="1:3" x14ac:dyDescent="0.3">
      <c r="A1234" s="284">
        <v>44148</v>
      </c>
      <c r="B1234">
        <v>95.56</v>
      </c>
      <c r="C1234">
        <v>95.56</v>
      </c>
    </row>
    <row r="1235" spans="1:3" x14ac:dyDescent="0.3">
      <c r="A1235" s="284">
        <v>44147</v>
      </c>
      <c r="B1235">
        <v>93.53</v>
      </c>
      <c r="C1235">
        <v>93.53</v>
      </c>
    </row>
    <row r="1236" spans="1:3" x14ac:dyDescent="0.3">
      <c r="A1236" s="284">
        <v>44146</v>
      </c>
      <c r="B1236">
        <v>95.04</v>
      </c>
      <c r="C1236">
        <v>95.02</v>
      </c>
    </row>
    <row r="1237" spans="1:3" x14ac:dyDescent="0.3">
      <c r="A1237" s="284">
        <v>44145</v>
      </c>
      <c r="B1237">
        <v>93.92</v>
      </c>
      <c r="C1237">
        <v>93.91</v>
      </c>
    </row>
    <row r="1238" spans="1:3" x14ac:dyDescent="0.3">
      <c r="A1238" s="284">
        <v>44144</v>
      </c>
      <c r="B1238">
        <v>95.88</v>
      </c>
      <c r="C1238">
        <v>95.84</v>
      </c>
    </row>
    <row r="1239" spans="1:3" x14ac:dyDescent="0.3">
      <c r="A1239" s="284">
        <v>44141</v>
      </c>
      <c r="B1239">
        <v>90.65</v>
      </c>
      <c r="C1239">
        <v>90.64</v>
      </c>
    </row>
    <row r="1240" spans="1:3" x14ac:dyDescent="0.3">
      <c r="A1240" s="284">
        <v>44140</v>
      </c>
      <c r="B1240">
        <v>90.62</v>
      </c>
      <c r="C1240">
        <v>90.6</v>
      </c>
    </row>
    <row r="1241" spans="1:3" x14ac:dyDescent="0.3">
      <c r="A1241" s="284">
        <v>44139</v>
      </c>
      <c r="B1241">
        <v>89.79</v>
      </c>
      <c r="C1241">
        <v>89.77</v>
      </c>
    </row>
    <row r="1242" spans="1:3" x14ac:dyDescent="0.3">
      <c r="A1242" s="284">
        <v>44138</v>
      </c>
      <c r="B1242">
        <v>88.39</v>
      </c>
      <c r="C1242">
        <v>88.35</v>
      </c>
    </row>
    <row r="1243" spans="1:3" x14ac:dyDescent="0.3">
      <c r="A1243" s="284">
        <v>44137</v>
      </c>
      <c r="B1243">
        <v>85.97</v>
      </c>
      <c r="C1243">
        <v>85.94</v>
      </c>
    </row>
    <row r="1244" spans="1:3" x14ac:dyDescent="0.3">
      <c r="A1244" s="284">
        <v>44134</v>
      </c>
      <c r="B1244">
        <v>86.96</v>
      </c>
      <c r="C1244">
        <v>86.95</v>
      </c>
    </row>
    <row r="1245" spans="1:3" x14ac:dyDescent="0.3">
      <c r="A1245" s="284">
        <v>44133</v>
      </c>
      <c r="B1245">
        <v>88.3</v>
      </c>
      <c r="C1245">
        <v>88.29</v>
      </c>
    </row>
    <row r="1246" spans="1:3" x14ac:dyDescent="0.3">
      <c r="A1246" s="284">
        <v>44132</v>
      </c>
      <c r="B1246">
        <v>87.17</v>
      </c>
      <c r="C1246">
        <v>87.2</v>
      </c>
    </row>
    <row r="1247" spans="1:3" x14ac:dyDescent="0.3">
      <c r="A1247" s="284">
        <v>44131</v>
      </c>
      <c r="B1247">
        <v>90.05</v>
      </c>
      <c r="C1247">
        <v>90.05</v>
      </c>
    </row>
    <row r="1248" spans="1:3" x14ac:dyDescent="0.3">
      <c r="A1248" s="284">
        <v>44130</v>
      </c>
      <c r="B1248">
        <v>89.66</v>
      </c>
      <c r="C1248">
        <v>89.66</v>
      </c>
    </row>
    <row r="1249" spans="1:3" x14ac:dyDescent="0.3">
      <c r="A1249" s="284">
        <v>44127</v>
      </c>
      <c r="B1249">
        <v>90.8</v>
      </c>
      <c r="C1249">
        <v>90.76</v>
      </c>
    </row>
    <row r="1250" spans="1:3" x14ac:dyDescent="0.3">
      <c r="A1250" s="284">
        <v>44126</v>
      </c>
      <c r="B1250">
        <v>89.36</v>
      </c>
      <c r="C1250">
        <v>89.36</v>
      </c>
    </row>
    <row r="1251" spans="1:3" x14ac:dyDescent="0.3">
      <c r="A1251" s="284">
        <v>44125</v>
      </c>
      <c r="B1251">
        <v>88.27</v>
      </c>
      <c r="C1251">
        <v>88.25</v>
      </c>
    </row>
    <row r="1252" spans="1:3" x14ac:dyDescent="0.3">
      <c r="A1252" s="284">
        <v>44124</v>
      </c>
      <c r="B1252">
        <v>88.51</v>
      </c>
      <c r="C1252">
        <v>88.49</v>
      </c>
    </row>
    <row r="1253" spans="1:3" x14ac:dyDescent="0.3">
      <c r="A1253" s="284">
        <v>44123</v>
      </c>
      <c r="B1253">
        <v>87.6</v>
      </c>
      <c r="C1253">
        <v>87.59</v>
      </c>
    </row>
    <row r="1254" spans="1:3" x14ac:dyDescent="0.3">
      <c r="A1254" s="284">
        <v>44120</v>
      </c>
      <c r="B1254">
        <v>88.52</v>
      </c>
      <c r="C1254">
        <v>88.53</v>
      </c>
    </row>
    <row r="1255" spans="1:3" x14ac:dyDescent="0.3">
      <c r="A1255" s="284">
        <v>44119</v>
      </c>
      <c r="B1255">
        <v>88.83</v>
      </c>
      <c r="C1255">
        <v>88.83</v>
      </c>
    </row>
    <row r="1256" spans="1:3" x14ac:dyDescent="0.3">
      <c r="A1256" s="284">
        <v>44118</v>
      </c>
      <c r="B1256">
        <v>89.31</v>
      </c>
      <c r="C1256">
        <v>89.31</v>
      </c>
    </row>
    <row r="1257" spans="1:3" x14ac:dyDescent="0.3">
      <c r="A1257" s="284">
        <v>44117</v>
      </c>
      <c r="B1257">
        <v>90.16</v>
      </c>
      <c r="C1257">
        <v>90.15</v>
      </c>
    </row>
    <row r="1258" spans="1:3" x14ac:dyDescent="0.3">
      <c r="A1258" s="284">
        <v>44116</v>
      </c>
      <c r="B1258">
        <v>90.78</v>
      </c>
      <c r="C1258">
        <v>90.77</v>
      </c>
    </row>
    <row r="1259" spans="1:3" x14ac:dyDescent="0.3">
      <c r="A1259" s="284">
        <v>44113</v>
      </c>
      <c r="B1259">
        <v>90.01</v>
      </c>
      <c r="C1259">
        <v>90.01</v>
      </c>
    </row>
    <row r="1260" spans="1:3" x14ac:dyDescent="0.3">
      <c r="A1260" s="284">
        <v>44112</v>
      </c>
      <c r="B1260">
        <v>89.53</v>
      </c>
      <c r="C1260">
        <v>89.52</v>
      </c>
    </row>
    <row r="1261" spans="1:3" x14ac:dyDescent="0.3">
      <c r="A1261" s="284">
        <v>44111</v>
      </c>
      <c r="B1261">
        <v>88.45</v>
      </c>
      <c r="C1261">
        <v>88.43</v>
      </c>
    </row>
    <row r="1262" spans="1:3" x14ac:dyDescent="0.3">
      <c r="A1262" s="284">
        <v>44110</v>
      </c>
      <c r="B1262">
        <v>87.01</v>
      </c>
      <c r="C1262">
        <v>86.97</v>
      </c>
    </row>
    <row r="1263" spans="1:3" x14ac:dyDescent="0.3">
      <c r="A1263" s="284">
        <v>44109</v>
      </c>
      <c r="B1263">
        <v>88.47</v>
      </c>
      <c r="C1263">
        <v>88.46</v>
      </c>
    </row>
    <row r="1264" spans="1:3" x14ac:dyDescent="0.3">
      <c r="A1264" s="284">
        <v>44106</v>
      </c>
      <c r="B1264">
        <v>86.57</v>
      </c>
      <c r="C1264">
        <v>86.57</v>
      </c>
    </row>
    <row r="1265" spans="1:3" x14ac:dyDescent="0.3">
      <c r="A1265" s="284">
        <v>44105</v>
      </c>
      <c r="B1265">
        <v>86.74</v>
      </c>
      <c r="C1265">
        <v>86.74</v>
      </c>
    </row>
    <row r="1266" spans="1:3" x14ac:dyDescent="0.3">
      <c r="A1266" s="284">
        <v>44104</v>
      </c>
      <c r="B1266">
        <v>85.92</v>
      </c>
      <c r="C1266">
        <v>85.87</v>
      </c>
    </row>
    <row r="1267" spans="1:3" x14ac:dyDescent="0.3">
      <c r="A1267" s="284">
        <v>44103</v>
      </c>
      <c r="B1267">
        <v>84.8</v>
      </c>
      <c r="C1267">
        <v>84.8</v>
      </c>
    </row>
    <row r="1268" spans="1:3" x14ac:dyDescent="0.3">
      <c r="A1268" s="284">
        <v>44102</v>
      </c>
      <c r="B1268">
        <v>86.07</v>
      </c>
      <c r="C1268">
        <v>86.08</v>
      </c>
    </row>
    <row r="1269" spans="1:3" x14ac:dyDescent="0.3">
      <c r="A1269" s="284">
        <v>44099</v>
      </c>
      <c r="B1269">
        <v>84.3</v>
      </c>
      <c r="C1269">
        <v>84.3</v>
      </c>
    </row>
    <row r="1270" spans="1:3" x14ac:dyDescent="0.3">
      <c r="A1270" s="284">
        <v>44098</v>
      </c>
      <c r="B1270">
        <v>83.04</v>
      </c>
      <c r="C1270">
        <v>83.04</v>
      </c>
    </row>
    <row r="1271" spans="1:3" x14ac:dyDescent="0.3">
      <c r="A1271" s="284">
        <v>44097</v>
      </c>
      <c r="B1271">
        <v>82.99</v>
      </c>
      <c r="C1271">
        <v>83.01</v>
      </c>
    </row>
    <row r="1272" spans="1:3" x14ac:dyDescent="0.3">
      <c r="A1272" s="284">
        <v>44096</v>
      </c>
      <c r="B1272">
        <v>83.95</v>
      </c>
      <c r="C1272">
        <v>83.93</v>
      </c>
    </row>
    <row r="1273" spans="1:3" x14ac:dyDescent="0.3">
      <c r="A1273" s="284">
        <v>44095</v>
      </c>
      <c r="B1273">
        <v>83.89</v>
      </c>
      <c r="C1273">
        <v>83.89</v>
      </c>
    </row>
    <row r="1274" spans="1:3" x14ac:dyDescent="0.3">
      <c r="A1274" s="284">
        <v>44092</v>
      </c>
      <c r="B1274">
        <v>84.95</v>
      </c>
      <c r="C1274">
        <v>84.87</v>
      </c>
    </row>
    <row r="1275" spans="1:3" x14ac:dyDescent="0.3">
      <c r="A1275" s="284">
        <v>44091</v>
      </c>
      <c r="B1275">
        <v>86.75</v>
      </c>
      <c r="C1275">
        <v>86.75</v>
      </c>
    </row>
    <row r="1276" spans="1:3" x14ac:dyDescent="0.3">
      <c r="A1276" s="284">
        <v>44090</v>
      </c>
      <c r="B1276">
        <v>88.38</v>
      </c>
      <c r="C1276">
        <v>88.37</v>
      </c>
    </row>
    <row r="1277" spans="1:3" x14ac:dyDescent="0.3">
      <c r="A1277" s="284">
        <v>44089</v>
      </c>
      <c r="B1277">
        <v>87.71</v>
      </c>
      <c r="C1277">
        <v>87.71</v>
      </c>
    </row>
    <row r="1278" spans="1:3" x14ac:dyDescent="0.3">
      <c r="A1278" s="284">
        <v>44088</v>
      </c>
      <c r="B1278">
        <v>86.63</v>
      </c>
      <c r="C1278">
        <v>86.62</v>
      </c>
    </row>
    <row r="1279" spans="1:3" x14ac:dyDescent="0.3">
      <c r="A1279" s="284">
        <v>44085</v>
      </c>
      <c r="B1279">
        <v>85.27</v>
      </c>
      <c r="C1279">
        <v>85.28</v>
      </c>
    </row>
    <row r="1280" spans="1:3" x14ac:dyDescent="0.3">
      <c r="A1280" s="284">
        <v>44084</v>
      </c>
      <c r="B1280">
        <v>84.88</v>
      </c>
      <c r="C1280">
        <v>84.86</v>
      </c>
    </row>
    <row r="1281" spans="1:3" x14ac:dyDescent="0.3">
      <c r="A1281" s="284">
        <v>44083</v>
      </c>
      <c r="B1281">
        <v>85.86</v>
      </c>
      <c r="C1281">
        <v>85.84</v>
      </c>
    </row>
    <row r="1282" spans="1:3" x14ac:dyDescent="0.3">
      <c r="A1282" s="284">
        <v>44082</v>
      </c>
      <c r="B1282">
        <v>85.41</v>
      </c>
      <c r="C1282">
        <v>85.39</v>
      </c>
    </row>
    <row r="1283" spans="1:3" x14ac:dyDescent="0.3">
      <c r="A1283" s="284">
        <v>44078</v>
      </c>
      <c r="B1283">
        <v>86.27</v>
      </c>
      <c r="C1283">
        <v>86.26</v>
      </c>
    </row>
    <row r="1284" spans="1:3" x14ac:dyDescent="0.3">
      <c r="A1284" s="284">
        <v>44077</v>
      </c>
      <c r="B1284">
        <v>86.48</v>
      </c>
      <c r="C1284">
        <v>86.49</v>
      </c>
    </row>
    <row r="1285" spans="1:3" x14ac:dyDescent="0.3">
      <c r="A1285" s="284">
        <v>44076</v>
      </c>
      <c r="B1285">
        <v>88.35</v>
      </c>
      <c r="C1285">
        <v>88.34</v>
      </c>
    </row>
    <row r="1286" spans="1:3" x14ac:dyDescent="0.3">
      <c r="A1286" s="284">
        <v>44075</v>
      </c>
      <c r="B1286">
        <v>86.05</v>
      </c>
      <c r="C1286">
        <v>86.06</v>
      </c>
    </row>
    <row r="1287" spans="1:3" x14ac:dyDescent="0.3">
      <c r="A1287" s="284">
        <v>44074</v>
      </c>
      <c r="B1287">
        <v>84.47</v>
      </c>
      <c r="C1287">
        <v>84.46</v>
      </c>
    </row>
    <row r="1288" spans="1:3" x14ac:dyDescent="0.3">
      <c r="A1288" s="284">
        <v>44071</v>
      </c>
      <c r="B1288">
        <v>85</v>
      </c>
      <c r="C1288">
        <v>85.01</v>
      </c>
    </row>
    <row r="1289" spans="1:3" x14ac:dyDescent="0.3">
      <c r="A1289" s="284">
        <v>44070</v>
      </c>
      <c r="B1289">
        <v>83.41</v>
      </c>
      <c r="C1289">
        <v>83.41</v>
      </c>
    </row>
    <row r="1290" spans="1:3" x14ac:dyDescent="0.3">
      <c r="A1290" s="284">
        <v>44069</v>
      </c>
      <c r="B1290">
        <v>82.41</v>
      </c>
      <c r="C1290">
        <v>82.39</v>
      </c>
    </row>
    <row r="1291" spans="1:3" x14ac:dyDescent="0.3">
      <c r="A1291" s="284">
        <v>44068</v>
      </c>
      <c r="B1291">
        <v>82.72</v>
      </c>
      <c r="C1291">
        <v>82.7</v>
      </c>
    </row>
    <row r="1292" spans="1:3" x14ac:dyDescent="0.3">
      <c r="A1292" s="284">
        <v>44067</v>
      </c>
      <c r="B1292">
        <v>78.680000000000007</v>
      </c>
      <c r="C1292">
        <v>78.680000000000007</v>
      </c>
    </row>
    <row r="1293" spans="1:3" x14ac:dyDescent="0.3">
      <c r="A1293" s="284">
        <v>44064</v>
      </c>
      <c r="B1293">
        <v>77.069999999999993</v>
      </c>
      <c r="C1293">
        <v>77.069999999999993</v>
      </c>
    </row>
    <row r="1294" spans="1:3" x14ac:dyDescent="0.3">
      <c r="A1294" s="284">
        <v>44063</v>
      </c>
      <c r="B1294">
        <v>77.22</v>
      </c>
      <c r="C1294">
        <v>77.209999999999994</v>
      </c>
    </row>
    <row r="1295" spans="1:3" x14ac:dyDescent="0.3">
      <c r="A1295" s="284">
        <v>44062</v>
      </c>
      <c r="B1295">
        <v>77.63</v>
      </c>
      <c r="C1295">
        <v>77.63</v>
      </c>
    </row>
    <row r="1296" spans="1:3" x14ac:dyDescent="0.3">
      <c r="A1296" s="284">
        <v>44061</v>
      </c>
      <c r="B1296">
        <v>78.989999999999995</v>
      </c>
      <c r="C1296">
        <v>78.989999999999995</v>
      </c>
    </row>
    <row r="1297" spans="1:3" x14ac:dyDescent="0.3">
      <c r="A1297" s="284">
        <v>44060</v>
      </c>
      <c r="B1297">
        <v>78.95</v>
      </c>
      <c r="C1297">
        <v>78.95</v>
      </c>
    </row>
    <row r="1298" spans="1:3" x14ac:dyDescent="0.3">
      <c r="A1298" s="284">
        <v>44057</v>
      </c>
      <c r="B1298">
        <v>78.37</v>
      </c>
      <c r="C1298">
        <v>78.37</v>
      </c>
    </row>
    <row r="1299" spans="1:3" x14ac:dyDescent="0.3">
      <c r="A1299" s="284">
        <v>44056</v>
      </c>
      <c r="B1299">
        <v>79.02</v>
      </c>
      <c r="C1299">
        <v>79</v>
      </c>
    </row>
    <row r="1300" spans="1:3" x14ac:dyDescent="0.3">
      <c r="A1300" s="284">
        <v>44055</v>
      </c>
      <c r="B1300">
        <v>79.290000000000006</v>
      </c>
      <c r="C1300">
        <v>79.27</v>
      </c>
    </row>
    <row r="1301" spans="1:3" x14ac:dyDescent="0.3">
      <c r="A1301" s="284">
        <v>44054</v>
      </c>
      <c r="B1301">
        <v>78.87</v>
      </c>
      <c r="C1301">
        <v>78.87</v>
      </c>
    </row>
    <row r="1302" spans="1:3" x14ac:dyDescent="0.3">
      <c r="A1302" s="284">
        <v>44053</v>
      </c>
      <c r="B1302">
        <v>77.47</v>
      </c>
      <c r="C1302">
        <v>77.459999999999994</v>
      </c>
    </row>
    <row r="1303" spans="1:3" x14ac:dyDescent="0.3">
      <c r="A1303" s="284">
        <v>44050</v>
      </c>
      <c r="B1303">
        <v>75.790000000000006</v>
      </c>
      <c r="C1303">
        <v>75.77</v>
      </c>
    </row>
    <row r="1304" spans="1:3" x14ac:dyDescent="0.3">
      <c r="A1304" s="284">
        <v>44049</v>
      </c>
      <c r="B1304">
        <v>75.66</v>
      </c>
      <c r="C1304">
        <v>75.64</v>
      </c>
    </row>
    <row r="1305" spans="1:3" x14ac:dyDescent="0.3">
      <c r="A1305" s="284">
        <v>44048</v>
      </c>
      <c r="B1305">
        <v>75.78</v>
      </c>
      <c r="C1305">
        <v>75.77</v>
      </c>
    </row>
    <row r="1306" spans="1:3" x14ac:dyDescent="0.3">
      <c r="A1306" s="284">
        <v>44047</v>
      </c>
      <c r="B1306">
        <v>75.13</v>
      </c>
      <c r="C1306">
        <v>75.13</v>
      </c>
    </row>
    <row r="1307" spans="1:3" x14ac:dyDescent="0.3">
      <c r="A1307" s="284">
        <v>44046</v>
      </c>
      <c r="B1307">
        <v>75.5</v>
      </c>
      <c r="C1307">
        <v>75.489999999999995</v>
      </c>
    </row>
    <row r="1308" spans="1:3" x14ac:dyDescent="0.3">
      <c r="A1308" s="284">
        <v>44043</v>
      </c>
      <c r="B1308">
        <v>76.53</v>
      </c>
      <c r="C1308">
        <v>76.53</v>
      </c>
    </row>
    <row r="1309" spans="1:3" x14ac:dyDescent="0.3">
      <c r="A1309" s="284">
        <v>44042</v>
      </c>
      <c r="B1309">
        <v>76.64</v>
      </c>
      <c r="C1309">
        <v>76.63</v>
      </c>
    </row>
    <row r="1310" spans="1:3" x14ac:dyDescent="0.3">
      <c r="A1310" s="284">
        <v>44041</v>
      </c>
      <c r="B1310">
        <v>77.42</v>
      </c>
      <c r="C1310">
        <v>77.41</v>
      </c>
    </row>
    <row r="1311" spans="1:3" x14ac:dyDescent="0.3">
      <c r="A1311" s="284">
        <v>44040</v>
      </c>
      <c r="B1311">
        <v>74.64</v>
      </c>
      <c r="C1311">
        <v>74.69</v>
      </c>
    </row>
    <row r="1312" spans="1:3" x14ac:dyDescent="0.3">
      <c r="A1312" s="284">
        <v>44039</v>
      </c>
      <c r="B1312">
        <v>76.459999999999994</v>
      </c>
      <c r="C1312">
        <v>76.44</v>
      </c>
    </row>
    <row r="1313" spans="1:3" x14ac:dyDescent="0.3">
      <c r="A1313" s="284">
        <v>44036</v>
      </c>
      <c r="B1313">
        <v>75.78</v>
      </c>
      <c r="C1313">
        <v>75.78</v>
      </c>
    </row>
    <row r="1314" spans="1:3" x14ac:dyDescent="0.3">
      <c r="A1314" s="284">
        <v>44035</v>
      </c>
      <c r="B1314">
        <v>75.36</v>
      </c>
      <c r="C1314">
        <v>75.37</v>
      </c>
    </row>
    <row r="1315" spans="1:3" x14ac:dyDescent="0.3">
      <c r="A1315" s="284">
        <v>44034</v>
      </c>
      <c r="B1315">
        <v>77.239999999999995</v>
      </c>
      <c r="C1315">
        <v>77.23</v>
      </c>
    </row>
    <row r="1316" spans="1:3" x14ac:dyDescent="0.3">
      <c r="A1316" s="284">
        <v>44033</v>
      </c>
      <c r="B1316">
        <v>75.44</v>
      </c>
      <c r="C1316">
        <v>75.42</v>
      </c>
    </row>
    <row r="1317" spans="1:3" x14ac:dyDescent="0.3">
      <c r="A1317" s="284">
        <v>44032</v>
      </c>
      <c r="B1317">
        <v>74.959999999999994</v>
      </c>
      <c r="C1317">
        <v>74.94</v>
      </c>
    </row>
    <row r="1318" spans="1:3" x14ac:dyDescent="0.3">
      <c r="A1318" s="284">
        <v>44029</v>
      </c>
      <c r="B1318">
        <v>74.16</v>
      </c>
      <c r="C1318">
        <v>74.13</v>
      </c>
    </row>
    <row r="1319" spans="1:3" x14ac:dyDescent="0.3">
      <c r="A1319" s="284">
        <v>44028</v>
      </c>
      <c r="B1319">
        <v>74.39</v>
      </c>
      <c r="C1319">
        <v>74.39</v>
      </c>
    </row>
    <row r="1320" spans="1:3" x14ac:dyDescent="0.3">
      <c r="A1320" s="284">
        <v>44027</v>
      </c>
      <c r="B1320">
        <v>75.61</v>
      </c>
      <c r="C1320">
        <v>75.599999999999994</v>
      </c>
    </row>
    <row r="1321" spans="1:3" x14ac:dyDescent="0.3">
      <c r="A1321" s="284">
        <v>44026</v>
      </c>
      <c r="B1321">
        <v>72.73</v>
      </c>
      <c r="C1321">
        <v>72.72</v>
      </c>
    </row>
    <row r="1322" spans="1:3" x14ac:dyDescent="0.3">
      <c r="A1322" s="284">
        <v>44025</v>
      </c>
      <c r="B1322">
        <v>72.650000000000006</v>
      </c>
      <c r="C1322">
        <v>72.67</v>
      </c>
    </row>
    <row r="1323" spans="1:3" x14ac:dyDescent="0.3">
      <c r="A1323" s="284">
        <v>44022</v>
      </c>
      <c r="B1323">
        <v>74.290000000000006</v>
      </c>
      <c r="C1323">
        <v>74.28</v>
      </c>
    </row>
    <row r="1324" spans="1:3" x14ac:dyDescent="0.3">
      <c r="A1324" s="284">
        <v>44021</v>
      </c>
      <c r="B1324">
        <v>73.569999999999993</v>
      </c>
      <c r="C1324">
        <v>73.58</v>
      </c>
    </row>
    <row r="1325" spans="1:3" x14ac:dyDescent="0.3">
      <c r="A1325" s="284">
        <v>44020</v>
      </c>
      <c r="B1325">
        <v>74.14</v>
      </c>
      <c r="C1325">
        <v>74.11</v>
      </c>
    </row>
    <row r="1326" spans="1:3" x14ac:dyDescent="0.3">
      <c r="A1326" s="284">
        <v>44019</v>
      </c>
      <c r="B1326">
        <v>74.25</v>
      </c>
      <c r="C1326">
        <v>74.25</v>
      </c>
    </row>
    <row r="1327" spans="1:3" x14ac:dyDescent="0.3">
      <c r="A1327" s="284">
        <v>44018</v>
      </c>
      <c r="B1327">
        <v>75.44</v>
      </c>
      <c r="C1327">
        <v>75.42</v>
      </c>
    </row>
    <row r="1328" spans="1:3" x14ac:dyDescent="0.3">
      <c r="A1328" s="284">
        <v>44014</v>
      </c>
      <c r="B1328">
        <v>73.78</v>
      </c>
      <c r="C1328">
        <v>73.77</v>
      </c>
    </row>
    <row r="1329" spans="1:3" x14ac:dyDescent="0.3">
      <c r="A1329" s="284">
        <v>44013</v>
      </c>
      <c r="B1329">
        <v>74.03</v>
      </c>
      <c r="C1329">
        <v>74.03</v>
      </c>
    </row>
    <row r="1330" spans="1:3" x14ac:dyDescent="0.3">
      <c r="A1330" s="284">
        <v>44012</v>
      </c>
      <c r="B1330">
        <v>73.59</v>
      </c>
      <c r="C1330">
        <v>73.55</v>
      </c>
    </row>
    <row r="1331" spans="1:3" x14ac:dyDescent="0.3">
      <c r="A1331" s="284">
        <v>44011</v>
      </c>
      <c r="B1331">
        <v>73.48</v>
      </c>
      <c r="C1331">
        <v>73.489999999999995</v>
      </c>
    </row>
    <row r="1332" spans="1:3" x14ac:dyDescent="0.3">
      <c r="A1332" s="284">
        <v>44008</v>
      </c>
      <c r="B1332">
        <v>71.569999999999993</v>
      </c>
      <c r="C1332">
        <v>71.53</v>
      </c>
    </row>
    <row r="1333" spans="1:3" x14ac:dyDescent="0.3">
      <c r="A1333" s="284">
        <v>44007</v>
      </c>
      <c r="B1333">
        <v>73.849999999999994</v>
      </c>
      <c r="C1333">
        <v>73.86</v>
      </c>
    </row>
    <row r="1334" spans="1:3" x14ac:dyDescent="0.3">
      <c r="A1334" s="284">
        <v>44006</v>
      </c>
      <c r="B1334">
        <v>73.64</v>
      </c>
      <c r="C1334">
        <v>73.66</v>
      </c>
    </row>
    <row r="1335" spans="1:3" x14ac:dyDescent="0.3">
      <c r="A1335" s="284">
        <v>44005</v>
      </c>
      <c r="B1335">
        <v>75.489999999999995</v>
      </c>
      <c r="C1335">
        <v>75.48</v>
      </c>
    </row>
    <row r="1336" spans="1:3" x14ac:dyDescent="0.3">
      <c r="A1336" s="284">
        <v>44004</v>
      </c>
      <c r="B1336">
        <v>75.400000000000006</v>
      </c>
      <c r="C1336">
        <v>75.400000000000006</v>
      </c>
    </row>
    <row r="1337" spans="1:3" x14ac:dyDescent="0.3">
      <c r="A1337" s="284">
        <v>44001</v>
      </c>
      <c r="B1337">
        <v>75.400000000000006</v>
      </c>
      <c r="C1337">
        <v>75.38</v>
      </c>
    </row>
    <row r="1338" spans="1:3" x14ac:dyDescent="0.3">
      <c r="A1338" s="284">
        <v>44000</v>
      </c>
      <c r="B1338">
        <v>76.31</v>
      </c>
      <c r="C1338">
        <v>76.3</v>
      </c>
    </row>
    <row r="1339" spans="1:3" x14ac:dyDescent="0.3">
      <c r="A1339" s="284">
        <v>43999</v>
      </c>
      <c r="B1339">
        <v>77.099999999999994</v>
      </c>
      <c r="C1339">
        <v>77.05</v>
      </c>
    </row>
    <row r="1340" spans="1:3" x14ac:dyDescent="0.3">
      <c r="A1340" s="284">
        <v>43998</v>
      </c>
      <c r="B1340">
        <v>77.84</v>
      </c>
      <c r="C1340">
        <v>77.849999999999994</v>
      </c>
    </row>
    <row r="1341" spans="1:3" x14ac:dyDescent="0.3">
      <c r="A1341" s="284">
        <v>43997</v>
      </c>
      <c r="B1341">
        <v>76.959999999999994</v>
      </c>
      <c r="C1341">
        <v>76.959999999999994</v>
      </c>
    </row>
    <row r="1342" spans="1:3" x14ac:dyDescent="0.3">
      <c r="A1342" s="284">
        <v>43994</v>
      </c>
      <c r="B1342">
        <v>76.38</v>
      </c>
      <c r="C1342">
        <v>76.36</v>
      </c>
    </row>
    <row r="1343" spans="1:3" x14ac:dyDescent="0.3">
      <c r="A1343" s="284">
        <v>43993</v>
      </c>
      <c r="B1343">
        <v>72.569999999999993</v>
      </c>
      <c r="C1343">
        <v>72.55</v>
      </c>
    </row>
    <row r="1344" spans="1:3" x14ac:dyDescent="0.3">
      <c r="A1344" s="284">
        <v>43992</v>
      </c>
      <c r="B1344">
        <v>79.010000000000005</v>
      </c>
      <c r="C1344">
        <v>79</v>
      </c>
    </row>
    <row r="1345" spans="1:3" x14ac:dyDescent="0.3">
      <c r="A1345" s="284">
        <v>43991</v>
      </c>
      <c r="B1345">
        <v>82.37</v>
      </c>
      <c r="C1345">
        <v>82.37</v>
      </c>
    </row>
    <row r="1346" spans="1:3" x14ac:dyDescent="0.3">
      <c r="A1346" s="284">
        <v>43990</v>
      </c>
      <c r="B1346">
        <v>83.56</v>
      </c>
      <c r="C1346">
        <v>83.56</v>
      </c>
    </row>
    <row r="1347" spans="1:3" x14ac:dyDescent="0.3">
      <c r="A1347" s="284">
        <v>43987</v>
      </c>
      <c r="B1347">
        <v>82.14</v>
      </c>
      <c r="C1347">
        <v>82.14</v>
      </c>
    </row>
    <row r="1348" spans="1:3" x14ac:dyDescent="0.3">
      <c r="A1348" s="284">
        <v>43986</v>
      </c>
      <c r="B1348">
        <v>78.739999999999995</v>
      </c>
      <c r="C1348">
        <v>78.739999999999995</v>
      </c>
    </row>
    <row r="1349" spans="1:3" x14ac:dyDescent="0.3">
      <c r="A1349" s="284">
        <v>43985</v>
      </c>
      <c r="B1349">
        <v>79.58</v>
      </c>
      <c r="C1349">
        <v>79.58</v>
      </c>
    </row>
    <row r="1350" spans="1:3" x14ac:dyDescent="0.3">
      <c r="A1350" s="284">
        <v>43984</v>
      </c>
      <c r="B1350">
        <v>77.78</v>
      </c>
      <c r="C1350">
        <v>77.78</v>
      </c>
    </row>
    <row r="1351" spans="1:3" x14ac:dyDescent="0.3">
      <c r="A1351" s="284">
        <v>43983</v>
      </c>
      <c r="B1351">
        <v>78.319999999999993</v>
      </c>
      <c r="C1351">
        <v>78.31</v>
      </c>
    </row>
    <row r="1352" spans="1:3" x14ac:dyDescent="0.3">
      <c r="A1352" s="284">
        <v>43980</v>
      </c>
      <c r="B1352">
        <v>77.989999999999995</v>
      </c>
      <c r="C1352">
        <v>77.86</v>
      </c>
    </row>
    <row r="1353" spans="1:3" x14ac:dyDescent="0.3">
      <c r="A1353" s="284">
        <v>43979</v>
      </c>
      <c r="B1353">
        <v>78.540000000000006</v>
      </c>
      <c r="C1353">
        <v>78.540000000000006</v>
      </c>
    </row>
    <row r="1354" spans="1:3" x14ac:dyDescent="0.3">
      <c r="A1354" s="284">
        <v>43978</v>
      </c>
      <c r="B1354">
        <v>78.599999999999994</v>
      </c>
      <c r="C1354">
        <v>78.59</v>
      </c>
    </row>
    <row r="1355" spans="1:3" x14ac:dyDescent="0.3">
      <c r="A1355" s="284">
        <v>43977</v>
      </c>
      <c r="B1355">
        <v>77.760000000000005</v>
      </c>
      <c r="C1355">
        <v>77.760000000000005</v>
      </c>
    </row>
    <row r="1356" spans="1:3" x14ac:dyDescent="0.3">
      <c r="A1356" s="284">
        <v>43973</v>
      </c>
      <c r="B1356">
        <v>77.62</v>
      </c>
      <c r="C1356">
        <v>77.62</v>
      </c>
    </row>
    <row r="1357" spans="1:3" x14ac:dyDescent="0.3">
      <c r="A1357" s="284">
        <v>43972</v>
      </c>
      <c r="B1357">
        <v>78.05</v>
      </c>
      <c r="C1357">
        <v>78.08</v>
      </c>
    </row>
    <row r="1358" spans="1:3" x14ac:dyDescent="0.3">
      <c r="A1358" s="284">
        <v>43971</v>
      </c>
      <c r="B1358">
        <v>77.760000000000005</v>
      </c>
      <c r="C1358">
        <v>77.75</v>
      </c>
    </row>
    <row r="1359" spans="1:3" x14ac:dyDescent="0.3">
      <c r="A1359" s="284">
        <v>43970</v>
      </c>
      <c r="B1359">
        <v>75.86</v>
      </c>
      <c r="C1359">
        <v>75.86</v>
      </c>
    </row>
    <row r="1360" spans="1:3" x14ac:dyDescent="0.3">
      <c r="A1360" s="284">
        <v>43969</v>
      </c>
      <c r="B1360">
        <v>76.23</v>
      </c>
      <c r="C1360">
        <v>76.22</v>
      </c>
    </row>
    <row r="1361" spans="1:3" x14ac:dyDescent="0.3">
      <c r="A1361" s="284">
        <v>43966</v>
      </c>
      <c r="B1361">
        <v>74.16</v>
      </c>
      <c r="C1361">
        <v>74.150000000000006</v>
      </c>
    </row>
    <row r="1362" spans="1:3" x14ac:dyDescent="0.3">
      <c r="A1362" s="284">
        <v>43965</v>
      </c>
      <c r="B1362">
        <v>74.19</v>
      </c>
      <c r="C1362">
        <v>74.2</v>
      </c>
    </row>
    <row r="1363" spans="1:3" x14ac:dyDescent="0.3">
      <c r="A1363" s="284">
        <v>43964</v>
      </c>
      <c r="B1363">
        <v>73.62</v>
      </c>
      <c r="C1363">
        <v>73.62</v>
      </c>
    </row>
    <row r="1364" spans="1:3" x14ac:dyDescent="0.3">
      <c r="A1364" s="284">
        <v>43963</v>
      </c>
      <c r="B1364">
        <v>74.349999999999994</v>
      </c>
      <c r="C1364">
        <v>74.34</v>
      </c>
    </row>
    <row r="1365" spans="1:3" x14ac:dyDescent="0.3">
      <c r="A1365" s="284">
        <v>43962</v>
      </c>
      <c r="B1365">
        <v>75.87</v>
      </c>
      <c r="C1365">
        <v>75.88</v>
      </c>
    </row>
    <row r="1366" spans="1:3" x14ac:dyDescent="0.3">
      <c r="A1366" s="284">
        <v>43959</v>
      </c>
      <c r="B1366">
        <v>77.87</v>
      </c>
      <c r="C1366">
        <v>77.91</v>
      </c>
    </row>
    <row r="1367" spans="1:3" x14ac:dyDescent="0.3">
      <c r="A1367" s="284">
        <v>43958</v>
      </c>
      <c r="B1367">
        <v>76</v>
      </c>
      <c r="C1367">
        <v>76</v>
      </c>
    </row>
    <row r="1368" spans="1:3" x14ac:dyDescent="0.3">
      <c r="A1368" s="284">
        <v>43957</v>
      </c>
      <c r="B1368">
        <v>72.959999999999994</v>
      </c>
      <c r="C1368">
        <v>72.959999999999994</v>
      </c>
    </row>
    <row r="1369" spans="1:3" x14ac:dyDescent="0.3">
      <c r="A1369" s="284">
        <v>43956</v>
      </c>
      <c r="B1369">
        <v>72.900000000000006</v>
      </c>
      <c r="C1369">
        <v>72.89</v>
      </c>
    </row>
    <row r="1370" spans="1:3" x14ac:dyDescent="0.3">
      <c r="A1370" s="284">
        <v>43955</v>
      </c>
      <c r="B1370">
        <v>71.89</v>
      </c>
      <c r="C1370">
        <v>71.849999999999994</v>
      </c>
    </row>
    <row r="1371" spans="1:3" x14ac:dyDescent="0.3">
      <c r="A1371" s="284">
        <v>43952</v>
      </c>
      <c r="B1371">
        <v>73.790000000000006</v>
      </c>
      <c r="C1371">
        <v>73.790000000000006</v>
      </c>
    </row>
    <row r="1372" spans="1:3" x14ac:dyDescent="0.3">
      <c r="A1372" s="284">
        <v>43951</v>
      </c>
      <c r="B1372">
        <v>76.73</v>
      </c>
      <c r="C1372">
        <v>76.73</v>
      </c>
    </row>
    <row r="1373" spans="1:3" x14ac:dyDescent="0.3">
      <c r="A1373" s="284">
        <v>43950</v>
      </c>
      <c r="B1373">
        <v>76.86</v>
      </c>
      <c r="C1373">
        <v>76.87</v>
      </c>
    </row>
    <row r="1374" spans="1:3" x14ac:dyDescent="0.3">
      <c r="A1374" s="284">
        <v>43949</v>
      </c>
      <c r="B1374">
        <v>78.69</v>
      </c>
      <c r="C1374">
        <v>78.69</v>
      </c>
    </row>
    <row r="1375" spans="1:3" x14ac:dyDescent="0.3">
      <c r="A1375" s="284">
        <v>43948</v>
      </c>
      <c r="B1375">
        <v>77.739999999999995</v>
      </c>
      <c r="C1375">
        <v>77.739999999999995</v>
      </c>
    </row>
    <row r="1376" spans="1:3" x14ac:dyDescent="0.3">
      <c r="A1376" s="284">
        <v>43945</v>
      </c>
      <c r="B1376">
        <v>75.58</v>
      </c>
      <c r="C1376">
        <v>75.58</v>
      </c>
    </row>
    <row r="1377" spans="1:3" x14ac:dyDescent="0.3">
      <c r="A1377" s="284">
        <v>43944</v>
      </c>
      <c r="B1377">
        <v>75.150000000000006</v>
      </c>
      <c r="C1377">
        <v>75.150000000000006</v>
      </c>
    </row>
    <row r="1378" spans="1:3" x14ac:dyDescent="0.3">
      <c r="A1378" s="284">
        <v>43943</v>
      </c>
      <c r="B1378">
        <v>77.45</v>
      </c>
      <c r="C1378">
        <v>77.44</v>
      </c>
    </row>
    <row r="1379" spans="1:3" x14ac:dyDescent="0.3">
      <c r="A1379" s="284">
        <v>43942</v>
      </c>
      <c r="B1379">
        <v>72.72</v>
      </c>
      <c r="C1379">
        <v>72.739999999999995</v>
      </c>
    </row>
    <row r="1380" spans="1:3" x14ac:dyDescent="0.3">
      <c r="A1380" s="284">
        <v>43941</v>
      </c>
      <c r="B1380">
        <v>75.319999999999993</v>
      </c>
      <c r="C1380">
        <v>75.319999999999993</v>
      </c>
    </row>
    <row r="1381" spans="1:3" x14ac:dyDescent="0.3">
      <c r="A1381" s="284">
        <v>43938</v>
      </c>
      <c r="B1381">
        <v>77.099999999999994</v>
      </c>
      <c r="C1381">
        <v>77.099999999999994</v>
      </c>
    </row>
    <row r="1382" spans="1:3" x14ac:dyDescent="0.3">
      <c r="A1382" s="284">
        <v>43937</v>
      </c>
      <c r="B1382">
        <v>73.510000000000005</v>
      </c>
      <c r="C1382">
        <v>73.510000000000005</v>
      </c>
    </row>
    <row r="1383" spans="1:3" x14ac:dyDescent="0.3">
      <c r="A1383" s="284">
        <v>43936</v>
      </c>
      <c r="B1383">
        <v>72.55</v>
      </c>
      <c r="C1383">
        <v>72.55</v>
      </c>
    </row>
    <row r="1384" spans="1:3" x14ac:dyDescent="0.3">
      <c r="A1384" s="284">
        <v>43935</v>
      </c>
      <c r="B1384">
        <v>73.67</v>
      </c>
      <c r="C1384">
        <v>73.650000000000006</v>
      </c>
    </row>
    <row r="1385" spans="1:3" x14ac:dyDescent="0.3">
      <c r="A1385" s="284">
        <v>43934</v>
      </c>
      <c r="B1385">
        <v>71.760000000000005</v>
      </c>
      <c r="C1385">
        <v>71.760000000000005</v>
      </c>
    </row>
    <row r="1386" spans="1:3" x14ac:dyDescent="0.3">
      <c r="A1386" s="284">
        <v>43930</v>
      </c>
      <c r="B1386">
        <v>73.88</v>
      </c>
      <c r="C1386">
        <v>73.88</v>
      </c>
    </row>
    <row r="1387" spans="1:3" x14ac:dyDescent="0.3">
      <c r="A1387" s="284">
        <v>43929</v>
      </c>
      <c r="B1387">
        <v>71.569999999999993</v>
      </c>
      <c r="C1387">
        <v>71.56</v>
      </c>
    </row>
    <row r="1388" spans="1:3" x14ac:dyDescent="0.3">
      <c r="A1388" s="284">
        <v>43928</v>
      </c>
      <c r="B1388">
        <v>68.709999999999994</v>
      </c>
      <c r="C1388">
        <v>68.709999999999994</v>
      </c>
    </row>
    <row r="1389" spans="1:3" x14ac:dyDescent="0.3">
      <c r="A1389" s="284">
        <v>43927</v>
      </c>
      <c r="B1389">
        <v>67.790000000000006</v>
      </c>
      <c r="C1389">
        <v>67.75</v>
      </c>
    </row>
    <row r="1390" spans="1:3" x14ac:dyDescent="0.3">
      <c r="A1390" s="284">
        <v>43924</v>
      </c>
      <c r="B1390">
        <v>63.05</v>
      </c>
      <c r="C1390">
        <v>63.05</v>
      </c>
    </row>
    <row r="1391" spans="1:3" x14ac:dyDescent="0.3">
      <c r="A1391" s="284">
        <v>43923</v>
      </c>
      <c r="B1391">
        <v>65</v>
      </c>
      <c r="C1391">
        <v>65.010000000000005</v>
      </c>
    </row>
    <row r="1392" spans="1:3" x14ac:dyDescent="0.3">
      <c r="A1392" s="284">
        <v>43922</v>
      </c>
      <c r="B1392">
        <v>62.62</v>
      </c>
      <c r="C1392">
        <v>62.62</v>
      </c>
    </row>
    <row r="1393" spans="1:3" x14ac:dyDescent="0.3">
      <c r="A1393" s="284">
        <v>43921</v>
      </c>
      <c r="B1393">
        <v>65.739999999999995</v>
      </c>
      <c r="C1393">
        <v>65.73</v>
      </c>
    </row>
    <row r="1394" spans="1:3" x14ac:dyDescent="0.3">
      <c r="A1394" s="284">
        <v>43920</v>
      </c>
      <c r="B1394">
        <v>67.86</v>
      </c>
      <c r="C1394">
        <v>67.849999999999994</v>
      </c>
    </row>
    <row r="1395" spans="1:3" x14ac:dyDescent="0.3">
      <c r="A1395" s="284">
        <v>43917</v>
      </c>
      <c r="B1395">
        <v>66.34</v>
      </c>
      <c r="C1395">
        <v>66.349999999999994</v>
      </c>
    </row>
    <row r="1396" spans="1:3" x14ac:dyDescent="0.3">
      <c r="A1396" s="284">
        <v>43916</v>
      </c>
      <c r="B1396">
        <v>69.900000000000006</v>
      </c>
      <c r="C1396">
        <v>69.900000000000006</v>
      </c>
    </row>
    <row r="1397" spans="1:3" x14ac:dyDescent="0.3">
      <c r="A1397" s="284">
        <v>43915</v>
      </c>
      <c r="B1397">
        <v>65.81</v>
      </c>
      <c r="C1397">
        <v>65.8</v>
      </c>
    </row>
    <row r="1398" spans="1:3" x14ac:dyDescent="0.3">
      <c r="A1398" s="284">
        <v>43914</v>
      </c>
      <c r="B1398">
        <v>64.88</v>
      </c>
      <c r="C1398">
        <v>64.88</v>
      </c>
    </row>
    <row r="1399" spans="1:3" x14ac:dyDescent="0.3">
      <c r="A1399" s="284">
        <v>43913</v>
      </c>
      <c r="B1399">
        <v>56.55</v>
      </c>
      <c r="C1399">
        <v>56.53</v>
      </c>
    </row>
    <row r="1400" spans="1:3" x14ac:dyDescent="0.3">
      <c r="A1400" s="284">
        <v>43910</v>
      </c>
      <c r="B1400">
        <v>58.03</v>
      </c>
      <c r="C1400">
        <v>57.99</v>
      </c>
    </row>
    <row r="1401" spans="1:3" x14ac:dyDescent="0.3">
      <c r="A1401" s="284">
        <v>43909</v>
      </c>
      <c r="B1401">
        <v>61.41</v>
      </c>
      <c r="C1401">
        <v>61.39</v>
      </c>
    </row>
    <row r="1402" spans="1:3" x14ac:dyDescent="0.3">
      <c r="A1402" s="284">
        <v>43908</v>
      </c>
      <c r="B1402">
        <v>56.33</v>
      </c>
      <c r="C1402">
        <v>56.35</v>
      </c>
    </row>
    <row r="1403" spans="1:3" x14ac:dyDescent="0.3">
      <c r="A1403" s="284">
        <v>43907</v>
      </c>
      <c r="B1403">
        <v>58.98</v>
      </c>
      <c r="C1403">
        <v>58.97</v>
      </c>
    </row>
    <row r="1404" spans="1:3" x14ac:dyDescent="0.3">
      <c r="A1404" s="284">
        <v>43906</v>
      </c>
      <c r="B1404">
        <v>58.59</v>
      </c>
      <c r="C1404">
        <v>58.4</v>
      </c>
    </row>
    <row r="1405" spans="1:3" x14ac:dyDescent="0.3">
      <c r="A1405" s="284">
        <v>43903</v>
      </c>
      <c r="B1405">
        <v>69.92</v>
      </c>
      <c r="C1405">
        <v>70.040000000000006</v>
      </c>
    </row>
    <row r="1406" spans="1:3" x14ac:dyDescent="0.3">
      <c r="A1406" s="284">
        <v>43902</v>
      </c>
      <c r="B1406">
        <v>62.1</v>
      </c>
      <c r="C1406">
        <v>62.09</v>
      </c>
    </row>
    <row r="1407" spans="1:3" x14ac:dyDescent="0.3">
      <c r="A1407" s="284">
        <v>43901</v>
      </c>
      <c r="B1407">
        <v>68.3</v>
      </c>
      <c r="C1407">
        <v>68.099999999999994</v>
      </c>
    </row>
    <row r="1408" spans="1:3" x14ac:dyDescent="0.3">
      <c r="A1408" s="284">
        <v>43900</v>
      </c>
      <c r="B1408">
        <v>74.87</v>
      </c>
      <c r="C1408">
        <v>74.900000000000006</v>
      </c>
    </row>
    <row r="1409" spans="1:3" x14ac:dyDescent="0.3">
      <c r="A1409" s="284">
        <v>43899</v>
      </c>
      <c r="B1409">
        <v>70.83</v>
      </c>
      <c r="C1409">
        <v>70.77</v>
      </c>
    </row>
    <row r="1410" spans="1:3" x14ac:dyDescent="0.3">
      <c r="A1410" s="284">
        <v>43896</v>
      </c>
      <c r="B1410">
        <v>75.34</v>
      </c>
      <c r="C1410">
        <v>75.319999999999993</v>
      </c>
    </row>
    <row r="1411" spans="1:3" x14ac:dyDescent="0.3">
      <c r="A1411" s="284">
        <v>43895</v>
      </c>
      <c r="B1411">
        <v>76.19</v>
      </c>
      <c r="C1411">
        <v>76.19</v>
      </c>
    </row>
    <row r="1412" spans="1:3" x14ac:dyDescent="0.3">
      <c r="A1412" s="284">
        <v>43894</v>
      </c>
      <c r="B1412">
        <v>79.67</v>
      </c>
      <c r="C1412">
        <v>79.67</v>
      </c>
    </row>
    <row r="1413" spans="1:3" x14ac:dyDescent="0.3">
      <c r="A1413" s="284">
        <v>43893</v>
      </c>
      <c r="B1413">
        <v>78.599999999999994</v>
      </c>
      <c r="C1413">
        <v>78.63</v>
      </c>
    </row>
    <row r="1414" spans="1:3" x14ac:dyDescent="0.3">
      <c r="A1414" s="284">
        <v>43892</v>
      </c>
      <c r="B1414">
        <v>82.38</v>
      </c>
      <c r="C1414">
        <v>82.38</v>
      </c>
    </row>
    <row r="1415" spans="1:3" x14ac:dyDescent="0.3">
      <c r="A1415" s="284">
        <v>43889</v>
      </c>
      <c r="B1415">
        <v>78.430000000000007</v>
      </c>
      <c r="C1415">
        <v>78.430000000000007</v>
      </c>
    </row>
    <row r="1416" spans="1:3" x14ac:dyDescent="0.3">
      <c r="A1416" s="284">
        <v>43888</v>
      </c>
      <c r="B1416">
        <v>78.290000000000006</v>
      </c>
      <c r="C1416">
        <v>78.27</v>
      </c>
    </row>
    <row r="1417" spans="1:3" x14ac:dyDescent="0.3">
      <c r="A1417" s="284">
        <v>43887</v>
      </c>
      <c r="B1417">
        <v>80.67</v>
      </c>
      <c r="C1417">
        <v>80.66</v>
      </c>
    </row>
    <row r="1418" spans="1:3" x14ac:dyDescent="0.3">
      <c r="A1418" s="284">
        <v>43886</v>
      </c>
      <c r="B1418">
        <v>82.19</v>
      </c>
      <c r="C1418">
        <v>82.18</v>
      </c>
    </row>
    <row r="1419" spans="1:3" x14ac:dyDescent="0.3">
      <c r="A1419" s="284">
        <v>43885</v>
      </c>
      <c r="B1419">
        <v>84.52</v>
      </c>
      <c r="C1419">
        <v>84.51</v>
      </c>
    </row>
    <row r="1420" spans="1:3" x14ac:dyDescent="0.3">
      <c r="A1420" s="284">
        <v>43882</v>
      </c>
      <c r="B1420">
        <v>87.36</v>
      </c>
      <c r="C1420">
        <v>87.33</v>
      </c>
    </row>
    <row r="1421" spans="1:3" x14ac:dyDescent="0.3">
      <c r="A1421" s="284">
        <v>43881</v>
      </c>
      <c r="B1421">
        <v>88.6</v>
      </c>
      <c r="C1421">
        <v>88.61</v>
      </c>
    </row>
    <row r="1422" spans="1:3" x14ac:dyDescent="0.3">
      <c r="A1422" s="284">
        <v>43880</v>
      </c>
      <c r="B1422">
        <v>90.14</v>
      </c>
      <c r="C1422">
        <v>90.13</v>
      </c>
    </row>
    <row r="1423" spans="1:3" x14ac:dyDescent="0.3">
      <c r="A1423" s="284">
        <v>43879</v>
      </c>
      <c r="B1423">
        <v>89.23</v>
      </c>
      <c r="C1423">
        <v>89.23</v>
      </c>
    </row>
    <row r="1424" spans="1:3" x14ac:dyDescent="0.3">
      <c r="A1424" s="284">
        <v>43875</v>
      </c>
      <c r="B1424">
        <v>89.28</v>
      </c>
      <c r="C1424">
        <v>89.29</v>
      </c>
    </row>
    <row r="1425" spans="1:3" x14ac:dyDescent="0.3">
      <c r="A1425" s="284">
        <v>43874</v>
      </c>
      <c r="B1425">
        <v>89.924999999999997</v>
      </c>
      <c r="C1425">
        <v>89.92</v>
      </c>
    </row>
    <row r="1426" spans="1:3" x14ac:dyDescent="0.3">
      <c r="A1426" s="284">
        <v>43873</v>
      </c>
      <c r="B1426">
        <v>88.57</v>
      </c>
      <c r="C1426">
        <v>88.55</v>
      </c>
    </row>
    <row r="1427" spans="1:3" x14ac:dyDescent="0.3">
      <c r="A1427" s="284">
        <v>43872</v>
      </c>
      <c r="B1427">
        <v>87.51</v>
      </c>
      <c r="C1427">
        <v>87.5</v>
      </c>
    </row>
    <row r="1428" spans="1:3" x14ac:dyDescent="0.3">
      <c r="A1428" s="284">
        <v>43871</v>
      </c>
      <c r="B1428">
        <v>87.53</v>
      </c>
      <c r="C1428">
        <v>87.54</v>
      </c>
    </row>
    <row r="1429" spans="1:3" x14ac:dyDescent="0.3">
      <c r="A1429" s="284">
        <v>43868</v>
      </c>
      <c r="B1429">
        <v>86.42</v>
      </c>
      <c r="C1429">
        <v>86.41</v>
      </c>
    </row>
    <row r="1430" spans="1:3" x14ac:dyDescent="0.3">
      <c r="A1430" s="284">
        <v>43867</v>
      </c>
      <c r="B1430">
        <v>86.15</v>
      </c>
      <c r="C1430">
        <v>86.15</v>
      </c>
    </row>
    <row r="1431" spans="1:3" x14ac:dyDescent="0.3">
      <c r="A1431" s="284">
        <v>43866</v>
      </c>
      <c r="B1431">
        <v>87.56</v>
      </c>
      <c r="C1431">
        <v>87.56</v>
      </c>
    </row>
    <row r="1432" spans="1:3" x14ac:dyDescent="0.3">
      <c r="A1432" s="284">
        <v>43865</v>
      </c>
      <c r="B1432">
        <v>88.38</v>
      </c>
      <c r="C1432">
        <v>88.38</v>
      </c>
    </row>
    <row r="1433" spans="1:3" x14ac:dyDescent="0.3">
      <c r="A1433" s="284">
        <v>43864</v>
      </c>
      <c r="B1433">
        <v>86.01</v>
      </c>
      <c r="C1433">
        <v>86</v>
      </c>
    </row>
    <row r="1434" spans="1:3" x14ac:dyDescent="0.3">
      <c r="A1434" s="284">
        <v>43861</v>
      </c>
      <c r="B1434">
        <v>84.83</v>
      </c>
      <c r="C1434">
        <v>84.83</v>
      </c>
    </row>
    <row r="1435" spans="1:3" x14ac:dyDescent="0.3">
      <c r="A1435" s="284">
        <v>43860</v>
      </c>
      <c r="B1435">
        <v>85.84</v>
      </c>
      <c r="C1435">
        <v>85.84</v>
      </c>
    </row>
    <row r="1436" spans="1:3" x14ac:dyDescent="0.3">
      <c r="A1436" s="284">
        <v>43859</v>
      </c>
      <c r="B1436">
        <v>86.72</v>
      </c>
      <c r="C1436">
        <v>86.73</v>
      </c>
    </row>
    <row r="1437" spans="1:3" x14ac:dyDescent="0.3">
      <c r="A1437" s="284">
        <v>43858</v>
      </c>
      <c r="B1437">
        <v>88.6</v>
      </c>
      <c r="C1437">
        <v>88.59</v>
      </c>
    </row>
    <row r="1438" spans="1:3" x14ac:dyDescent="0.3">
      <c r="A1438" s="284">
        <v>43857</v>
      </c>
      <c r="B1438">
        <v>88.73</v>
      </c>
      <c r="C1438">
        <v>88.73</v>
      </c>
    </row>
    <row r="1439" spans="1:3" x14ac:dyDescent="0.3">
      <c r="A1439" s="284">
        <v>43854</v>
      </c>
      <c r="B1439">
        <v>92.03</v>
      </c>
      <c r="C1439">
        <v>92.02</v>
      </c>
    </row>
    <row r="1440" spans="1:3" x14ac:dyDescent="0.3">
      <c r="A1440" s="284">
        <v>43853</v>
      </c>
      <c r="B1440">
        <v>93.75</v>
      </c>
      <c r="C1440">
        <v>93.73</v>
      </c>
    </row>
    <row r="1441" spans="1:3" x14ac:dyDescent="0.3">
      <c r="A1441" s="284">
        <v>43852</v>
      </c>
      <c r="B1441">
        <v>92.53</v>
      </c>
      <c r="C1441">
        <v>92.52</v>
      </c>
    </row>
    <row r="1442" spans="1:3" x14ac:dyDescent="0.3">
      <c r="A1442" s="284">
        <v>43851</v>
      </c>
      <c r="B1442">
        <v>92.53</v>
      </c>
      <c r="C1442">
        <v>92.54</v>
      </c>
    </row>
    <row r="1443" spans="1:3" x14ac:dyDescent="0.3">
      <c r="A1443" s="284">
        <v>43847</v>
      </c>
      <c r="B1443">
        <v>93.62</v>
      </c>
      <c r="C1443">
        <v>93.61</v>
      </c>
    </row>
    <row r="1444" spans="1:3" x14ac:dyDescent="0.3">
      <c r="A1444" s="284">
        <v>43846</v>
      </c>
      <c r="B1444">
        <v>92.58</v>
      </c>
      <c r="C1444">
        <v>92.59</v>
      </c>
    </row>
    <row r="1445" spans="1:3" x14ac:dyDescent="0.3">
      <c r="A1445" s="284">
        <v>43845</v>
      </c>
      <c r="B1445">
        <v>91.54</v>
      </c>
      <c r="C1445">
        <v>91.54</v>
      </c>
    </row>
    <row r="1446" spans="1:3" x14ac:dyDescent="0.3">
      <c r="A1446" s="284">
        <v>43844</v>
      </c>
      <c r="B1446">
        <v>90.99</v>
      </c>
      <c r="C1446">
        <v>90.99</v>
      </c>
    </row>
    <row r="1447" spans="1:3" x14ac:dyDescent="0.3">
      <c r="A1447" s="284">
        <v>43843</v>
      </c>
      <c r="B1447">
        <v>91.08</v>
      </c>
      <c r="C1447">
        <v>91.07</v>
      </c>
    </row>
    <row r="1448" spans="1:3" x14ac:dyDescent="0.3">
      <c r="A1448" s="284">
        <v>43840</v>
      </c>
      <c r="B1448">
        <v>90.16</v>
      </c>
      <c r="C1448">
        <v>90.15</v>
      </c>
    </row>
    <row r="1449" spans="1:3" x14ac:dyDescent="0.3">
      <c r="A1449" s="284">
        <v>43839</v>
      </c>
      <c r="B1449">
        <v>90.53</v>
      </c>
      <c r="C1449">
        <v>90.51</v>
      </c>
    </row>
    <row r="1450" spans="1:3" x14ac:dyDescent="0.3">
      <c r="A1450" s="284">
        <v>43838</v>
      </c>
      <c r="B1450">
        <v>88.88</v>
      </c>
      <c r="C1450">
        <v>88.89</v>
      </c>
    </row>
    <row r="1451" spans="1:3" x14ac:dyDescent="0.3">
      <c r="A1451" s="284">
        <v>43837</v>
      </c>
      <c r="B1451">
        <v>87.86</v>
      </c>
      <c r="C1451">
        <v>87.86</v>
      </c>
    </row>
    <row r="1452" spans="1:3" x14ac:dyDescent="0.3">
      <c r="A1452" s="284">
        <v>43836</v>
      </c>
      <c r="B1452">
        <v>88.13</v>
      </c>
      <c r="C1452">
        <v>88.11</v>
      </c>
    </row>
    <row r="1453" spans="1:3" x14ac:dyDescent="0.3">
      <c r="A1453" s="284">
        <v>43833</v>
      </c>
      <c r="B1453">
        <v>88.83</v>
      </c>
      <c r="C1453">
        <v>88.82</v>
      </c>
    </row>
    <row r="1454" spans="1:3" x14ac:dyDescent="0.3">
      <c r="A1454" s="284">
        <v>43832</v>
      </c>
      <c r="B1454">
        <v>89.35</v>
      </c>
      <c r="C1454">
        <v>89.34</v>
      </c>
    </row>
    <row r="1455" spans="1:3" x14ac:dyDescent="0.3">
      <c r="A1455" s="284">
        <v>43830</v>
      </c>
      <c r="B1455">
        <v>87.92</v>
      </c>
      <c r="C1455">
        <v>87.9</v>
      </c>
    </row>
    <row r="1456" spans="1:3" x14ac:dyDescent="0.3">
      <c r="A1456" s="284">
        <v>43829</v>
      </c>
      <c r="B1456">
        <v>87.44</v>
      </c>
      <c r="C1456">
        <v>87.43</v>
      </c>
    </row>
    <row r="1457" spans="1:3" x14ac:dyDescent="0.3">
      <c r="A1457" s="284">
        <v>43826</v>
      </c>
      <c r="B1457">
        <v>88.13</v>
      </c>
      <c r="C1457">
        <v>88.13</v>
      </c>
    </row>
    <row r="1458" spans="1:3" x14ac:dyDescent="0.3">
      <c r="A1458" s="284">
        <v>43825</v>
      </c>
      <c r="B1458">
        <v>88.075000000000003</v>
      </c>
      <c r="C1458">
        <v>88.07</v>
      </c>
    </row>
    <row r="1459" spans="1:3" x14ac:dyDescent="0.3">
      <c r="A1459" s="284">
        <v>43823</v>
      </c>
      <c r="B1459">
        <v>88.52</v>
      </c>
      <c r="C1459">
        <v>88.5</v>
      </c>
    </row>
    <row r="1460" spans="1:3" x14ac:dyDescent="0.3">
      <c r="A1460" s="284">
        <v>43822</v>
      </c>
      <c r="B1460">
        <v>88.23</v>
      </c>
      <c r="C1460">
        <v>88.22</v>
      </c>
    </row>
    <row r="1461" spans="1:3" x14ac:dyDescent="0.3">
      <c r="A1461" s="284">
        <v>43819</v>
      </c>
      <c r="B1461">
        <v>88.46</v>
      </c>
      <c r="C1461">
        <v>88.46</v>
      </c>
    </row>
    <row r="1462" spans="1:3" x14ac:dyDescent="0.3">
      <c r="A1462" s="284">
        <v>43818</v>
      </c>
      <c r="B1462">
        <v>88.52</v>
      </c>
      <c r="C1462">
        <v>88.49</v>
      </c>
    </row>
    <row r="1463" spans="1:3" x14ac:dyDescent="0.3">
      <c r="A1463" s="284">
        <v>43817</v>
      </c>
      <c r="B1463">
        <v>87.99</v>
      </c>
      <c r="C1463">
        <v>87.99</v>
      </c>
    </row>
    <row r="1464" spans="1:3" x14ac:dyDescent="0.3">
      <c r="A1464" s="284">
        <v>43816</v>
      </c>
      <c r="B1464">
        <v>88.13</v>
      </c>
      <c r="C1464">
        <v>88.14</v>
      </c>
    </row>
    <row r="1465" spans="1:3" x14ac:dyDescent="0.3">
      <c r="A1465" s="284">
        <v>43815</v>
      </c>
      <c r="B1465">
        <v>88.78</v>
      </c>
      <c r="C1465">
        <v>88.76</v>
      </c>
    </row>
    <row r="1466" spans="1:3" x14ac:dyDescent="0.3">
      <c r="A1466" s="284">
        <v>43812</v>
      </c>
      <c r="B1466">
        <v>88.67</v>
      </c>
      <c r="C1466">
        <v>88.68</v>
      </c>
    </row>
    <row r="1467" spans="1:3" x14ac:dyDescent="0.3">
      <c r="A1467" s="284">
        <v>43811</v>
      </c>
      <c r="B1467">
        <v>88.21</v>
      </c>
      <c r="C1467">
        <v>88.21</v>
      </c>
    </row>
    <row r="1468" spans="1:3" x14ac:dyDescent="0.3">
      <c r="A1468" s="284">
        <v>43810</v>
      </c>
      <c r="B1468">
        <v>86.59</v>
      </c>
      <c r="C1468">
        <v>86.59</v>
      </c>
    </row>
    <row r="1469" spans="1:3" x14ac:dyDescent="0.3">
      <c r="A1469" s="284">
        <v>43809</v>
      </c>
      <c r="B1469">
        <v>86.04</v>
      </c>
      <c r="C1469">
        <v>86.04</v>
      </c>
    </row>
    <row r="1470" spans="1:3" x14ac:dyDescent="0.3">
      <c r="A1470" s="284">
        <v>43808</v>
      </c>
      <c r="B1470">
        <v>86.28</v>
      </c>
      <c r="C1470">
        <v>86.27</v>
      </c>
    </row>
    <row r="1471" spans="1:3" x14ac:dyDescent="0.3">
      <c r="A1471" s="284">
        <v>43805</v>
      </c>
      <c r="B1471">
        <v>86.32</v>
      </c>
      <c r="C1471">
        <v>86.32</v>
      </c>
    </row>
    <row r="1472" spans="1:3" x14ac:dyDescent="0.3">
      <c r="A1472" s="284">
        <v>43804</v>
      </c>
      <c r="B1472">
        <v>84.45</v>
      </c>
      <c r="C1472">
        <v>84.45</v>
      </c>
    </row>
    <row r="1473" spans="1:3" x14ac:dyDescent="0.3">
      <c r="A1473" s="284">
        <v>43803</v>
      </c>
      <c r="B1473">
        <v>85.4</v>
      </c>
      <c r="C1473">
        <v>85.4</v>
      </c>
    </row>
    <row r="1474" spans="1:3" x14ac:dyDescent="0.3">
      <c r="A1474" s="284">
        <v>43802</v>
      </c>
      <c r="B1474">
        <v>84.82</v>
      </c>
      <c r="C1474">
        <v>84.82</v>
      </c>
    </row>
    <row r="1475" spans="1:3" x14ac:dyDescent="0.3">
      <c r="A1475" s="284">
        <v>43801</v>
      </c>
      <c r="B1475">
        <v>84.57</v>
      </c>
      <c r="C1475">
        <v>84.58</v>
      </c>
    </row>
    <row r="1476" spans="1:3" x14ac:dyDescent="0.3">
      <c r="A1476" s="284">
        <v>43798</v>
      </c>
      <c r="B1476">
        <v>85.43</v>
      </c>
      <c r="C1476">
        <v>85.43</v>
      </c>
    </row>
    <row r="1477" spans="1:3" x14ac:dyDescent="0.3">
      <c r="A1477" s="284">
        <v>43796</v>
      </c>
      <c r="B1477">
        <v>85.77</v>
      </c>
      <c r="C1477">
        <v>85.74</v>
      </c>
    </row>
    <row r="1478" spans="1:3" x14ac:dyDescent="0.3">
      <c r="A1478" s="284">
        <v>43795</v>
      </c>
      <c r="B1478">
        <v>84.56</v>
      </c>
      <c r="C1478">
        <v>84.53</v>
      </c>
    </row>
    <row r="1479" spans="1:3" x14ac:dyDescent="0.3">
      <c r="A1479" s="284">
        <v>43794</v>
      </c>
      <c r="B1479">
        <v>83.75</v>
      </c>
      <c r="C1479">
        <v>83.75</v>
      </c>
    </row>
    <row r="1480" spans="1:3" x14ac:dyDescent="0.3">
      <c r="A1480" s="284">
        <v>43791</v>
      </c>
      <c r="B1480">
        <v>83.02</v>
      </c>
      <c r="C1480">
        <v>83</v>
      </c>
    </row>
    <row r="1481" spans="1:3" x14ac:dyDescent="0.3">
      <c r="A1481" s="284">
        <v>43790</v>
      </c>
      <c r="B1481">
        <v>82.3</v>
      </c>
      <c r="C1481">
        <v>82.28</v>
      </c>
    </row>
    <row r="1482" spans="1:3" x14ac:dyDescent="0.3">
      <c r="A1482" s="284">
        <v>43789</v>
      </c>
      <c r="B1482">
        <v>83.6</v>
      </c>
      <c r="C1482">
        <v>83.59</v>
      </c>
    </row>
    <row r="1483" spans="1:3" x14ac:dyDescent="0.3">
      <c r="A1483" s="284">
        <v>43788</v>
      </c>
      <c r="B1483">
        <v>83.66</v>
      </c>
      <c r="C1483">
        <v>83.65</v>
      </c>
    </row>
    <row r="1484" spans="1:3" x14ac:dyDescent="0.3">
      <c r="A1484" s="284">
        <v>43787</v>
      </c>
      <c r="B1484">
        <v>84.02</v>
      </c>
      <c r="C1484">
        <v>84.02</v>
      </c>
    </row>
    <row r="1485" spans="1:3" x14ac:dyDescent="0.3">
      <c r="A1485" s="284">
        <v>43784</v>
      </c>
      <c r="B1485">
        <v>84.21</v>
      </c>
      <c r="C1485">
        <v>84.21</v>
      </c>
    </row>
    <row r="1486" spans="1:3" x14ac:dyDescent="0.3">
      <c r="A1486" s="284">
        <v>43783</v>
      </c>
      <c r="B1486">
        <v>84.38</v>
      </c>
      <c r="C1486">
        <v>84.37</v>
      </c>
    </row>
    <row r="1487" spans="1:3" x14ac:dyDescent="0.3">
      <c r="A1487" s="284">
        <v>43782</v>
      </c>
      <c r="B1487">
        <v>83.94</v>
      </c>
      <c r="C1487">
        <v>83.93</v>
      </c>
    </row>
    <row r="1488" spans="1:3" x14ac:dyDescent="0.3">
      <c r="A1488" s="284">
        <v>43781</v>
      </c>
      <c r="B1488">
        <v>83.32</v>
      </c>
      <c r="C1488">
        <v>83.31</v>
      </c>
    </row>
    <row r="1489" spans="1:3" x14ac:dyDescent="0.3">
      <c r="A1489" s="284">
        <v>43780</v>
      </c>
      <c r="B1489">
        <v>82.43</v>
      </c>
      <c r="C1489">
        <v>82.44</v>
      </c>
    </row>
    <row r="1490" spans="1:3" x14ac:dyDescent="0.3">
      <c r="A1490" s="284">
        <v>43777</v>
      </c>
      <c r="B1490">
        <v>81.77</v>
      </c>
      <c r="C1490">
        <v>81.760000000000005</v>
      </c>
    </row>
    <row r="1491" spans="1:3" x14ac:dyDescent="0.3">
      <c r="A1491" s="284">
        <v>43776</v>
      </c>
      <c r="B1491">
        <v>81.95</v>
      </c>
      <c r="C1491">
        <v>81.95</v>
      </c>
    </row>
    <row r="1492" spans="1:3" x14ac:dyDescent="0.3">
      <c r="A1492" s="284">
        <v>43775</v>
      </c>
      <c r="B1492">
        <v>82.99</v>
      </c>
      <c r="C1492">
        <v>82.99</v>
      </c>
    </row>
    <row r="1493" spans="1:3" x14ac:dyDescent="0.3">
      <c r="A1493" s="284">
        <v>43774</v>
      </c>
      <c r="B1493">
        <v>81.89</v>
      </c>
      <c r="C1493">
        <v>81.88</v>
      </c>
    </row>
    <row r="1494" spans="1:3" x14ac:dyDescent="0.3">
      <c r="A1494" s="284">
        <v>43773</v>
      </c>
      <c r="B1494">
        <v>82.37</v>
      </c>
      <c r="C1494">
        <v>82.39</v>
      </c>
    </row>
    <row r="1495" spans="1:3" x14ac:dyDescent="0.3">
      <c r="A1495" s="284">
        <v>43770</v>
      </c>
      <c r="B1495">
        <v>83.21</v>
      </c>
      <c r="C1495">
        <v>83.24</v>
      </c>
    </row>
    <row r="1496" spans="1:3" x14ac:dyDescent="0.3">
      <c r="A1496" s="284">
        <v>43769</v>
      </c>
      <c r="B1496">
        <v>84.56</v>
      </c>
      <c r="C1496">
        <v>84.55</v>
      </c>
    </row>
    <row r="1497" spans="1:3" x14ac:dyDescent="0.3">
      <c r="A1497" s="284">
        <v>43768</v>
      </c>
      <c r="B1497">
        <v>84.19</v>
      </c>
      <c r="C1497">
        <v>84.25</v>
      </c>
    </row>
    <row r="1498" spans="1:3" x14ac:dyDescent="0.3">
      <c r="A1498" s="284">
        <v>43767</v>
      </c>
      <c r="B1498">
        <v>84.13</v>
      </c>
      <c r="C1498">
        <v>84.1</v>
      </c>
    </row>
    <row r="1499" spans="1:3" x14ac:dyDescent="0.3">
      <c r="A1499" s="284">
        <v>43766</v>
      </c>
      <c r="B1499">
        <v>83.6</v>
      </c>
      <c r="C1499">
        <v>83.6</v>
      </c>
    </row>
    <row r="1500" spans="1:3" x14ac:dyDescent="0.3">
      <c r="A1500" s="284">
        <v>43763</v>
      </c>
      <c r="B1500">
        <v>83.38</v>
      </c>
      <c r="C1500">
        <v>83.34</v>
      </c>
    </row>
    <row r="1501" spans="1:3" x14ac:dyDescent="0.3">
      <c r="A1501" s="284">
        <v>43762</v>
      </c>
      <c r="B1501">
        <v>83.18</v>
      </c>
      <c r="C1501">
        <v>83.18</v>
      </c>
    </row>
    <row r="1502" spans="1:3" x14ac:dyDescent="0.3">
      <c r="A1502" s="284">
        <v>43761</v>
      </c>
      <c r="B1502">
        <v>82.74</v>
      </c>
      <c r="C1502">
        <v>82.73</v>
      </c>
    </row>
    <row r="1503" spans="1:3" x14ac:dyDescent="0.3">
      <c r="A1503" s="284">
        <v>43760</v>
      </c>
      <c r="B1503">
        <v>83.46</v>
      </c>
      <c r="C1503">
        <v>83.42</v>
      </c>
    </row>
    <row r="1504" spans="1:3" x14ac:dyDescent="0.3">
      <c r="A1504" s="284">
        <v>43759</v>
      </c>
      <c r="B1504">
        <v>85.35</v>
      </c>
      <c r="C1504">
        <v>85.34</v>
      </c>
    </row>
    <row r="1505" spans="1:3" x14ac:dyDescent="0.3">
      <c r="A1505" s="284">
        <v>43756</v>
      </c>
      <c r="B1505">
        <v>86.03</v>
      </c>
      <c r="C1505">
        <v>85.99</v>
      </c>
    </row>
    <row r="1506" spans="1:3" x14ac:dyDescent="0.3">
      <c r="A1506" s="284">
        <v>43755</v>
      </c>
      <c r="B1506">
        <v>86.29</v>
      </c>
      <c r="C1506">
        <v>86.28</v>
      </c>
    </row>
    <row r="1507" spans="1:3" x14ac:dyDescent="0.3">
      <c r="A1507" s="284">
        <v>43754</v>
      </c>
      <c r="B1507">
        <v>86.71</v>
      </c>
      <c r="C1507">
        <v>86.72</v>
      </c>
    </row>
    <row r="1508" spans="1:3" x14ac:dyDescent="0.3">
      <c r="A1508" s="284">
        <v>43753</v>
      </c>
      <c r="B1508">
        <v>86.45</v>
      </c>
      <c r="C1508">
        <v>86.41</v>
      </c>
    </row>
    <row r="1509" spans="1:3" x14ac:dyDescent="0.3">
      <c r="A1509" s="284">
        <v>43752</v>
      </c>
      <c r="B1509">
        <v>86.62</v>
      </c>
      <c r="C1509">
        <v>86.62</v>
      </c>
    </row>
    <row r="1510" spans="1:3" x14ac:dyDescent="0.3">
      <c r="A1510" s="284">
        <v>43749</v>
      </c>
      <c r="B1510">
        <v>86.36</v>
      </c>
      <c r="C1510">
        <v>86.34</v>
      </c>
    </row>
    <row r="1511" spans="1:3" x14ac:dyDescent="0.3">
      <c r="A1511" s="284">
        <v>43748</v>
      </c>
      <c r="B1511">
        <v>85.96</v>
      </c>
      <c r="C1511">
        <v>85.97</v>
      </c>
    </row>
    <row r="1512" spans="1:3" x14ac:dyDescent="0.3">
      <c r="A1512" s="284">
        <v>43747</v>
      </c>
      <c r="B1512">
        <v>85.85</v>
      </c>
      <c r="C1512">
        <v>85.82</v>
      </c>
    </row>
    <row r="1513" spans="1:3" x14ac:dyDescent="0.3">
      <c r="A1513" s="284">
        <v>43746</v>
      </c>
      <c r="B1513">
        <v>84.91</v>
      </c>
      <c r="C1513">
        <v>84.9</v>
      </c>
    </row>
    <row r="1514" spans="1:3" x14ac:dyDescent="0.3">
      <c r="A1514" s="284">
        <v>43745</v>
      </c>
      <c r="B1514">
        <v>85.85</v>
      </c>
      <c r="C1514">
        <v>85.84</v>
      </c>
    </row>
    <row r="1515" spans="1:3" x14ac:dyDescent="0.3">
      <c r="A1515" s="284">
        <v>43742</v>
      </c>
      <c r="B1515">
        <v>85.92</v>
      </c>
      <c r="C1515">
        <v>85.92</v>
      </c>
    </row>
    <row r="1516" spans="1:3" x14ac:dyDescent="0.3">
      <c r="A1516" s="284">
        <v>43741</v>
      </c>
      <c r="B1516">
        <v>84.67</v>
      </c>
      <c r="C1516">
        <v>84.66</v>
      </c>
    </row>
    <row r="1517" spans="1:3" x14ac:dyDescent="0.3">
      <c r="A1517" s="284">
        <v>43740</v>
      </c>
      <c r="B1517">
        <v>84.32</v>
      </c>
      <c r="C1517">
        <v>84.33</v>
      </c>
    </row>
    <row r="1518" spans="1:3" x14ac:dyDescent="0.3">
      <c r="A1518" s="284">
        <v>43739</v>
      </c>
      <c r="B1518">
        <v>86.51</v>
      </c>
      <c r="C1518">
        <v>86.51</v>
      </c>
    </row>
    <row r="1519" spans="1:3" x14ac:dyDescent="0.3">
      <c r="A1519" s="284">
        <v>43738</v>
      </c>
      <c r="B1519">
        <v>88.42</v>
      </c>
      <c r="C1519">
        <v>88.42</v>
      </c>
    </row>
    <row r="1520" spans="1:3" x14ac:dyDescent="0.3">
      <c r="A1520" s="284">
        <v>43735</v>
      </c>
      <c r="B1520">
        <v>88.37</v>
      </c>
      <c r="C1520">
        <v>88.36</v>
      </c>
    </row>
    <row r="1521" spans="1:3" x14ac:dyDescent="0.3">
      <c r="A1521" s="284">
        <v>43734</v>
      </c>
      <c r="B1521">
        <v>89.8</v>
      </c>
      <c r="C1521">
        <v>89.78</v>
      </c>
    </row>
    <row r="1522" spans="1:3" x14ac:dyDescent="0.3">
      <c r="A1522" s="284">
        <v>43733</v>
      </c>
      <c r="B1522">
        <v>90.35</v>
      </c>
      <c r="C1522">
        <v>90.38</v>
      </c>
    </row>
    <row r="1523" spans="1:3" x14ac:dyDescent="0.3">
      <c r="A1523" s="284">
        <v>43732</v>
      </c>
      <c r="B1523">
        <v>89.92</v>
      </c>
      <c r="C1523">
        <v>89.94</v>
      </c>
    </row>
    <row r="1524" spans="1:3" x14ac:dyDescent="0.3">
      <c r="A1524" s="284">
        <v>43731</v>
      </c>
      <c r="B1524">
        <v>90.81</v>
      </c>
      <c r="C1524">
        <v>90.8</v>
      </c>
    </row>
    <row r="1525" spans="1:3" x14ac:dyDescent="0.3">
      <c r="A1525" s="284">
        <v>43728</v>
      </c>
      <c r="B1525">
        <v>90.07</v>
      </c>
      <c r="C1525">
        <v>90.06</v>
      </c>
    </row>
    <row r="1526" spans="1:3" x14ac:dyDescent="0.3">
      <c r="A1526" s="284">
        <v>43727</v>
      </c>
      <c r="B1526">
        <v>91.56</v>
      </c>
      <c r="C1526">
        <v>91.56</v>
      </c>
    </row>
    <row r="1527" spans="1:3" x14ac:dyDescent="0.3">
      <c r="A1527" s="284">
        <v>43726</v>
      </c>
      <c r="B1527">
        <v>90.96</v>
      </c>
      <c r="C1527">
        <v>90.99</v>
      </c>
    </row>
    <row r="1528" spans="1:3" x14ac:dyDescent="0.3">
      <c r="A1528" s="284">
        <v>43725</v>
      </c>
      <c r="B1528">
        <v>90.75</v>
      </c>
      <c r="C1528">
        <v>90.73</v>
      </c>
    </row>
    <row r="1529" spans="1:3" x14ac:dyDescent="0.3">
      <c r="A1529" s="284">
        <v>43724</v>
      </c>
      <c r="B1529">
        <v>89.42</v>
      </c>
      <c r="C1529">
        <v>89.42</v>
      </c>
    </row>
    <row r="1530" spans="1:3" x14ac:dyDescent="0.3">
      <c r="A1530" s="284">
        <v>43721</v>
      </c>
      <c r="B1530">
        <v>90.48</v>
      </c>
      <c r="C1530">
        <v>90.46</v>
      </c>
    </row>
    <row r="1531" spans="1:3" x14ac:dyDescent="0.3">
      <c r="A1531" s="284">
        <v>43720</v>
      </c>
      <c r="B1531">
        <v>92.06</v>
      </c>
      <c r="C1531">
        <v>92.06</v>
      </c>
    </row>
    <row r="1532" spans="1:3" x14ac:dyDescent="0.3">
      <c r="A1532" s="284">
        <v>43719</v>
      </c>
      <c r="B1532">
        <v>90.98</v>
      </c>
      <c r="C1532">
        <v>90.96</v>
      </c>
    </row>
    <row r="1533" spans="1:3" x14ac:dyDescent="0.3">
      <c r="A1533" s="284">
        <v>43718</v>
      </c>
      <c r="B1533">
        <v>90.35</v>
      </c>
      <c r="C1533">
        <v>90.35</v>
      </c>
    </row>
    <row r="1534" spans="1:3" x14ac:dyDescent="0.3">
      <c r="A1534" s="284">
        <v>43717</v>
      </c>
      <c r="B1534">
        <v>94.16</v>
      </c>
      <c r="C1534">
        <v>94.15</v>
      </c>
    </row>
    <row r="1535" spans="1:3" x14ac:dyDescent="0.3">
      <c r="A1535" s="284">
        <v>43714</v>
      </c>
      <c r="B1535">
        <v>95.74</v>
      </c>
      <c r="C1535">
        <v>95.74</v>
      </c>
    </row>
    <row r="1536" spans="1:3" x14ac:dyDescent="0.3">
      <c r="A1536" s="284">
        <v>43713</v>
      </c>
      <c r="B1536">
        <v>95.56</v>
      </c>
      <c r="C1536">
        <v>95.55</v>
      </c>
    </row>
    <row r="1537" spans="1:3" x14ac:dyDescent="0.3">
      <c r="A1537" s="284">
        <v>43712</v>
      </c>
      <c r="B1537">
        <v>96.11</v>
      </c>
      <c r="C1537">
        <v>96.1</v>
      </c>
    </row>
    <row r="1538" spans="1:3" x14ac:dyDescent="0.3">
      <c r="A1538" s="284">
        <v>43711</v>
      </c>
      <c r="B1538">
        <v>96.77</v>
      </c>
      <c r="C1538">
        <v>96.76</v>
      </c>
    </row>
    <row r="1539" spans="1:3" x14ac:dyDescent="0.3">
      <c r="A1539" s="284">
        <v>43707</v>
      </c>
      <c r="B1539">
        <v>96.56</v>
      </c>
      <c r="C1539">
        <v>96.53</v>
      </c>
    </row>
    <row r="1540" spans="1:3" x14ac:dyDescent="0.3">
      <c r="A1540" s="284">
        <v>43706</v>
      </c>
      <c r="B1540">
        <v>97.7</v>
      </c>
      <c r="C1540">
        <v>97.69</v>
      </c>
    </row>
    <row r="1541" spans="1:3" x14ac:dyDescent="0.3">
      <c r="A1541" s="284">
        <v>43705</v>
      </c>
      <c r="B1541">
        <v>97.07</v>
      </c>
      <c r="C1541">
        <v>97.06</v>
      </c>
    </row>
    <row r="1542" spans="1:3" x14ac:dyDescent="0.3">
      <c r="A1542" s="284">
        <v>43704</v>
      </c>
      <c r="B1542">
        <v>96.09</v>
      </c>
      <c r="C1542">
        <v>96.08</v>
      </c>
    </row>
    <row r="1543" spans="1:3" x14ac:dyDescent="0.3">
      <c r="A1543" s="284">
        <v>43703</v>
      </c>
      <c r="B1543">
        <v>96.5</v>
      </c>
      <c r="C1543">
        <v>96.49</v>
      </c>
    </row>
    <row r="1544" spans="1:3" x14ac:dyDescent="0.3">
      <c r="A1544" s="284">
        <v>43700</v>
      </c>
      <c r="B1544">
        <v>94.7</v>
      </c>
      <c r="C1544">
        <v>94.81</v>
      </c>
    </row>
    <row r="1545" spans="1:3" x14ac:dyDescent="0.3">
      <c r="A1545" s="284">
        <v>43699</v>
      </c>
      <c r="B1545">
        <v>96.49</v>
      </c>
      <c r="C1545">
        <v>96.5</v>
      </c>
    </row>
    <row r="1546" spans="1:3" x14ac:dyDescent="0.3">
      <c r="A1546" s="284">
        <v>43698</v>
      </c>
      <c r="B1546">
        <v>96.32</v>
      </c>
      <c r="C1546">
        <v>96.31</v>
      </c>
    </row>
    <row r="1547" spans="1:3" x14ac:dyDescent="0.3">
      <c r="A1547" s="284">
        <v>43697</v>
      </c>
      <c r="B1547">
        <v>95.63</v>
      </c>
      <c r="C1547">
        <v>95.62</v>
      </c>
    </row>
    <row r="1548" spans="1:3" x14ac:dyDescent="0.3">
      <c r="A1548" s="284">
        <v>43696</v>
      </c>
      <c r="B1548">
        <v>96.66</v>
      </c>
      <c r="C1548">
        <v>96.66</v>
      </c>
    </row>
    <row r="1549" spans="1:3" x14ac:dyDescent="0.3">
      <c r="A1549" s="284">
        <v>43693</v>
      </c>
      <c r="B1549">
        <v>96.52</v>
      </c>
      <c r="C1549">
        <v>96.5</v>
      </c>
    </row>
    <row r="1550" spans="1:3" x14ac:dyDescent="0.3">
      <c r="A1550" s="284">
        <v>43692</v>
      </c>
      <c r="B1550">
        <v>95.53</v>
      </c>
      <c r="C1550">
        <v>95.53</v>
      </c>
    </row>
    <row r="1551" spans="1:3" x14ac:dyDescent="0.3">
      <c r="A1551" s="284">
        <v>43691</v>
      </c>
      <c r="B1551">
        <v>94.92</v>
      </c>
      <c r="C1551">
        <v>94.91</v>
      </c>
    </row>
    <row r="1552" spans="1:3" x14ac:dyDescent="0.3">
      <c r="A1552" s="284">
        <v>43690</v>
      </c>
      <c r="B1552">
        <v>96.63</v>
      </c>
      <c r="C1552">
        <v>96.63</v>
      </c>
    </row>
    <row r="1553" spans="1:3" x14ac:dyDescent="0.3">
      <c r="A1553" s="284">
        <v>43689</v>
      </c>
      <c r="B1553">
        <v>94.91</v>
      </c>
      <c r="C1553">
        <v>94.89</v>
      </c>
    </row>
    <row r="1554" spans="1:3" x14ac:dyDescent="0.3">
      <c r="A1554" s="284">
        <v>43686</v>
      </c>
      <c r="B1554">
        <v>96.3</v>
      </c>
      <c r="C1554">
        <v>96.29</v>
      </c>
    </row>
    <row r="1555" spans="1:3" x14ac:dyDescent="0.3">
      <c r="A1555" s="284">
        <v>43685</v>
      </c>
      <c r="B1555">
        <v>96.27</v>
      </c>
      <c r="C1555">
        <v>96.27</v>
      </c>
    </row>
    <row r="1556" spans="1:3" x14ac:dyDescent="0.3">
      <c r="A1556" s="284">
        <v>43684</v>
      </c>
      <c r="B1556">
        <v>95.22</v>
      </c>
      <c r="C1556">
        <v>95.19</v>
      </c>
    </row>
    <row r="1557" spans="1:3" x14ac:dyDescent="0.3">
      <c r="A1557" s="284">
        <v>43683</v>
      </c>
      <c r="B1557">
        <v>95.34</v>
      </c>
      <c r="C1557">
        <v>95.3</v>
      </c>
    </row>
    <row r="1558" spans="1:3" x14ac:dyDescent="0.3">
      <c r="A1558" s="284">
        <v>43682</v>
      </c>
      <c r="B1558">
        <v>93.7</v>
      </c>
      <c r="C1558">
        <v>93.69</v>
      </c>
    </row>
    <row r="1559" spans="1:3" x14ac:dyDescent="0.3">
      <c r="A1559" s="284">
        <v>43679</v>
      </c>
      <c r="B1559">
        <v>95.51</v>
      </c>
      <c r="C1559">
        <v>95.5</v>
      </c>
    </row>
    <row r="1560" spans="1:3" x14ac:dyDescent="0.3">
      <c r="A1560" s="284">
        <v>43678</v>
      </c>
      <c r="B1560">
        <v>95.38</v>
      </c>
      <c r="C1560">
        <v>95.39</v>
      </c>
    </row>
    <row r="1561" spans="1:3" x14ac:dyDescent="0.3">
      <c r="A1561" s="284">
        <v>43677</v>
      </c>
      <c r="B1561">
        <v>94.69</v>
      </c>
      <c r="C1561">
        <v>94.67</v>
      </c>
    </row>
    <row r="1562" spans="1:3" x14ac:dyDescent="0.3">
      <c r="A1562" s="284">
        <v>43676</v>
      </c>
      <c r="B1562">
        <v>96.65</v>
      </c>
      <c r="C1562">
        <v>96.64</v>
      </c>
    </row>
    <row r="1563" spans="1:3" x14ac:dyDescent="0.3">
      <c r="A1563" s="284">
        <v>43675</v>
      </c>
      <c r="B1563">
        <v>98.02</v>
      </c>
      <c r="C1563">
        <v>98.02</v>
      </c>
    </row>
    <row r="1564" spans="1:3" x14ac:dyDescent="0.3">
      <c r="A1564" s="284">
        <v>43672</v>
      </c>
      <c r="B1564">
        <v>99.11</v>
      </c>
      <c r="C1564">
        <v>99.1</v>
      </c>
    </row>
    <row r="1565" spans="1:3" x14ac:dyDescent="0.3">
      <c r="A1565" s="284">
        <v>43671</v>
      </c>
      <c r="B1565">
        <v>90.98</v>
      </c>
      <c r="C1565">
        <v>91.03</v>
      </c>
    </row>
    <row r="1566" spans="1:3" x14ac:dyDescent="0.3">
      <c r="A1566" s="284">
        <v>43670</v>
      </c>
      <c r="B1566">
        <v>90.65</v>
      </c>
      <c r="C1566">
        <v>90.65</v>
      </c>
    </row>
    <row r="1567" spans="1:3" x14ac:dyDescent="0.3">
      <c r="A1567" s="284">
        <v>43669</v>
      </c>
      <c r="B1567">
        <v>90.11</v>
      </c>
      <c r="C1567">
        <v>90.11</v>
      </c>
    </row>
    <row r="1568" spans="1:3" x14ac:dyDescent="0.3">
      <c r="A1568" s="284">
        <v>43668</v>
      </c>
      <c r="B1568">
        <v>90.92</v>
      </c>
      <c r="C1568">
        <v>90.91</v>
      </c>
    </row>
    <row r="1569" spans="1:3" x14ac:dyDescent="0.3">
      <c r="A1569" s="284">
        <v>43665</v>
      </c>
      <c r="B1569">
        <v>90.3</v>
      </c>
      <c r="C1569">
        <v>90.29</v>
      </c>
    </row>
    <row r="1570" spans="1:3" x14ac:dyDescent="0.3">
      <c r="A1570" s="284">
        <v>43664</v>
      </c>
      <c r="B1570">
        <v>91.5</v>
      </c>
      <c r="C1570">
        <v>91.49</v>
      </c>
    </row>
    <row r="1571" spans="1:3" x14ac:dyDescent="0.3">
      <c r="A1571" s="284">
        <v>43663</v>
      </c>
      <c r="B1571">
        <v>90.25</v>
      </c>
      <c r="C1571">
        <v>90.26</v>
      </c>
    </row>
    <row r="1572" spans="1:3" x14ac:dyDescent="0.3">
      <c r="A1572" s="284">
        <v>43662</v>
      </c>
      <c r="B1572">
        <v>90.08</v>
      </c>
      <c r="C1572">
        <v>90.07</v>
      </c>
    </row>
    <row r="1573" spans="1:3" x14ac:dyDescent="0.3">
      <c r="A1573" s="284">
        <v>43661</v>
      </c>
      <c r="B1573">
        <v>90.16</v>
      </c>
      <c r="C1573">
        <v>90.16</v>
      </c>
    </row>
    <row r="1574" spans="1:3" x14ac:dyDescent="0.3">
      <c r="A1574" s="284">
        <v>43658</v>
      </c>
      <c r="B1574">
        <v>89.77</v>
      </c>
      <c r="C1574">
        <v>89.76</v>
      </c>
    </row>
    <row r="1575" spans="1:3" x14ac:dyDescent="0.3">
      <c r="A1575" s="284">
        <v>43657</v>
      </c>
      <c r="B1575">
        <v>89.07</v>
      </c>
      <c r="C1575">
        <v>89.06</v>
      </c>
    </row>
    <row r="1576" spans="1:3" x14ac:dyDescent="0.3">
      <c r="A1576" s="284">
        <v>43656</v>
      </c>
      <c r="B1576">
        <v>88.38</v>
      </c>
      <c r="C1576">
        <v>88.37</v>
      </c>
    </row>
    <row r="1577" spans="1:3" x14ac:dyDescent="0.3">
      <c r="A1577" s="284">
        <v>43655</v>
      </c>
      <c r="B1577">
        <v>87.23</v>
      </c>
      <c r="C1577">
        <v>87.23</v>
      </c>
    </row>
    <row r="1578" spans="1:3" x14ac:dyDescent="0.3">
      <c r="A1578" s="284">
        <v>43654</v>
      </c>
      <c r="B1578">
        <v>87.44</v>
      </c>
      <c r="C1578">
        <v>87.43</v>
      </c>
    </row>
    <row r="1579" spans="1:3" x14ac:dyDescent="0.3">
      <c r="A1579" s="284">
        <v>43651</v>
      </c>
      <c r="B1579">
        <v>87.79</v>
      </c>
      <c r="C1579">
        <v>87.79</v>
      </c>
    </row>
    <row r="1580" spans="1:3" x14ac:dyDescent="0.3">
      <c r="A1580" s="284">
        <v>43649</v>
      </c>
      <c r="B1580">
        <v>87.79</v>
      </c>
      <c r="C1580">
        <v>87.79</v>
      </c>
    </row>
    <row r="1581" spans="1:3" x14ac:dyDescent="0.3">
      <c r="A1581" s="284">
        <v>43648</v>
      </c>
      <c r="B1581">
        <v>85.51</v>
      </c>
      <c r="C1581">
        <v>85.5</v>
      </c>
    </row>
    <row r="1582" spans="1:3" x14ac:dyDescent="0.3">
      <c r="A1582" s="284">
        <v>43647</v>
      </c>
      <c r="B1582">
        <v>84.55</v>
      </c>
      <c r="C1582">
        <v>84.56</v>
      </c>
    </row>
    <row r="1583" spans="1:3" x14ac:dyDescent="0.3">
      <c r="A1583" s="284">
        <v>43644</v>
      </c>
      <c r="B1583">
        <v>83.83</v>
      </c>
      <c r="C1583">
        <v>83.82</v>
      </c>
    </row>
    <row r="1584" spans="1:3" x14ac:dyDescent="0.3">
      <c r="A1584" s="284">
        <v>43643</v>
      </c>
      <c r="B1584">
        <v>83.56</v>
      </c>
      <c r="C1584">
        <v>83.55</v>
      </c>
    </row>
    <row r="1585" spans="1:3" x14ac:dyDescent="0.3">
      <c r="A1585" s="284">
        <v>43642</v>
      </c>
      <c r="B1585">
        <v>83.38</v>
      </c>
      <c r="C1585">
        <v>83.38</v>
      </c>
    </row>
    <row r="1586" spans="1:3" x14ac:dyDescent="0.3">
      <c r="A1586" s="284">
        <v>43641</v>
      </c>
      <c r="B1586">
        <v>84.25</v>
      </c>
      <c r="C1586">
        <v>84.25</v>
      </c>
    </row>
    <row r="1587" spans="1:3" x14ac:dyDescent="0.3">
      <c r="A1587" s="284">
        <v>43640</v>
      </c>
      <c r="B1587">
        <v>83.65</v>
      </c>
      <c r="C1587">
        <v>83.64</v>
      </c>
    </row>
    <row r="1588" spans="1:3" x14ac:dyDescent="0.3">
      <c r="A1588" s="284">
        <v>43637</v>
      </c>
      <c r="B1588">
        <v>83.82</v>
      </c>
      <c r="C1588">
        <v>83.82</v>
      </c>
    </row>
    <row r="1589" spans="1:3" x14ac:dyDescent="0.3">
      <c r="A1589" s="284">
        <v>43636</v>
      </c>
      <c r="B1589">
        <v>84.69</v>
      </c>
      <c r="C1589">
        <v>84.68</v>
      </c>
    </row>
    <row r="1590" spans="1:3" x14ac:dyDescent="0.3">
      <c r="A1590" s="284">
        <v>43635</v>
      </c>
      <c r="B1590">
        <v>83.81</v>
      </c>
      <c r="C1590">
        <v>83.79</v>
      </c>
    </row>
    <row r="1591" spans="1:3" x14ac:dyDescent="0.3">
      <c r="A1591" s="284">
        <v>43634</v>
      </c>
      <c r="B1591">
        <v>82.92</v>
      </c>
      <c r="C1591">
        <v>82.9</v>
      </c>
    </row>
    <row r="1592" spans="1:3" x14ac:dyDescent="0.3">
      <c r="A1592" s="284">
        <v>43633</v>
      </c>
      <c r="B1592">
        <v>83.02</v>
      </c>
      <c r="C1592">
        <v>82.99</v>
      </c>
    </row>
    <row r="1593" spans="1:3" x14ac:dyDescent="0.3">
      <c r="A1593" s="284">
        <v>43630</v>
      </c>
      <c r="B1593">
        <v>84.24</v>
      </c>
      <c r="C1593">
        <v>84.24</v>
      </c>
    </row>
    <row r="1594" spans="1:3" x14ac:dyDescent="0.3">
      <c r="A1594" s="284">
        <v>43629</v>
      </c>
      <c r="B1594">
        <v>83.35</v>
      </c>
      <c r="C1594">
        <v>83.35</v>
      </c>
    </row>
    <row r="1595" spans="1:3" x14ac:dyDescent="0.3">
      <c r="A1595" s="284">
        <v>43628</v>
      </c>
      <c r="B1595">
        <v>82.93</v>
      </c>
      <c r="C1595">
        <v>82.93</v>
      </c>
    </row>
    <row r="1596" spans="1:3" x14ac:dyDescent="0.3">
      <c r="A1596" s="284">
        <v>43627</v>
      </c>
      <c r="B1596">
        <v>82.37</v>
      </c>
      <c r="C1596">
        <v>82.36</v>
      </c>
    </row>
    <row r="1597" spans="1:3" x14ac:dyDescent="0.3">
      <c r="A1597" s="284">
        <v>43626</v>
      </c>
      <c r="B1597">
        <v>81.93</v>
      </c>
      <c r="C1597">
        <v>81.91</v>
      </c>
    </row>
    <row r="1598" spans="1:3" x14ac:dyDescent="0.3">
      <c r="A1598" s="284">
        <v>43623</v>
      </c>
      <c r="B1598">
        <v>82.48</v>
      </c>
      <c r="C1598">
        <v>82.46</v>
      </c>
    </row>
    <row r="1599" spans="1:3" x14ac:dyDescent="0.3">
      <c r="A1599" s="284">
        <v>43622</v>
      </c>
      <c r="B1599">
        <v>81.400000000000006</v>
      </c>
      <c r="C1599">
        <v>81.400000000000006</v>
      </c>
    </row>
    <row r="1600" spans="1:3" x14ac:dyDescent="0.3">
      <c r="A1600" s="284">
        <v>43621</v>
      </c>
      <c r="B1600">
        <v>79.959999999999994</v>
      </c>
      <c r="C1600">
        <v>79.95</v>
      </c>
    </row>
    <row r="1601" spans="1:3" x14ac:dyDescent="0.3">
      <c r="A1601" s="284">
        <v>43620</v>
      </c>
      <c r="B1601">
        <v>78.52</v>
      </c>
      <c r="C1601">
        <v>78.510000000000005</v>
      </c>
    </row>
    <row r="1602" spans="1:3" x14ac:dyDescent="0.3">
      <c r="A1602" s="284">
        <v>43619</v>
      </c>
      <c r="B1602">
        <v>76.22</v>
      </c>
      <c r="C1602">
        <v>76.2</v>
      </c>
    </row>
    <row r="1603" spans="1:3" x14ac:dyDescent="0.3">
      <c r="A1603" s="284">
        <v>43616</v>
      </c>
      <c r="B1603">
        <v>76.06</v>
      </c>
      <c r="C1603">
        <v>76.05</v>
      </c>
    </row>
    <row r="1604" spans="1:3" x14ac:dyDescent="0.3">
      <c r="A1604" s="284">
        <v>43615</v>
      </c>
      <c r="B1604">
        <v>76.17</v>
      </c>
      <c r="C1604">
        <v>76.17</v>
      </c>
    </row>
    <row r="1605" spans="1:3" x14ac:dyDescent="0.3">
      <c r="A1605" s="284">
        <v>43614</v>
      </c>
      <c r="B1605">
        <v>75.28</v>
      </c>
      <c r="C1605">
        <v>75.3</v>
      </c>
    </row>
    <row r="1606" spans="1:3" x14ac:dyDescent="0.3">
      <c r="A1606" s="284">
        <v>43613</v>
      </c>
      <c r="B1606">
        <v>75.7</v>
      </c>
      <c r="C1606">
        <v>75.69</v>
      </c>
    </row>
    <row r="1607" spans="1:3" x14ac:dyDescent="0.3">
      <c r="A1607" s="284">
        <v>43609</v>
      </c>
      <c r="B1607">
        <v>76.150000000000006</v>
      </c>
      <c r="C1607">
        <v>76.14</v>
      </c>
    </row>
    <row r="1608" spans="1:3" x14ac:dyDescent="0.3">
      <c r="A1608" s="284">
        <v>43608</v>
      </c>
      <c r="B1608">
        <v>76.41</v>
      </c>
      <c r="C1608">
        <v>76.41</v>
      </c>
    </row>
    <row r="1609" spans="1:3" x14ac:dyDescent="0.3">
      <c r="A1609" s="284">
        <v>43607</v>
      </c>
      <c r="B1609">
        <v>77.25</v>
      </c>
      <c r="C1609">
        <v>77.239999999999995</v>
      </c>
    </row>
    <row r="1610" spans="1:3" x14ac:dyDescent="0.3">
      <c r="A1610" s="284">
        <v>43606</v>
      </c>
      <c r="B1610">
        <v>77.53</v>
      </c>
      <c r="C1610">
        <v>77.55</v>
      </c>
    </row>
    <row r="1611" spans="1:3" x14ac:dyDescent="0.3">
      <c r="A1611" s="284">
        <v>43605</v>
      </c>
      <c r="B1611">
        <v>76.66</v>
      </c>
      <c r="C1611">
        <v>76.650000000000006</v>
      </c>
    </row>
    <row r="1612" spans="1:3" x14ac:dyDescent="0.3">
      <c r="A1612" s="284">
        <v>43602</v>
      </c>
      <c r="B1612">
        <v>78.91</v>
      </c>
      <c r="C1612">
        <v>78.900000000000006</v>
      </c>
    </row>
    <row r="1613" spans="1:3" x14ac:dyDescent="0.3">
      <c r="A1613" s="284">
        <v>43601</v>
      </c>
      <c r="B1613">
        <v>78.900000000000006</v>
      </c>
      <c r="C1613">
        <v>78.89</v>
      </c>
    </row>
    <row r="1614" spans="1:3" x14ac:dyDescent="0.3">
      <c r="A1614" s="284">
        <v>43600</v>
      </c>
      <c r="B1614">
        <v>77.760000000000005</v>
      </c>
      <c r="C1614">
        <v>77.760000000000005</v>
      </c>
    </row>
    <row r="1615" spans="1:3" x14ac:dyDescent="0.3">
      <c r="A1615" s="284">
        <v>43599</v>
      </c>
      <c r="B1615">
        <v>77.06</v>
      </c>
      <c r="C1615">
        <v>77.05</v>
      </c>
    </row>
    <row r="1616" spans="1:3" x14ac:dyDescent="0.3">
      <c r="A1616" s="284">
        <v>43598</v>
      </c>
      <c r="B1616">
        <v>76.680000000000007</v>
      </c>
      <c r="C1616">
        <v>76.650000000000006</v>
      </c>
    </row>
    <row r="1617" spans="1:3" x14ac:dyDescent="0.3">
      <c r="A1617" s="284">
        <v>43595</v>
      </c>
      <c r="B1617">
        <v>78.42</v>
      </c>
      <c r="C1617">
        <v>78.430000000000007</v>
      </c>
    </row>
    <row r="1618" spans="1:3" x14ac:dyDescent="0.3">
      <c r="A1618" s="284">
        <v>43594</v>
      </c>
      <c r="B1618">
        <v>77.900000000000006</v>
      </c>
      <c r="C1618">
        <v>77.900000000000006</v>
      </c>
    </row>
    <row r="1619" spans="1:3" x14ac:dyDescent="0.3">
      <c r="A1619" s="284">
        <v>43593</v>
      </c>
      <c r="B1619">
        <v>78.05</v>
      </c>
      <c r="C1619">
        <v>78.040000000000006</v>
      </c>
    </row>
    <row r="1620" spans="1:3" x14ac:dyDescent="0.3">
      <c r="A1620" s="284">
        <v>43592</v>
      </c>
      <c r="B1620">
        <v>77.959999999999994</v>
      </c>
      <c r="C1620">
        <v>77.95</v>
      </c>
    </row>
    <row r="1621" spans="1:3" x14ac:dyDescent="0.3">
      <c r="A1621" s="284">
        <v>43591</v>
      </c>
      <c r="B1621">
        <v>78.06</v>
      </c>
      <c r="C1621">
        <v>78.05</v>
      </c>
    </row>
    <row r="1622" spans="1:3" x14ac:dyDescent="0.3">
      <c r="A1622" s="284">
        <v>43588</v>
      </c>
      <c r="B1622">
        <v>78.05</v>
      </c>
      <c r="C1622">
        <v>78.05</v>
      </c>
    </row>
    <row r="1623" spans="1:3" x14ac:dyDescent="0.3">
      <c r="A1623" s="284">
        <v>43587</v>
      </c>
      <c r="B1623">
        <v>77.47</v>
      </c>
      <c r="C1623">
        <v>77.45</v>
      </c>
    </row>
    <row r="1624" spans="1:3" x14ac:dyDescent="0.3">
      <c r="A1624" s="284">
        <v>43586</v>
      </c>
      <c r="B1624">
        <v>77.52</v>
      </c>
      <c r="C1624">
        <v>77.5</v>
      </c>
    </row>
    <row r="1625" spans="1:3" x14ac:dyDescent="0.3">
      <c r="A1625" s="284">
        <v>43585</v>
      </c>
      <c r="B1625">
        <v>77.680000000000007</v>
      </c>
      <c r="C1625">
        <v>77.67</v>
      </c>
    </row>
    <row r="1626" spans="1:3" x14ac:dyDescent="0.3">
      <c r="A1626" s="284">
        <v>43584</v>
      </c>
      <c r="B1626">
        <v>76.91</v>
      </c>
      <c r="C1626">
        <v>76.88</v>
      </c>
    </row>
    <row r="1627" spans="1:3" x14ac:dyDescent="0.3">
      <c r="A1627" s="284">
        <v>43581</v>
      </c>
      <c r="B1627">
        <v>77.45</v>
      </c>
      <c r="C1627">
        <v>77.489999999999995</v>
      </c>
    </row>
    <row r="1628" spans="1:3" x14ac:dyDescent="0.3">
      <c r="A1628" s="284">
        <v>43580</v>
      </c>
      <c r="B1628">
        <v>77.11</v>
      </c>
      <c r="C1628">
        <v>77.06</v>
      </c>
    </row>
    <row r="1629" spans="1:3" x14ac:dyDescent="0.3">
      <c r="A1629" s="284">
        <v>43579</v>
      </c>
      <c r="B1629">
        <v>76.39</v>
      </c>
      <c r="C1629">
        <v>76.42</v>
      </c>
    </row>
    <row r="1630" spans="1:3" x14ac:dyDescent="0.3">
      <c r="A1630" s="284">
        <v>43578</v>
      </c>
      <c r="B1630">
        <v>75.989999999999995</v>
      </c>
      <c r="C1630">
        <v>75.989999999999995</v>
      </c>
    </row>
    <row r="1631" spans="1:3" x14ac:dyDescent="0.3">
      <c r="A1631" s="284">
        <v>43577</v>
      </c>
      <c r="B1631">
        <v>75.400000000000006</v>
      </c>
      <c r="C1631">
        <v>75.39</v>
      </c>
    </row>
    <row r="1632" spans="1:3" x14ac:dyDescent="0.3">
      <c r="A1632" s="284">
        <v>43573</v>
      </c>
      <c r="B1632">
        <v>76.06</v>
      </c>
      <c r="C1632">
        <v>76.069999999999993</v>
      </c>
    </row>
    <row r="1633" spans="1:3" x14ac:dyDescent="0.3">
      <c r="A1633" s="284">
        <v>43572</v>
      </c>
      <c r="B1633">
        <v>75.12</v>
      </c>
      <c r="C1633">
        <v>75.11</v>
      </c>
    </row>
    <row r="1634" spans="1:3" x14ac:dyDescent="0.3">
      <c r="A1634" s="284">
        <v>43571</v>
      </c>
      <c r="B1634">
        <v>75.7</v>
      </c>
      <c r="C1634">
        <v>75.709999999999994</v>
      </c>
    </row>
    <row r="1635" spans="1:3" x14ac:dyDescent="0.3">
      <c r="A1635" s="284">
        <v>43570</v>
      </c>
      <c r="B1635">
        <v>76.16</v>
      </c>
      <c r="C1635">
        <v>76.150000000000006</v>
      </c>
    </row>
    <row r="1636" spans="1:3" x14ac:dyDescent="0.3">
      <c r="A1636" s="284">
        <v>43567</v>
      </c>
      <c r="B1636">
        <v>76.650000000000006</v>
      </c>
      <c r="C1636">
        <v>76.650000000000006</v>
      </c>
    </row>
    <row r="1637" spans="1:3" x14ac:dyDescent="0.3">
      <c r="A1637" s="284">
        <v>43566</v>
      </c>
      <c r="B1637">
        <v>75.87</v>
      </c>
      <c r="C1637">
        <v>75.86</v>
      </c>
    </row>
    <row r="1638" spans="1:3" x14ac:dyDescent="0.3">
      <c r="A1638" s="284">
        <v>43565</v>
      </c>
      <c r="B1638">
        <v>75.48</v>
      </c>
      <c r="C1638">
        <v>75.489999999999995</v>
      </c>
    </row>
    <row r="1639" spans="1:3" x14ac:dyDescent="0.3">
      <c r="A1639" s="284">
        <v>43564</v>
      </c>
      <c r="B1639">
        <v>75.12</v>
      </c>
      <c r="C1639">
        <v>75.12</v>
      </c>
    </row>
    <row r="1640" spans="1:3" x14ac:dyDescent="0.3">
      <c r="A1640" s="284">
        <v>43563</v>
      </c>
      <c r="B1640">
        <v>75.2</v>
      </c>
      <c r="C1640">
        <v>75.2</v>
      </c>
    </row>
    <row r="1641" spans="1:3" x14ac:dyDescent="0.3">
      <c r="A1641" s="284">
        <v>43560</v>
      </c>
      <c r="B1641">
        <v>75.03</v>
      </c>
      <c r="C1641">
        <v>75.02</v>
      </c>
    </row>
    <row r="1642" spans="1:3" x14ac:dyDescent="0.3">
      <c r="A1642" s="284">
        <v>43559</v>
      </c>
      <c r="B1642">
        <v>74.349999999999994</v>
      </c>
      <c r="C1642">
        <v>74.349999999999994</v>
      </c>
    </row>
    <row r="1643" spans="1:3" x14ac:dyDescent="0.3">
      <c r="A1643" s="284">
        <v>43558</v>
      </c>
      <c r="B1643">
        <v>74.33</v>
      </c>
      <c r="C1643">
        <v>74.31</v>
      </c>
    </row>
    <row r="1644" spans="1:3" x14ac:dyDescent="0.3">
      <c r="A1644" s="284">
        <v>43557</v>
      </c>
      <c r="B1644">
        <v>74.27</v>
      </c>
      <c r="C1644">
        <v>74.260000000000005</v>
      </c>
    </row>
    <row r="1645" spans="1:3" x14ac:dyDescent="0.3">
      <c r="A1645" s="284">
        <v>43556</v>
      </c>
      <c r="B1645">
        <v>73.959999999999994</v>
      </c>
      <c r="C1645">
        <v>73.95</v>
      </c>
    </row>
    <row r="1646" spans="1:3" x14ac:dyDescent="0.3">
      <c r="A1646" s="284">
        <v>43553</v>
      </c>
      <c r="B1646">
        <v>74.34</v>
      </c>
      <c r="C1646">
        <v>74.33</v>
      </c>
    </row>
    <row r="1647" spans="1:3" x14ac:dyDescent="0.3">
      <c r="A1647" s="284">
        <v>43552</v>
      </c>
      <c r="B1647">
        <v>73.959999999999994</v>
      </c>
      <c r="C1647">
        <v>73.959999999999994</v>
      </c>
    </row>
    <row r="1648" spans="1:3" x14ac:dyDescent="0.3">
      <c r="A1648" s="284">
        <v>43551</v>
      </c>
      <c r="B1648">
        <v>72.739999999999995</v>
      </c>
      <c r="C1648">
        <v>72.739999999999995</v>
      </c>
    </row>
    <row r="1649" spans="1:3" x14ac:dyDescent="0.3">
      <c r="A1649" s="284">
        <v>43550</v>
      </c>
      <c r="B1649">
        <v>72.959999999999994</v>
      </c>
      <c r="C1649">
        <v>72.97</v>
      </c>
    </row>
    <row r="1650" spans="1:3" x14ac:dyDescent="0.3">
      <c r="A1650" s="284">
        <v>43549</v>
      </c>
      <c r="B1650">
        <v>72.3</v>
      </c>
      <c r="C1650">
        <v>72.31</v>
      </c>
    </row>
    <row r="1651" spans="1:3" x14ac:dyDescent="0.3">
      <c r="A1651" s="284">
        <v>43546</v>
      </c>
      <c r="B1651">
        <v>71.959999999999994</v>
      </c>
      <c r="C1651">
        <v>71.95</v>
      </c>
    </row>
    <row r="1652" spans="1:3" x14ac:dyDescent="0.3">
      <c r="A1652" s="284">
        <v>43545</v>
      </c>
      <c r="B1652">
        <v>72.260000000000005</v>
      </c>
      <c r="C1652">
        <v>72.25</v>
      </c>
    </row>
    <row r="1653" spans="1:3" x14ac:dyDescent="0.3">
      <c r="A1653" s="284">
        <v>43544</v>
      </c>
      <c r="B1653">
        <v>71.63</v>
      </c>
      <c r="C1653">
        <v>71.63</v>
      </c>
    </row>
    <row r="1654" spans="1:3" x14ac:dyDescent="0.3">
      <c r="A1654" s="284">
        <v>43543</v>
      </c>
      <c r="B1654">
        <v>71.38</v>
      </c>
      <c r="C1654">
        <v>71.38</v>
      </c>
    </row>
    <row r="1655" spans="1:3" x14ac:dyDescent="0.3">
      <c r="A1655" s="284">
        <v>43542</v>
      </c>
      <c r="B1655">
        <v>70.84</v>
      </c>
      <c r="C1655">
        <v>70.83</v>
      </c>
    </row>
    <row r="1656" spans="1:3" x14ac:dyDescent="0.3">
      <c r="A1656" s="284">
        <v>43539</v>
      </c>
      <c r="B1656">
        <v>70.67</v>
      </c>
      <c r="C1656">
        <v>70.66</v>
      </c>
    </row>
    <row r="1657" spans="1:3" x14ac:dyDescent="0.3">
      <c r="A1657" s="284">
        <v>43538</v>
      </c>
      <c r="B1657">
        <v>70.739999999999995</v>
      </c>
      <c r="C1657">
        <v>70.739999999999995</v>
      </c>
    </row>
    <row r="1658" spans="1:3" x14ac:dyDescent="0.3">
      <c r="A1658" s="284">
        <v>43537</v>
      </c>
      <c r="B1658">
        <v>70.099999999999994</v>
      </c>
      <c r="C1658">
        <v>70.08</v>
      </c>
    </row>
    <row r="1659" spans="1:3" x14ac:dyDescent="0.3">
      <c r="A1659" s="284">
        <v>43536</v>
      </c>
      <c r="B1659">
        <v>70.05</v>
      </c>
      <c r="C1659">
        <v>70.040000000000006</v>
      </c>
    </row>
    <row r="1660" spans="1:3" x14ac:dyDescent="0.3">
      <c r="A1660" s="284">
        <v>43535</v>
      </c>
      <c r="B1660">
        <v>69.680000000000007</v>
      </c>
      <c r="C1660">
        <v>69.67</v>
      </c>
    </row>
    <row r="1661" spans="1:3" x14ac:dyDescent="0.3">
      <c r="A1661" s="284">
        <v>43532</v>
      </c>
      <c r="B1661">
        <v>69.36</v>
      </c>
      <c r="C1661">
        <v>69.33</v>
      </c>
    </row>
    <row r="1662" spans="1:3" x14ac:dyDescent="0.3">
      <c r="A1662" s="284">
        <v>43531</v>
      </c>
      <c r="B1662">
        <v>70.61</v>
      </c>
      <c r="C1662">
        <v>70.599999999999994</v>
      </c>
    </row>
    <row r="1663" spans="1:3" x14ac:dyDescent="0.3">
      <c r="A1663" s="284">
        <v>43530</v>
      </c>
      <c r="B1663">
        <v>71.27</v>
      </c>
      <c r="C1663">
        <v>71.27</v>
      </c>
    </row>
    <row r="1664" spans="1:3" x14ac:dyDescent="0.3">
      <c r="A1664" s="284">
        <v>43529</v>
      </c>
      <c r="B1664">
        <v>71.58</v>
      </c>
      <c r="C1664">
        <v>71.58</v>
      </c>
    </row>
    <row r="1665" spans="1:3" x14ac:dyDescent="0.3">
      <c r="A1665" s="284">
        <v>43528</v>
      </c>
      <c r="B1665">
        <v>70.95</v>
      </c>
      <c r="C1665">
        <v>70.94</v>
      </c>
    </row>
    <row r="1666" spans="1:3" x14ac:dyDescent="0.3">
      <c r="A1666" s="284">
        <v>43525</v>
      </c>
      <c r="B1666">
        <v>70.849999999999994</v>
      </c>
      <c r="C1666">
        <v>70.84</v>
      </c>
    </row>
    <row r="1667" spans="1:3" x14ac:dyDescent="0.3">
      <c r="A1667" s="284">
        <v>43524</v>
      </c>
      <c r="B1667">
        <v>70.260000000000005</v>
      </c>
      <c r="C1667">
        <v>70.27</v>
      </c>
    </row>
    <row r="1668" spans="1:3" x14ac:dyDescent="0.3">
      <c r="A1668" s="284">
        <v>43523</v>
      </c>
      <c r="B1668">
        <v>70.150000000000006</v>
      </c>
      <c r="C1668">
        <v>70.14</v>
      </c>
    </row>
    <row r="1669" spans="1:3" x14ac:dyDescent="0.3">
      <c r="A1669" s="284">
        <v>43522</v>
      </c>
      <c r="B1669">
        <v>71.14</v>
      </c>
      <c r="C1669">
        <v>71.14</v>
      </c>
    </row>
    <row r="1670" spans="1:3" x14ac:dyDescent="0.3">
      <c r="A1670" s="284">
        <v>43521</v>
      </c>
      <c r="B1670">
        <v>71.05</v>
      </c>
      <c r="C1670">
        <v>71.040000000000006</v>
      </c>
    </row>
    <row r="1671" spans="1:3" x14ac:dyDescent="0.3">
      <c r="A1671" s="284">
        <v>43518</v>
      </c>
      <c r="B1671">
        <v>71.3</v>
      </c>
      <c r="C1671">
        <v>71.290000000000006</v>
      </c>
    </row>
    <row r="1672" spans="1:3" x14ac:dyDescent="0.3">
      <c r="A1672" s="284">
        <v>43517</v>
      </c>
      <c r="B1672">
        <v>70.7</v>
      </c>
      <c r="C1672">
        <v>70.7</v>
      </c>
    </row>
    <row r="1673" spans="1:3" x14ac:dyDescent="0.3">
      <c r="A1673" s="284">
        <v>43516</v>
      </c>
      <c r="B1673">
        <v>70.39</v>
      </c>
      <c r="C1673">
        <v>70.400000000000006</v>
      </c>
    </row>
    <row r="1674" spans="1:3" x14ac:dyDescent="0.3">
      <c r="A1674" s="284">
        <v>43515</v>
      </c>
      <c r="B1674">
        <v>70.2</v>
      </c>
      <c r="C1674">
        <v>70.209999999999994</v>
      </c>
    </row>
    <row r="1675" spans="1:3" x14ac:dyDescent="0.3">
      <c r="A1675" s="284">
        <v>43511</v>
      </c>
      <c r="B1675">
        <v>70.709999999999994</v>
      </c>
      <c r="C1675">
        <v>70.72</v>
      </c>
    </row>
    <row r="1676" spans="1:3" x14ac:dyDescent="0.3">
      <c r="A1676" s="284">
        <v>43510</v>
      </c>
      <c r="B1676">
        <v>70.84</v>
      </c>
      <c r="C1676">
        <v>70.8</v>
      </c>
    </row>
    <row r="1677" spans="1:3" x14ac:dyDescent="0.3">
      <c r="A1677" s="284">
        <v>43509</v>
      </c>
      <c r="B1677">
        <v>70.510000000000005</v>
      </c>
      <c r="C1677">
        <v>70.5</v>
      </c>
    </row>
    <row r="1678" spans="1:3" x14ac:dyDescent="0.3">
      <c r="A1678" s="284">
        <v>43508</v>
      </c>
      <c r="B1678">
        <v>69.75</v>
      </c>
      <c r="C1678">
        <v>69.73</v>
      </c>
    </row>
    <row r="1679" spans="1:3" x14ac:dyDescent="0.3">
      <c r="A1679" s="284">
        <v>43507</v>
      </c>
      <c r="B1679">
        <v>69.989999999999995</v>
      </c>
      <c r="C1679">
        <v>69.98</v>
      </c>
    </row>
    <row r="1680" spans="1:3" x14ac:dyDescent="0.3">
      <c r="A1680" s="284">
        <v>43504</v>
      </c>
      <c r="B1680">
        <v>69.75</v>
      </c>
      <c r="C1680">
        <v>69.760000000000005</v>
      </c>
    </row>
    <row r="1681" spans="1:3" x14ac:dyDescent="0.3">
      <c r="A1681" s="284">
        <v>43503</v>
      </c>
      <c r="B1681">
        <v>69.14</v>
      </c>
      <c r="C1681">
        <v>69.13</v>
      </c>
    </row>
    <row r="1682" spans="1:3" x14ac:dyDescent="0.3">
      <c r="A1682" s="284">
        <v>43502</v>
      </c>
      <c r="B1682">
        <v>68.849999999999994</v>
      </c>
      <c r="C1682">
        <v>68.84</v>
      </c>
    </row>
    <row r="1683" spans="1:3" x14ac:dyDescent="0.3">
      <c r="A1683" s="284">
        <v>43501</v>
      </c>
      <c r="B1683">
        <v>69.34</v>
      </c>
      <c r="C1683">
        <v>69.38</v>
      </c>
    </row>
    <row r="1684" spans="1:3" x14ac:dyDescent="0.3">
      <c r="A1684" s="284">
        <v>43500</v>
      </c>
      <c r="B1684">
        <v>67.58</v>
      </c>
      <c r="C1684">
        <v>67.569999999999993</v>
      </c>
    </row>
    <row r="1685" spans="1:3" x14ac:dyDescent="0.3">
      <c r="A1685" s="284">
        <v>43497</v>
      </c>
      <c r="B1685">
        <v>68.11</v>
      </c>
      <c r="C1685">
        <v>68.08</v>
      </c>
    </row>
    <row r="1686" spans="1:3" x14ac:dyDescent="0.3">
      <c r="A1686" s="284">
        <v>43496</v>
      </c>
      <c r="B1686">
        <v>68.14</v>
      </c>
      <c r="C1686">
        <v>67.08</v>
      </c>
    </row>
    <row r="1687" spans="1:3" x14ac:dyDescent="0.3">
      <c r="A1687" s="284">
        <v>43495</v>
      </c>
      <c r="B1687">
        <v>68.150000000000006</v>
      </c>
      <c r="C1687">
        <v>68.14</v>
      </c>
    </row>
    <row r="1688" spans="1:3" x14ac:dyDescent="0.3">
      <c r="A1688" s="284">
        <v>43494</v>
      </c>
      <c r="B1688">
        <v>67.040000000000006</v>
      </c>
      <c r="C1688">
        <v>67.02</v>
      </c>
    </row>
    <row r="1689" spans="1:3" x14ac:dyDescent="0.3">
      <c r="A1689" s="284">
        <v>43493</v>
      </c>
      <c r="B1689">
        <v>66.900000000000006</v>
      </c>
      <c r="C1689">
        <v>66.89</v>
      </c>
    </row>
    <row r="1690" spans="1:3" x14ac:dyDescent="0.3">
      <c r="A1690" s="284">
        <v>43490</v>
      </c>
      <c r="B1690">
        <v>67.09</v>
      </c>
      <c r="C1690">
        <v>67.09</v>
      </c>
    </row>
    <row r="1691" spans="1:3" x14ac:dyDescent="0.3">
      <c r="A1691" s="284">
        <v>43489</v>
      </c>
      <c r="B1691">
        <v>64.739999999999995</v>
      </c>
      <c r="C1691">
        <v>63.75</v>
      </c>
    </row>
    <row r="1692" spans="1:3" x14ac:dyDescent="0.3">
      <c r="A1692" s="284">
        <v>43488</v>
      </c>
      <c r="B1692">
        <v>66.430000000000007</v>
      </c>
      <c r="C1692">
        <v>66.430000000000007</v>
      </c>
    </row>
    <row r="1693" spans="1:3" x14ac:dyDescent="0.3">
      <c r="A1693" s="284">
        <v>43487</v>
      </c>
      <c r="B1693">
        <v>65.39</v>
      </c>
      <c r="C1693">
        <v>65.48</v>
      </c>
    </row>
    <row r="1694" spans="1:3" x14ac:dyDescent="0.3">
      <c r="A1694" s="284">
        <v>43483</v>
      </c>
      <c r="B1694">
        <v>64.7</v>
      </c>
      <c r="C1694">
        <v>64.7</v>
      </c>
    </row>
    <row r="1695" spans="1:3" x14ac:dyDescent="0.3">
      <c r="A1695" s="284">
        <v>43482</v>
      </c>
      <c r="B1695">
        <v>64.28</v>
      </c>
      <c r="C1695">
        <v>64.27</v>
      </c>
    </row>
    <row r="1696" spans="1:3" x14ac:dyDescent="0.3">
      <c r="A1696" s="284">
        <v>43481</v>
      </c>
      <c r="B1696">
        <v>63.77</v>
      </c>
      <c r="C1696">
        <v>63.77</v>
      </c>
    </row>
    <row r="1697" spans="1:3" x14ac:dyDescent="0.3">
      <c r="A1697" s="284">
        <v>43480</v>
      </c>
      <c r="B1697">
        <v>64.08</v>
      </c>
      <c r="C1697">
        <v>64.069999999999993</v>
      </c>
    </row>
    <row r="1698" spans="1:3" x14ac:dyDescent="0.3">
      <c r="A1698" s="284">
        <v>43479</v>
      </c>
      <c r="B1698">
        <v>63.37</v>
      </c>
      <c r="C1698">
        <v>63.36</v>
      </c>
    </row>
    <row r="1699" spans="1:3" x14ac:dyDescent="0.3">
      <c r="A1699" s="284">
        <v>43476</v>
      </c>
      <c r="B1699">
        <v>63.73</v>
      </c>
      <c r="C1699">
        <v>63.8</v>
      </c>
    </row>
    <row r="1700" spans="1:3" x14ac:dyDescent="0.3">
      <c r="A1700" s="284">
        <v>43475</v>
      </c>
      <c r="B1700">
        <v>64.19</v>
      </c>
      <c r="C1700">
        <v>64.17</v>
      </c>
    </row>
    <row r="1701" spans="1:3" x14ac:dyDescent="0.3">
      <c r="A1701" s="284">
        <v>43474</v>
      </c>
      <c r="B1701">
        <v>63.88</v>
      </c>
      <c r="C1701">
        <v>63.88</v>
      </c>
    </row>
    <row r="1702" spans="1:3" x14ac:dyDescent="0.3">
      <c r="A1702" s="284">
        <v>43473</v>
      </c>
      <c r="B1702">
        <v>63.62</v>
      </c>
      <c r="C1702">
        <v>63.58</v>
      </c>
    </row>
    <row r="1703" spans="1:3" x14ac:dyDescent="0.3">
      <c r="A1703" s="284">
        <v>43472</v>
      </c>
      <c r="B1703">
        <v>63.57</v>
      </c>
      <c r="C1703">
        <v>63.56</v>
      </c>
    </row>
    <row r="1704" spans="1:3" x14ac:dyDescent="0.3">
      <c r="A1704" s="284">
        <v>43469</v>
      </c>
      <c r="B1704">
        <v>63.57</v>
      </c>
      <c r="C1704">
        <v>63.57</v>
      </c>
    </row>
    <row r="1705" spans="1:3" x14ac:dyDescent="0.3">
      <c r="A1705" s="284">
        <v>43468</v>
      </c>
      <c r="B1705">
        <v>61.53</v>
      </c>
      <c r="C1705">
        <v>61.51</v>
      </c>
    </row>
    <row r="1706" spans="1:3" x14ac:dyDescent="0.3">
      <c r="A1706" s="284">
        <v>43467</v>
      </c>
      <c r="B1706">
        <v>64.319999999999993</v>
      </c>
      <c r="C1706">
        <v>64.31</v>
      </c>
    </row>
    <row r="1707" spans="1:3" x14ac:dyDescent="0.3">
      <c r="A1707" s="284">
        <v>43465</v>
      </c>
      <c r="B1707">
        <v>64.400000000000006</v>
      </c>
      <c r="C1707">
        <v>64.42</v>
      </c>
    </row>
    <row r="1708" spans="1:3" x14ac:dyDescent="0.3">
      <c r="A1708" s="284">
        <v>43462</v>
      </c>
      <c r="B1708">
        <v>63.39</v>
      </c>
      <c r="C1708">
        <v>63.39</v>
      </c>
    </row>
    <row r="1709" spans="1:3" x14ac:dyDescent="0.3">
      <c r="A1709" s="284">
        <v>43461</v>
      </c>
      <c r="B1709">
        <v>63.2</v>
      </c>
      <c r="C1709">
        <v>63.21</v>
      </c>
    </row>
    <row r="1710" spans="1:3" x14ac:dyDescent="0.3">
      <c r="A1710" s="284">
        <v>43460</v>
      </c>
      <c r="B1710">
        <v>63.08</v>
      </c>
      <c r="C1710">
        <v>63.09</v>
      </c>
    </row>
    <row r="1711" spans="1:3" x14ac:dyDescent="0.3">
      <c r="A1711" s="284">
        <v>43458</v>
      </c>
      <c r="B1711">
        <v>60.56</v>
      </c>
      <c r="C1711">
        <v>60.59</v>
      </c>
    </row>
    <row r="1712" spans="1:3" x14ac:dyDescent="0.3">
      <c r="A1712" s="284">
        <v>43455</v>
      </c>
      <c r="B1712">
        <v>61.39</v>
      </c>
      <c r="C1712">
        <v>61.39</v>
      </c>
    </row>
    <row r="1713" spans="1:3" x14ac:dyDescent="0.3">
      <c r="A1713" s="284">
        <v>43454</v>
      </c>
      <c r="B1713">
        <v>62.15</v>
      </c>
      <c r="C1713">
        <v>62.15</v>
      </c>
    </row>
    <row r="1714" spans="1:3" x14ac:dyDescent="0.3">
      <c r="A1714" s="284">
        <v>43453</v>
      </c>
      <c r="B1714">
        <v>64.06</v>
      </c>
      <c r="C1714">
        <v>64.03</v>
      </c>
    </row>
    <row r="1715" spans="1:3" x14ac:dyDescent="0.3">
      <c r="A1715" s="284">
        <v>43452</v>
      </c>
      <c r="B1715">
        <v>64.92</v>
      </c>
      <c r="C1715">
        <v>64.91</v>
      </c>
    </row>
    <row r="1716" spans="1:3" x14ac:dyDescent="0.3">
      <c r="A1716" s="284">
        <v>43451</v>
      </c>
      <c r="B1716">
        <v>64.47</v>
      </c>
      <c r="C1716">
        <v>64.489999999999995</v>
      </c>
    </row>
    <row r="1717" spans="1:3" x14ac:dyDescent="0.3">
      <c r="A1717" s="284">
        <v>43448</v>
      </c>
      <c r="B1717">
        <v>65.34</v>
      </c>
      <c r="C1717">
        <v>65.319999999999993</v>
      </c>
    </row>
    <row r="1718" spans="1:3" x14ac:dyDescent="0.3">
      <c r="A1718" s="284">
        <v>43447</v>
      </c>
      <c r="B1718">
        <v>66.91</v>
      </c>
      <c r="C1718">
        <v>66.89</v>
      </c>
    </row>
    <row r="1719" spans="1:3" x14ac:dyDescent="0.3">
      <c r="A1719" s="284">
        <v>43446</v>
      </c>
      <c r="B1719">
        <v>66.13</v>
      </c>
      <c r="C1719">
        <v>66.099999999999994</v>
      </c>
    </row>
    <row r="1720" spans="1:3" x14ac:dyDescent="0.3">
      <c r="A1720" s="284">
        <v>43445</v>
      </c>
      <c r="B1720">
        <v>65.92</v>
      </c>
      <c r="C1720">
        <v>65.900000000000006</v>
      </c>
    </row>
    <row r="1721" spans="1:3" x14ac:dyDescent="0.3">
      <c r="A1721" s="284">
        <v>43444</v>
      </c>
      <c r="B1721">
        <v>65.489999999999995</v>
      </c>
      <c r="C1721">
        <v>65.47</v>
      </c>
    </row>
    <row r="1722" spans="1:3" x14ac:dyDescent="0.3">
      <c r="A1722" s="284">
        <v>43441</v>
      </c>
      <c r="B1722">
        <v>65.47</v>
      </c>
      <c r="C1722">
        <v>65.459999999999994</v>
      </c>
    </row>
    <row r="1723" spans="1:3" x14ac:dyDescent="0.3">
      <c r="A1723" s="284">
        <v>43440</v>
      </c>
      <c r="B1723">
        <v>66.55</v>
      </c>
      <c r="C1723">
        <v>66.540000000000006</v>
      </c>
    </row>
    <row r="1724" spans="1:3" x14ac:dyDescent="0.3">
      <c r="A1724" s="284">
        <v>43438</v>
      </c>
      <c r="B1724">
        <v>66.650000000000006</v>
      </c>
      <c r="C1724">
        <v>66.66</v>
      </c>
    </row>
    <row r="1725" spans="1:3" x14ac:dyDescent="0.3">
      <c r="A1725" s="284">
        <v>43437</v>
      </c>
      <c r="B1725">
        <v>67.5</v>
      </c>
      <c r="C1725">
        <v>67.52</v>
      </c>
    </row>
    <row r="1726" spans="1:3" x14ac:dyDescent="0.3">
      <c r="A1726" s="284">
        <v>43434</v>
      </c>
      <c r="B1726">
        <v>66.72</v>
      </c>
      <c r="C1726">
        <v>66.739999999999995</v>
      </c>
    </row>
    <row r="1727" spans="1:3" x14ac:dyDescent="0.3">
      <c r="A1727" s="284">
        <v>43433</v>
      </c>
      <c r="B1727">
        <v>66.88</v>
      </c>
      <c r="C1727">
        <v>66.88</v>
      </c>
    </row>
    <row r="1728" spans="1:3" x14ac:dyDescent="0.3">
      <c r="A1728" s="284">
        <v>43432</v>
      </c>
      <c r="B1728">
        <v>66.819999999999993</v>
      </c>
      <c r="C1728">
        <v>66.81</v>
      </c>
    </row>
    <row r="1729" spans="1:3" x14ac:dyDescent="0.3">
      <c r="A1729" s="284">
        <v>43431</v>
      </c>
      <c r="B1729">
        <v>66.08</v>
      </c>
      <c r="C1729">
        <v>66.09</v>
      </c>
    </row>
    <row r="1730" spans="1:3" x14ac:dyDescent="0.3">
      <c r="A1730" s="284">
        <v>43430</v>
      </c>
      <c r="B1730">
        <v>65.69</v>
      </c>
      <c r="C1730">
        <v>65.680000000000007</v>
      </c>
    </row>
    <row r="1731" spans="1:3" x14ac:dyDescent="0.3">
      <c r="A1731" s="284">
        <v>43427</v>
      </c>
      <c r="B1731">
        <v>65.7</v>
      </c>
      <c r="C1731">
        <v>65.7</v>
      </c>
    </row>
    <row r="1732" spans="1:3" x14ac:dyDescent="0.3">
      <c r="A1732" s="284">
        <v>43425</v>
      </c>
      <c r="B1732">
        <v>66.77</v>
      </c>
      <c r="C1732">
        <v>66.77</v>
      </c>
    </row>
    <row r="1733" spans="1:3" x14ac:dyDescent="0.3">
      <c r="A1733" s="284">
        <v>43424</v>
      </c>
      <c r="B1733">
        <v>67.180000000000007</v>
      </c>
      <c r="C1733">
        <v>67.17</v>
      </c>
    </row>
    <row r="1734" spans="1:3" x14ac:dyDescent="0.3">
      <c r="A1734" s="284">
        <v>43423</v>
      </c>
      <c r="B1734">
        <v>67.91</v>
      </c>
      <c r="C1734">
        <v>67.900000000000006</v>
      </c>
    </row>
    <row r="1735" spans="1:3" x14ac:dyDescent="0.3">
      <c r="A1735" s="284">
        <v>43420</v>
      </c>
      <c r="B1735">
        <v>68.16</v>
      </c>
      <c r="C1735">
        <v>68.16</v>
      </c>
    </row>
    <row r="1736" spans="1:3" x14ac:dyDescent="0.3">
      <c r="A1736" s="284">
        <v>43419</v>
      </c>
      <c r="B1736">
        <v>67.62</v>
      </c>
      <c r="C1736">
        <v>67.61</v>
      </c>
    </row>
    <row r="1737" spans="1:3" x14ac:dyDescent="0.3">
      <c r="A1737" s="284">
        <v>43418</v>
      </c>
      <c r="B1737">
        <v>67.040000000000006</v>
      </c>
      <c r="C1737">
        <v>67.03</v>
      </c>
    </row>
    <row r="1738" spans="1:3" x14ac:dyDescent="0.3">
      <c r="A1738" s="284">
        <v>43417</v>
      </c>
      <c r="B1738">
        <v>67.41</v>
      </c>
      <c r="C1738">
        <v>67.400000000000006</v>
      </c>
    </row>
    <row r="1739" spans="1:3" x14ac:dyDescent="0.3">
      <c r="A1739" s="284">
        <v>43416</v>
      </c>
      <c r="B1739">
        <v>67.91</v>
      </c>
      <c r="C1739">
        <v>67.91</v>
      </c>
    </row>
    <row r="1740" spans="1:3" x14ac:dyDescent="0.3">
      <c r="A1740" s="284">
        <v>43413</v>
      </c>
      <c r="B1740">
        <v>68.599999999999994</v>
      </c>
      <c r="C1740">
        <v>68.59</v>
      </c>
    </row>
    <row r="1741" spans="1:3" x14ac:dyDescent="0.3">
      <c r="A1741" s="284">
        <v>43412</v>
      </c>
      <c r="B1741">
        <v>68.72</v>
      </c>
      <c r="C1741">
        <v>68.709999999999994</v>
      </c>
    </row>
    <row r="1742" spans="1:3" x14ac:dyDescent="0.3">
      <c r="A1742" s="284">
        <v>43411</v>
      </c>
      <c r="B1742">
        <v>68.16</v>
      </c>
      <c r="C1742">
        <v>68.16</v>
      </c>
    </row>
    <row r="1743" spans="1:3" x14ac:dyDescent="0.3">
      <c r="A1743" s="284">
        <v>43410</v>
      </c>
      <c r="B1743">
        <v>66.010000000000005</v>
      </c>
      <c r="C1743">
        <v>66</v>
      </c>
    </row>
    <row r="1744" spans="1:3" x14ac:dyDescent="0.3">
      <c r="A1744" s="284">
        <v>43409</v>
      </c>
      <c r="B1744">
        <v>64.48</v>
      </c>
      <c r="C1744">
        <v>64.459999999999994</v>
      </c>
    </row>
    <row r="1745" spans="1:3" x14ac:dyDescent="0.3">
      <c r="A1745" s="284">
        <v>43406</v>
      </c>
      <c r="B1745">
        <v>64.319999999999993</v>
      </c>
      <c r="C1745">
        <v>64.150000000000006</v>
      </c>
    </row>
    <row r="1746" spans="1:3" x14ac:dyDescent="0.3">
      <c r="A1746" s="284">
        <v>43405</v>
      </c>
      <c r="B1746">
        <v>58.63</v>
      </c>
      <c r="C1746">
        <v>58.55</v>
      </c>
    </row>
    <row r="1747" spans="1:3" x14ac:dyDescent="0.3">
      <c r="A1747" s="284">
        <v>43404</v>
      </c>
      <c r="B1747">
        <v>58.27</v>
      </c>
      <c r="C1747">
        <v>58.26</v>
      </c>
    </row>
    <row r="1748" spans="1:3" x14ac:dyDescent="0.3">
      <c r="A1748" s="284">
        <v>43403</v>
      </c>
      <c r="B1748">
        <v>58.59</v>
      </c>
      <c r="C1748">
        <v>58.58</v>
      </c>
    </row>
    <row r="1749" spans="1:3" x14ac:dyDescent="0.3">
      <c r="A1749" s="284">
        <v>43402</v>
      </c>
      <c r="B1749">
        <v>58.37</v>
      </c>
      <c r="C1749">
        <v>58.38</v>
      </c>
    </row>
    <row r="1750" spans="1:3" x14ac:dyDescent="0.3">
      <c r="A1750" s="284">
        <v>43399</v>
      </c>
      <c r="B1750">
        <v>58.07</v>
      </c>
      <c r="C1750">
        <v>58.05</v>
      </c>
    </row>
    <row r="1751" spans="1:3" x14ac:dyDescent="0.3">
      <c r="A1751" s="284">
        <v>43398</v>
      </c>
      <c r="B1751">
        <v>58.96</v>
      </c>
      <c r="C1751">
        <v>58.96</v>
      </c>
    </row>
    <row r="1752" spans="1:3" x14ac:dyDescent="0.3">
      <c r="A1752" s="284">
        <v>43397</v>
      </c>
      <c r="B1752">
        <v>58.06</v>
      </c>
      <c r="C1752">
        <v>58.05</v>
      </c>
    </row>
    <row r="1753" spans="1:3" x14ac:dyDescent="0.3">
      <c r="A1753" s="284">
        <v>43396</v>
      </c>
      <c r="B1753">
        <v>58.81</v>
      </c>
      <c r="C1753">
        <v>58.8</v>
      </c>
    </row>
    <row r="1754" spans="1:3" x14ac:dyDescent="0.3">
      <c r="A1754" s="284">
        <v>43395</v>
      </c>
      <c r="B1754">
        <v>58.9</v>
      </c>
      <c r="C1754">
        <v>58.91</v>
      </c>
    </row>
    <row r="1755" spans="1:3" x14ac:dyDescent="0.3">
      <c r="A1755" s="284">
        <v>43392</v>
      </c>
      <c r="B1755">
        <v>58.66</v>
      </c>
      <c r="C1755">
        <v>58.63</v>
      </c>
    </row>
    <row r="1756" spans="1:3" x14ac:dyDescent="0.3">
      <c r="A1756" s="284">
        <v>43391</v>
      </c>
      <c r="B1756">
        <v>58.64</v>
      </c>
      <c r="C1756">
        <v>58.63</v>
      </c>
    </row>
    <row r="1757" spans="1:3" x14ac:dyDescent="0.3">
      <c r="A1757" s="284">
        <v>43390</v>
      </c>
      <c r="B1757">
        <v>59.1</v>
      </c>
      <c r="C1757">
        <v>59.11</v>
      </c>
    </row>
    <row r="1758" spans="1:3" x14ac:dyDescent="0.3">
      <c r="A1758" s="284">
        <v>43389</v>
      </c>
      <c r="B1758">
        <v>57.81</v>
      </c>
      <c r="C1758">
        <v>57.8</v>
      </c>
    </row>
    <row r="1759" spans="1:3" x14ac:dyDescent="0.3">
      <c r="A1759" s="284">
        <v>43388</v>
      </c>
      <c r="B1759">
        <v>56.75</v>
      </c>
      <c r="C1759">
        <v>56.74</v>
      </c>
    </row>
    <row r="1760" spans="1:3" x14ac:dyDescent="0.3">
      <c r="A1760" s="284">
        <v>43385</v>
      </c>
      <c r="B1760">
        <v>56.45</v>
      </c>
      <c r="C1760">
        <v>56.44</v>
      </c>
    </row>
    <row r="1761" spans="1:3" x14ac:dyDescent="0.3">
      <c r="A1761" s="284">
        <v>43384</v>
      </c>
      <c r="B1761">
        <v>54.86</v>
      </c>
      <c r="C1761">
        <v>54.86</v>
      </c>
    </row>
    <row r="1762" spans="1:3" x14ac:dyDescent="0.3">
      <c r="A1762" s="284">
        <v>43383</v>
      </c>
      <c r="B1762">
        <v>56.01</v>
      </c>
      <c r="C1762">
        <v>56.01</v>
      </c>
    </row>
    <row r="1763" spans="1:3" x14ac:dyDescent="0.3">
      <c r="A1763" s="284">
        <v>43382</v>
      </c>
      <c r="B1763">
        <v>57.71</v>
      </c>
      <c r="C1763">
        <v>57.71</v>
      </c>
    </row>
    <row r="1764" spans="1:3" x14ac:dyDescent="0.3">
      <c r="A1764" s="284">
        <v>43381</v>
      </c>
      <c r="B1764">
        <v>56.54</v>
      </c>
      <c r="C1764">
        <v>56.54</v>
      </c>
    </row>
    <row r="1765" spans="1:3" x14ac:dyDescent="0.3">
      <c r="A1765" s="284">
        <v>43378</v>
      </c>
      <c r="B1765">
        <v>55.76</v>
      </c>
      <c r="C1765">
        <v>55.76</v>
      </c>
    </row>
    <row r="1766" spans="1:3" x14ac:dyDescent="0.3">
      <c r="A1766" s="284">
        <v>43377</v>
      </c>
      <c r="B1766">
        <v>55.89</v>
      </c>
      <c r="C1766">
        <v>55.89</v>
      </c>
    </row>
    <row r="1767" spans="1:3" x14ac:dyDescent="0.3">
      <c r="A1767" s="284">
        <v>43376</v>
      </c>
      <c r="B1767">
        <v>55.47</v>
      </c>
      <c r="C1767">
        <v>55.47</v>
      </c>
    </row>
    <row r="1768" spans="1:3" x14ac:dyDescent="0.3">
      <c r="A1768" s="284">
        <v>43375</v>
      </c>
      <c r="B1768">
        <v>55.59</v>
      </c>
      <c r="C1768">
        <v>55.58</v>
      </c>
    </row>
    <row r="1769" spans="1:3" x14ac:dyDescent="0.3">
      <c r="A1769" s="284">
        <v>43374</v>
      </c>
      <c r="B1769">
        <v>55.58</v>
      </c>
      <c r="C1769">
        <v>55.57</v>
      </c>
    </row>
    <row r="1770" spans="1:3" x14ac:dyDescent="0.3">
      <c r="A1770" s="284">
        <v>43371</v>
      </c>
      <c r="B1770">
        <v>56.84</v>
      </c>
      <c r="C1770">
        <v>56.84</v>
      </c>
    </row>
    <row r="1771" spans="1:3" x14ac:dyDescent="0.3">
      <c r="A1771" s="284">
        <v>43370</v>
      </c>
      <c r="B1771">
        <v>57.34</v>
      </c>
      <c r="C1771">
        <v>57.34</v>
      </c>
    </row>
    <row r="1772" spans="1:3" x14ac:dyDescent="0.3">
      <c r="A1772" s="284">
        <v>43369</v>
      </c>
      <c r="B1772">
        <v>57.27</v>
      </c>
      <c r="C1772">
        <v>57.27</v>
      </c>
    </row>
    <row r="1773" spans="1:3" x14ac:dyDescent="0.3">
      <c r="A1773" s="284">
        <v>43368</v>
      </c>
      <c r="B1773">
        <v>56.9</v>
      </c>
      <c r="C1773">
        <v>56.9</v>
      </c>
    </row>
    <row r="1774" spans="1:3" x14ac:dyDescent="0.3">
      <c r="A1774" s="284">
        <v>43367</v>
      </c>
      <c r="B1774">
        <v>56.69</v>
      </c>
      <c r="C1774">
        <v>56.69</v>
      </c>
    </row>
    <row r="1775" spans="1:3" x14ac:dyDescent="0.3">
      <c r="A1775" s="284">
        <v>43364</v>
      </c>
      <c r="B1775">
        <v>57.45</v>
      </c>
      <c r="C1775">
        <v>57.4</v>
      </c>
    </row>
    <row r="1776" spans="1:3" x14ac:dyDescent="0.3">
      <c r="A1776" s="284">
        <v>43363</v>
      </c>
      <c r="B1776">
        <v>56.43</v>
      </c>
      <c r="C1776">
        <v>56.44</v>
      </c>
    </row>
    <row r="1777" spans="1:3" x14ac:dyDescent="0.3">
      <c r="A1777" s="284">
        <v>43362</v>
      </c>
      <c r="B1777">
        <v>55.43</v>
      </c>
      <c r="C1777">
        <v>55.43</v>
      </c>
    </row>
    <row r="1778" spans="1:3" x14ac:dyDescent="0.3">
      <c r="A1778" s="284">
        <v>43361</v>
      </c>
      <c r="B1778">
        <v>55.07</v>
      </c>
      <c r="C1778">
        <v>55.07</v>
      </c>
    </row>
    <row r="1779" spans="1:3" x14ac:dyDescent="0.3">
      <c r="A1779" s="284">
        <v>43360</v>
      </c>
      <c r="B1779">
        <v>54.57</v>
      </c>
      <c r="C1779">
        <v>54.57</v>
      </c>
    </row>
    <row r="1780" spans="1:3" x14ac:dyDescent="0.3">
      <c r="A1780" s="284">
        <v>43357</v>
      </c>
      <c r="B1780">
        <v>54.75</v>
      </c>
      <c r="C1780">
        <v>54.74</v>
      </c>
    </row>
    <row r="1781" spans="1:3" x14ac:dyDescent="0.3">
      <c r="A1781" s="284">
        <v>43356</v>
      </c>
      <c r="B1781">
        <v>54.89</v>
      </c>
      <c r="C1781">
        <v>54.9</v>
      </c>
    </row>
    <row r="1782" spans="1:3" x14ac:dyDescent="0.3">
      <c r="A1782" s="284">
        <v>43355</v>
      </c>
      <c r="B1782">
        <v>54.97</v>
      </c>
      <c r="C1782">
        <v>54.96</v>
      </c>
    </row>
    <row r="1783" spans="1:3" x14ac:dyDescent="0.3">
      <c r="A1783" s="284">
        <v>43354</v>
      </c>
      <c r="B1783">
        <v>55.12</v>
      </c>
      <c r="C1783">
        <v>55.12</v>
      </c>
    </row>
    <row r="1784" spans="1:3" x14ac:dyDescent="0.3">
      <c r="A1784" s="284">
        <v>43353</v>
      </c>
      <c r="B1784">
        <v>54.97</v>
      </c>
      <c r="C1784">
        <v>54.98</v>
      </c>
    </row>
    <row r="1785" spans="1:3" x14ac:dyDescent="0.3">
      <c r="A1785" s="284">
        <v>43350</v>
      </c>
      <c r="B1785">
        <v>54.86</v>
      </c>
      <c r="C1785">
        <v>54.86</v>
      </c>
    </row>
    <row r="1786" spans="1:3" x14ac:dyDescent="0.3">
      <c r="A1786" s="284">
        <v>43349</v>
      </c>
      <c r="B1786">
        <v>54.21</v>
      </c>
      <c r="C1786">
        <v>54.2</v>
      </c>
    </row>
    <row r="1787" spans="1:3" x14ac:dyDescent="0.3">
      <c r="A1787" s="284">
        <v>43348</v>
      </c>
      <c r="B1787">
        <v>53.79</v>
      </c>
      <c r="C1787">
        <v>53.79</v>
      </c>
    </row>
    <row r="1788" spans="1:3" x14ac:dyDescent="0.3">
      <c r="A1788" s="284">
        <v>43347</v>
      </c>
      <c r="B1788">
        <v>53.53</v>
      </c>
      <c r="C1788">
        <v>53.53</v>
      </c>
    </row>
    <row r="1789" spans="1:3" x14ac:dyDescent="0.3">
      <c r="A1789" s="284">
        <v>43343</v>
      </c>
      <c r="B1789">
        <v>53.45</v>
      </c>
      <c r="C1789">
        <v>53.44</v>
      </c>
    </row>
    <row r="1790" spans="1:3" x14ac:dyDescent="0.3">
      <c r="A1790" s="284">
        <v>43342</v>
      </c>
      <c r="B1790">
        <v>53.1</v>
      </c>
      <c r="C1790">
        <v>53.1</v>
      </c>
    </row>
    <row r="1791" spans="1:3" x14ac:dyDescent="0.3">
      <c r="A1791" s="284">
        <v>43341</v>
      </c>
      <c r="B1791">
        <v>53.25</v>
      </c>
      <c r="C1791">
        <v>53.24</v>
      </c>
    </row>
    <row r="1792" spans="1:3" x14ac:dyDescent="0.3">
      <c r="A1792" s="284">
        <v>43340</v>
      </c>
      <c r="B1792">
        <v>53.05</v>
      </c>
      <c r="C1792">
        <v>53.05</v>
      </c>
    </row>
    <row r="1793" spans="1:3" x14ac:dyDescent="0.3">
      <c r="A1793" s="284">
        <v>43339</v>
      </c>
      <c r="B1793">
        <v>52.97</v>
      </c>
      <c r="C1793">
        <v>52.96</v>
      </c>
    </row>
    <row r="1794" spans="1:3" x14ac:dyDescent="0.3">
      <c r="A1794" s="284">
        <v>43336</v>
      </c>
      <c r="B1794">
        <v>52.75</v>
      </c>
      <c r="C1794">
        <v>52.74</v>
      </c>
    </row>
    <row r="1795" spans="1:3" x14ac:dyDescent="0.3">
      <c r="A1795" s="284">
        <v>43335</v>
      </c>
      <c r="B1795">
        <v>52.66</v>
      </c>
      <c r="C1795">
        <v>52.65</v>
      </c>
    </row>
    <row r="1796" spans="1:3" x14ac:dyDescent="0.3">
      <c r="A1796" s="284">
        <v>43334</v>
      </c>
      <c r="B1796">
        <v>52.82</v>
      </c>
      <c r="C1796">
        <v>52.81</v>
      </c>
    </row>
    <row r="1797" spans="1:3" x14ac:dyDescent="0.3">
      <c r="A1797" s="284">
        <v>43333</v>
      </c>
      <c r="B1797">
        <v>54</v>
      </c>
      <c r="C1797">
        <v>54</v>
      </c>
    </row>
    <row r="1798" spans="1:3" x14ac:dyDescent="0.3">
      <c r="A1798" s="284">
        <v>43332</v>
      </c>
      <c r="B1798">
        <v>53.92</v>
      </c>
      <c r="C1798">
        <v>53.92</v>
      </c>
    </row>
    <row r="1799" spans="1:3" x14ac:dyDescent="0.3">
      <c r="A1799" s="284">
        <v>43329</v>
      </c>
      <c r="B1799">
        <v>53.56</v>
      </c>
      <c r="C1799">
        <v>53.57</v>
      </c>
    </row>
    <row r="1800" spans="1:3" x14ac:dyDescent="0.3">
      <c r="A1800" s="284">
        <v>43328</v>
      </c>
      <c r="B1800">
        <v>53.04</v>
      </c>
      <c r="C1800">
        <v>53.04</v>
      </c>
    </row>
    <row r="1801" spans="1:3" x14ac:dyDescent="0.3">
      <c r="A1801" s="284">
        <v>43327</v>
      </c>
      <c r="B1801">
        <v>52.75</v>
      </c>
      <c r="C1801">
        <v>52.75</v>
      </c>
    </row>
    <row r="1802" spans="1:3" x14ac:dyDescent="0.3">
      <c r="A1802" s="284">
        <v>43326</v>
      </c>
      <c r="B1802">
        <v>52.59</v>
      </c>
      <c r="C1802">
        <v>52.59</v>
      </c>
    </row>
    <row r="1803" spans="1:3" x14ac:dyDescent="0.3">
      <c r="A1803" s="284">
        <v>43325</v>
      </c>
      <c r="B1803">
        <v>51.81</v>
      </c>
      <c r="C1803">
        <v>51.81</v>
      </c>
    </row>
    <row r="1804" spans="1:3" x14ac:dyDescent="0.3">
      <c r="A1804" s="284">
        <v>43322</v>
      </c>
      <c r="B1804">
        <v>51.51</v>
      </c>
      <c r="C1804">
        <v>51.51</v>
      </c>
    </row>
    <row r="1805" spans="1:3" x14ac:dyDescent="0.3">
      <c r="A1805" s="284">
        <v>43321</v>
      </c>
      <c r="B1805">
        <v>51.92</v>
      </c>
      <c r="C1805">
        <v>51.9</v>
      </c>
    </row>
    <row r="1806" spans="1:3" x14ac:dyDescent="0.3">
      <c r="A1806" s="284">
        <v>43320</v>
      </c>
      <c r="B1806">
        <v>51.55</v>
      </c>
      <c r="C1806">
        <v>51.54</v>
      </c>
    </row>
    <row r="1807" spans="1:3" x14ac:dyDescent="0.3">
      <c r="A1807" s="284">
        <v>43319</v>
      </c>
      <c r="B1807">
        <v>52.07</v>
      </c>
      <c r="C1807">
        <v>52.06</v>
      </c>
    </row>
    <row r="1808" spans="1:3" x14ac:dyDescent="0.3">
      <c r="A1808" s="284">
        <v>43318</v>
      </c>
      <c r="B1808">
        <v>52.07</v>
      </c>
      <c r="C1808">
        <v>52.06</v>
      </c>
    </row>
    <row r="1809" spans="1:3" x14ac:dyDescent="0.3">
      <c r="A1809" s="284">
        <v>43315</v>
      </c>
      <c r="B1809">
        <v>52.23</v>
      </c>
      <c r="C1809">
        <v>52.22</v>
      </c>
    </row>
    <row r="1810" spans="1:3" x14ac:dyDescent="0.3">
      <c r="A1810" s="284">
        <v>43314</v>
      </c>
      <c r="B1810">
        <v>51.68</v>
      </c>
      <c r="C1810">
        <v>51.67</v>
      </c>
    </row>
    <row r="1811" spans="1:3" x14ac:dyDescent="0.3">
      <c r="A1811" s="284">
        <v>43313</v>
      </c>
      <c r="B1811">
        <v>51.93</v>
      </c>
      <c r="C1811">
        <v>51.93</v>
      </c>
    </row>
    <row r="1812" spans="1:3" x14ac:dyDescent="0.3">
      <c r="A1812" s="284">
        <v>43312</v>
      </c>
      <c r="B1812">
        <v>52.39</v>
      </c>
      <c r="C1812">
        <v>52.39</v>
      </c>
    </row>
    <row r="1813" spans="1:3" x14ac:dyDescent="0.3">
      <c r="A1813" s="284">
        <v>43311</v>
      </c>
      <c r="B1813">
        <v>51.9</v>
      </c>
      <c r="C1813">
        <v>51.9</v>
      </c>
    </row>
    <row r="1814" spans="1:3" x14ac:dyDescent="0.3">
      <c r="A1814" s="284">
        <v>43308</v>
      </c>
      <c r="B1814">
        <v>52.15</v>
      </c>
      <c r="C1814">
        <v>52.15</v>
      </c>
    </row>
    <row r="1815" spans="1:3" x14ac:dyDescent="0.3">
      <c r="A1815" s="284">
        <v>43307</v>
      </c>
      <c r="B1815">
        <v>51.45</v>
      </c>
      <c r="C1815">
        <v>51.44</v>
      </c>
    </row>
    <row r="1816" spans="1:3" x14ac:dyDescent="0.3">
      <c r="A1816" s="284">
        <v>43306</v>
      </c>
      <c r="B1816">
        <v>51.62</v>
      </c>
      <c r="C1816">
        <v>51.61</v>
      </c>
    </row>
    <row r="1817" spans="1:3" x14ac:dyDescent="0.3">
      <c r="A1817" s="284">
        <v>43305</v>
      </c>
      <c r="B1817">
        <v>51.17</v>
      </c>
      <c r="C1817">
        <v>51.16</v>
      </c>
    </row>
    <row r="1818" spans="1:3" x14ac:dyDescent="0.3">
      <c r="A1818" s="284">
        <v>43304</v>
      </c>
      <c r="B1818">
        <v>51.19</v>
      </c>
      <c r="C1818">
        <v>51.19</v>
      </c>
    </row>
    <row r="1819" spans="1:3" x14ac:dyDescent="0.3">
      <c r="A1819" s="284">
        <v>43301</v>
      </c>
      <c r="B1819">
        <v>50.91</v>
      </c>
      <c r="C1819">
        <v>50.91</v>
      </c>
    </row>
    <row r="1820" spans="1:3" x14ac:dyDescent="0.3">
      <c r="A1820" s="284">
        <v>43300</v>
      </c>
      <c r="B1820">
        <v>51.34</v>
      </c>
      <c r="C1820">
        <v>51.33</v>
      </c>
    </row>
    <row r="1821" spans="1:3" x14ac:dyDescent="0.3">
      <c r="A1821" s="284">
        <v>43299</v>
      </c>
      <c r="B1821">
        <v>51.15</v>
      </c>
      <c r="C1821">
        <v>51.14</v>
      </c>
    </row>
    <row r="1822" spans="1:3" x14ac:dyDescent="0.3">
      <c r="A1822" s="284">
        <v>43298</v>
      </c>
      <c r="B1822">
        <v>51.28</v>
      </c>
      <c r="C1822">
        <v>51.27</v>
      </c>
    </row>
    <row r="1823" spans="1:3" x14ac:dyDescent="0.3">
      <c r="A1823" s="284">
        <v>43297</v>
      </c>
      <c r="B1823">
        <v>50.94</v>
      </c>
      <c r="C1823">
        <v>50.95</v>
      </c>
    </row>
    <row r="1824" spans="1:3" x14ac:dyDescent="0.3">
      <c r="A1824" s="284">
        <v>43294</v>
      </c>
      <c r="B1824">
        <v>51.62</v>
      </c>
      <c r="C1824">
        <v>51.62</v>
      </c>
    </row>
    <row r="1825" spans="1:3" x14ac:dyDescent="0.3">
      <c r="A1825" s="284">
        <v>43293</v>
      </c>
      <c r="B1825">
        <v>50.25</v>
      </c>
      <c r="C1825">
        <v>50.24</v>
      </c>
    </row>
    <row r="1826" spans="1:3" x14ac:dyDescent="0.3">
      <c r="A1826" s="284">
        <v>43292</v>
      </c>
      <c r="B1826">
        <v>50.14</v>
      </c>
      <c r="C1826">
        <v>50.14</v>
      </c>
    </row>
    <row r="1827" spans="1:3" x14ac:dyDescent="0.3">
      <c r="A1827" s="284">
        <v>43291</v>
      </c>
      <c r="B1827">
        <v>50.42</v>
      </c>
      <c r="C1827">
        <v>50.42</v>
      </c>
    </row>
    <row r="1828" spans="1:3" x14ac:dyDescent="0.3">
      <c r="A1828" s="284">
        <v>43290</v>
      </c>
      <c r="B1828">
        <v>49.9</v>
      </c>
      <c r="C1828">
        <v>49.9</v>
      </c>
    </row>
    <row r="1829" spans="1:3" x14ac:dyDescent="0.3">
      <c r="A1829" s="284">
        <v>43287</v>
      </c>
      <c r="B1829">
        <v>48.98</v>
      </c>
      <c r="C1829">
        <v>48.98</v>
      </c>
    </row>
    <row r="1830" spans="1:3" x14ac:dyDescent="0.3">
      <c r="A1830" s="284">
        <v>43286</v>
      </c>
      <c r="B1830">
        <v>48.61</v>
      </c>
      <c r="C1830">
        <v>48.6</v>
      </c>
    </row>
    <row r="1831" spans="1:3" x14ac:dyDescent="0.3">
      <c r="A1831" s="284">
        <v>43284</v>
      </c>
      <c r="B1831">
        <v>48.77</v>
      </c>
      <c r="C1831">
        <v>48.76</v>
      </c>
    </row>
    <row r="1832" spans="1:3" x14ac:dyDescent="0.3">
      <c r="A1832" s="284">
        <v>43283</v>
      </c>
      <c r="B1832">
        <v>49.06</v>
      </c>
      <c r="C1832">
        <v>49.05</v>
      </c>
    </row>
    <row r="1833" spans="1:3" x14ac:dyDescent="0.3">
      <c r="A1833" s="284">
        <v>43280</v>
      </c>
      <c r="B1833">
        <v>48.85</v>
      </c>
      <c r="C1833">
        <v>48.85</v>
      </c>
    </row>
    <row r="1834" spans="1:3" x14ac:dyDescent="0.3">
      <c r="A1834" s="284">
        <v>43279</v>
      </c>
      <c r="B1834">
        <v>48.54</v>
      </c>
      <c r="C1834">
        <v>48.53</v>
      </c>
    </row>
    <row r="1835" spans="1:3" x14ac:dyDescent="0.3">
      <c r="A1835" s="284">
        <v>43278</v>
      </c>
      <c r="B1835">
        <v>49.84</v>
      </c>
      <c r="C1835">
        <v>49.85</v>
      </c>
    </row>
    <row r="1836" spans="1:3" x14ac:dyDescent="0.3">
      <c r="A1836" s="284">
        <v>43277</v>
      </c>
      <c r="B1836">
        <v>50.38</v>
      </c>
      <c r="C1836">
        <v>50.38</v>
      </c>
    </row>
    <row r="1837" spans="1:3" x14ac:dyDescent="0.3">
      <c r="A1837" s="284">
        <v>43276</v>
      </c>
      <c r="B1837">
        <v>50.66</v>
      </c>
      <c r="C1837">
        <v>50.66</v>
      </c>
    </row>
    <row r="1838" spans="1:3" x14ac:dyDescent="0.3">
      <c r="A1838" s="284">
        <v>43273</v>
      </c>
      <c r="B1838">
        <v>51.24</v>
      </c>
      <c r="C1838">
        <v>51.22</v>
      </c>
    </row>
    <row r="1839" spans="1:3" x14ac:dyDescent="0.3">
      <c r="A1839" s="284">
        <v>43272</v>
      </c>
      <c r="B1839">
        <v>50.62</v>
      </c>
      <c r="C1839">
        <v>50.61</v>
      </c>
    </row>
    <row r="1840" spans="1:3" x14ac:dyDescent="0.3">
      <c r="A1840" s="284">
        <v>43271</v>
      </c>
      <c r="B1840">
        <v>52.22</v>
      </c>
      <c r="C1840">
        <v>52.21</v>
      </c>
    </row>
    <row r="1841" spans="1:3" x14ac:dyDescent="0.3">
      <c r="A1841" s="284">
        <v>43270</v>
      </c>
      <c r="B1841">
        <v>57.43</v>
      </c>
      <c r="C1841">
        <v>57.42</v>
      </c>
    </row>
    <row r="1842" spans="1:3" x14ac:dyDescent="0.3">
      <c r="A1842" s="284">
        <v>43269</v>
      </c>
      <c r="B1842">
        <v>57.22</v>
      </c>
      <c r="C1842">
        <v>57.21</v>
      </c>
    </row>
    <row r="1843" spans="1:3" x14ac:dyDescent="0.3">
      <c r="A1843" s="284">
        <v>43266</v>
      </c>
      <c r="B1843">
        <v>57.11</v>
      </c>
      <c r="C1843">
        <v>57.1</v>
      </c>
    </row>
    <row r="1844" spans="1:3" x14ac:dyDescent="0.3">
      <c r="A1844" s="284">
        <v>43265</v>
      </c>
      <c r="B1844">
        <v>57.02</v>
      </c>
      <c r="C1844">
        <v>57.01</v>
      </c>
    </row>
    <row r="1845" spans="1:3" x14ac:dyDescent="0.3">
      <c r="A1845" s="284">
        <v>43264</v>
      </c>
      <c r="B1845">
        <v>56.21</v>
      </c>
      <c r="C1845">
        <v>56.2</v>
      </c>
    </row>
    <row r="1846" spans="1:3" x14ac:dyDescent="0.3">
      <c r="A1846" s="284">
        <v>43263</v>
      </c>
      <c r="B1846">
        <v>56.48</v>
      </c>
      <c r="C1846">
        <v>56.48</v>
      </c>
    </row>
    <row r="1847" spans="1:3" x14ac:dyDescent="0.3">
      <c r="A1847" s="284">
        <v>43262</v>
      </c>
      <c r="B1847">
        <v>56.48</v>
      </c>
      <c r="C1847">
        <v>56.47</v>
      </c>
    </row>
    <row r="1848" spans="1:3" x14ac:dyDescent="0.3">
      <c r="A1848" s="284">
        <v>43259</v>
      </c>
      <c r="B1848">
        <v>56.6</v>
      </c>
      <c r="C1848">
        <v>56.59</v>
      </c>
    </row>
    <row r="1849" spans="1:3" x14ac:dyDescent="0.3">
      <c r="A1849" s="284">
        <v>43258</v>
      </c>
      <c r="B1849">
        <v>57.14</v>
      </c>
      <c r="C1849">
        <v>57.13</v>
      </c>
    </row>
    <row r="1850" spans="1:3" x14ac:dyDescent="0.3">
      <c r="A1850" s="284">
        <v>43257</v>
      </c>
      <c r="B1850">
        <v>57.17</v>
      </c>
      <c r="C1850">
        <v>57.17</v>
      </c>
    </row>
    <row r="1851" spans="1:3" x14ac:dyDescent="0.3">
      <c r="A1851" s="284">
        <v>43256</v>
      </c>
      <c r="B1851">
        <v>55.68</v>
      </c>
      <c r="C1851">
        <v>55.68</v>
      </c>
    </row>
    <row r="1852" spans="1:3" x14ac:dyDescent="0.3">
      <c r="A1852" s="284">
        <v>43255</v>
      </c>
      <c r="B1852">
        <v>57.07</v>
      </c>
      <c r="C1852">
        <v>57.06</v>
      </c>
    </row>
    <row r="1853" spans="1:3" x14ac:dyDescent="0.3">
      <c r="A1853" s="284">
        <v>43252</v>
      </c>
      <c r="B1853">
        <v>56.91</v>
      </c>
      <c r="C1853">
        <v>56.89</v>
      </c>
    </row>
    <row r="1854" spans="1:3" x14ac:dyDescent="0.3">
      <c r="A1854" s="284">
        <v>43251</v>
      </c>
      <c r="B1854">
        <v>56.67</v>
      </c>
      <c r="C1854">
        <v>56.66</v>
      </c>
    </row>
    <row r="1855" spans="1:3" x14ac:dyDescent="0.3">
      <c r="A1855" s="284">
        <v>43250</v>
      </c>
      <c r="B1855">
        <v>57.48</v>
      </c>
      <c r="C1855">
        <v>57.47</v>
      </c>
    </row>
    <row r="1856" spans="1:3" x14ac:dyDescent="0.3">
      <c r="A1856" s="284">
        <v>43249</v>
      </c>
      <c r="B1856">
        <v>57.23</v>
      </c>
      <c r="C1856">
        <v>57.23</v>
      </c>
    </row>
    <row r="1857" spans="1:3" x14ac:dyDescent="0.3">
      <c r="A1857" s="284">
        <v>43245</v>
      </c>
      <c r="B1857">
        <v>57.92</v>
      </c>
      <c r="C1857">
        <v>57.91</v>
      </c>
    </row>
    <row r="1858" spans="1:3" x14ac:dyDescent="0.3">
      <c r="A1858" s="284">
        <v>43244</v>
      </c>
      <c r="B1858">
        <v>57.68</v>
      </c>
      <c r="C1858">
        <v>57.68</v>
      </c>
    </row>
    <row r="1859" spans="1:3" x14ac:dyDescent="0.3">
      <c r="A1859" s="284">
        <v>43243</v>
      </c>
      <c r="B1859">
        <v>57.49</v>
      </c>
      <c r="C1859">
        <v>57.49</v>
      </c>
    </row>
    <row r="1860" spans="1:3" x14ac:dyDescent="0.3">
      <c r="A1860" s="284">
        <v>43242</v>
      </c>
      <c r="B1860">
        <v>56.96</v>
      </c>
      <c r="C1860">
        <v>56.96</v>
      </c>
    </row>
    <row r="1861" spans="1:3" x14ac:dyDescent="0.3">
      <c r="A1861" s="284">
        <v>43241</v>
      </c>
      <c r="B1861">
        <v>57.34</v>
      </c>
      <c r="C1861">
        <v>57.33</v>
      </c>
    </row>
    <row r="1862" spans="1:3" x14ac:dyDescent="0.3">
      <c r="A1862" s="284">
        <v>43238</v>
      </c>
      <c r="B1862">
        <v>57.16</v>
      </c>
      <c r="C1862">
        <v>57.16</v>
      </c>
    </row>
    <row r="1863" spans="1:3" x14ac:dyDescent="0.3">
      <c r="A1863" s="284">
        <v>43237</v>
      </c>
      <c r="B1863">
        <v>57.2</v>
      </c>
      <c r="C1863">
        <v>57.19</v>
      </c>
    </row>
    <row r="1864" spans="1:3" x14ac:dyDescent="0.3">
      <c r="A1864" s="284">
        <v>43236</v>
      </c>
      <c r="B1864">
        <v>57.15</v>
      </c>
      <c r="C1864">
        <v>57.15</v>
      </c>
    </row>
    <row r="1865" spans="1:3" x14ac:dyDescent="0.3">
      <c r="A1865" s="284">
        <v>43235</v>
      </c>
      <c r="B1865">
        <v>56.64</v>
      </c>
      <c r="C1865">
        <v>56.67</v>
      </c>
    </row>
    <row r="1866" spans="1:3" x14ac:dyDescent="0.3">
      <c r="A1866" s="284">
        <v>43234</v>
      </c>
      <c r="B1866">
        <v>57.13</v>
      </c>
      <c r="C1866">
        <v>57.13</v>
      </c>
    </row>
    <row r="1867" spans="1:3" x14ac:dyDescent="0.3">
      <c r="A1867" s="284">
        <v>43231</v>
      </c>
      <c r="B1867">
        <v>57.27</v>
      </c>
      <c r="C1867">
        <v>57.26</v>
      </c>
    </row>
    <row r="1868" spans="1:3" x14ac:dyDescent="0.3">
      <c r="A1868" s="284">
        <v>43230</v>
      </c>
      <c r="B1868">
        <v>57.65</v>
      </c>
      <c r="C1868">
        <v>57.65</v>
      </c>
    </row>
    <row r="1869" spans="1:3" x14ac:dyDescent="0.3">
      <c r="A1869" s="284">
        <v>43229</v>
      </c>
      <c r="B1869">
        <v>57.04</v>
      </c>
      <c r="C1869">
        <v>57.03</v>
      </c>
    </row>
    <row r="1870" spans="1:3" x14ac:dyDescent="0.3">
      <c r="A1870" s="284">
        <v>43228</v>
      </c>
      <c r="B1870">
        <v>57.67</v>
      </c>
      <c r="C1870">
        <v>57.67</v>
      </c>
    </row>
    <row r="1871" spans="1:3" x14ac:dyDescent="0.3">
      <c r="A1871" s="284">
        <v>43227</v>
      </c>
      <c r="B1871">
        <v>57.45</v>
      </c>
      <c r="C1871">
        <v>57.44</v>
      </c>
    </row>
    <row r="1872" spans="1:3" x14ac:dyDescent="0.3">
      <c r="A1872" s="284">
        <v>43224</v>
      </c>
      <c r="B1872">
        <v>57.68</v>
      </c>
      <c r="C1872">
        <v>57.68</v>
      </c>
    </row>
    <row r="1873" spans="1:3" x14ac:dyDescent="0.3">
      <c r="A1873" s="284">
        <v>43223</v>
      </c>
      <c r="B1873">
        <v>56.13</v>
      </c>
      <c r="C1873">
        <v>56.12</v>
      </c>
    </row>
    <row r="1874" spans="1:3" x14ac:dyDescent="0.3">
      <c r="A1874" s="284">
        <v>43222</v>
      </c>
      <c r="B1874">
        <v>56.7</v>
      </c>
      <c r="C1874">
        <v>56.7</v>
      </c>
    </row>
    <row r="1875" spans="1:3" x14ac:dyDescent="0.3">
      <c r="A1875" s="284">
        <v>43221</v>
      </c>
      <c r="B1875">
        <v>58.13</v>
      </c>
      <c r="C1875">
        <v>58.12</v>
      </c>
    </row>
    <row r="1876" spans="1:3" x14ac:dyDescent="0.3">
      <c r="A1876" s="284">
        <v>43220</v>
      </c>
      <c r="B1876">
        <v>57.57</v>
      </c>
      <c r="C1876">
        <v>57.55</v>
      </c>
    </row>
    <row r="1877" spans="1:3" x14ac:dyDescent="0.3">
      <c r="A1877" s="284">
        <v>43217</v>
      </c>
      <c r="B1877">
        <v>58.36</v>
      </c>
      <c r="C1877">
        <v>58.36</v>
      </c>
    </row>
    <row r="1878" spans="1:3" x14ac:dyDescent="0.3">
      <c r="A1878" s="284">
        <v>43216</v>
      </c>
      <c r="B1878">
        <v>59.38</v>
      </c>
      <c r="C1878">
        <v>59.51</v>
      </c>
    </row>
    <row r="1879" spans="1:3" x14ac:dyDescent="0.3">
      <c r="A1879" s="284">
        <v>43215</v>
      </c>
      <c r="B1879">
        <v>57.71</v>
      </c>
      <c r="C1879">
        <v>57.71</v>
      </c>
    </row>
    <row r="1880" spans="1:3" x14ac:dyDescent="0.3">
      <c r="A1880" s="284">
        <v>43214</v>
      </c>
      <c r="B1880">
        <v>57.81</v>
      </c>
      <c r="C1880">
        <v>57.8</v>
      </c>
    </row>
    <row r="1881" spans="1:3" x14ac:dyDescent="0.3">
      <c r="A1881" s="284">
        <v>43213</v>
      </c>
      <c r="B1881">
        <v>58.16</v>
      </c>
      <c r="C1881">
        <v>58.15</v>
      </c>
    </row>
    <row r="1882" spans="1:3" x14ac:dyDescent="0.3">
      <c r="A1882" s="284">
        <v>43210</v>
      </c>
      <c r="B1882">
        <v>58</v>
      </c>
      <c r="C1882">
        <v>58</v>
      </c>
    </row>
    <row r="1883" spans="1:3" x14ac:dyDescent="0.3">
      <c r="A1883" s="284">
        <v>43209</v>
      </c>
      <c r="B1883">
        <v>59.22</v>
      </c>
      <c r="C1883">
        <v>59.21</v>
      </c>
    </row>
    <row r="1884" spans="1:3" x14ac:dyDescent="0.3">
      <c r="A1884" s="284">
        <v>43208</v>
      </c>
      <c r="B1884">
        <v>59.5</v>
      </c>
      <c r="C1884">
        <v>59.5</v>
      </c>
    </row>
    <row r="1885" spans="1:3" x14ac:dyDescent="0.3">
      <c r="A1885" s="284">
        <v>43207</v>
      </c>
      <c r="B1885">
        <v>59.83</v>
      </c>
      <c r="C1885">
        <v>59.83</v>
      </c>
    </row>
    <row r="1886" spans="1:3" x14ac:dyDescent="0.3">
      <c r="A1886" s="284">
        <v>43206</v>
      </c>
      <c r="B1886">
        <v>59.43</v>
      </c>
      <c r="C1886">
        <v>59.42</v>
      </c>
    </row>
    <row r="1887" spans="1:3" x14ac:dyDescent="0.3">
      <c r="A1887" s="284">
        <v>43203</v>
      </c>
      <c r="B1887">
        <v>59.24</v>
      </c>
      <c r="C1887">
        <v>59.24</v>
      </c>
    </row>
    <row r="1888" spans="1:3" x14ac:dyDescent="0.3">
      <c r="A1888" s="284">
        <v>43202</v>
      </c>
      <c r="B1888">
        <v>59.43</v>
      </c>
      <c r="C1888">
        <v>59.43</v>
      </c>
    </row>
    <row r="1889" spans="1:3" x14ac:dyDescent="0.3">
      <c r="A1889" s="284">
        <v>43201</v>
      </c>
      <c r="B1889">
        <v>59.42</v>
      </c>
      <c r="C1889">
        <v>59.42</v>
      </c>
    </row>
    <row r="1890" spans="1:3" x14ac:dyDescent="0.3">
      <c r="A1890" s="284">
        <v>43200</v>
      </c>
      <c r="B1890">
        <v>59.41</v>
      </c>
      <c r="C1890">
        <v>59.4</v>
      </c>
    </row>
    <row r="1891" spans="1:3" x14ac:dyDescent="0.3">
      <c r="A1891" s="284">
        <v>43199</v>
      </c>
      <c r="B1891">
        <v>58.7</v>
      </c>
      <c r="C1891">
        <v>58.7</v>
      </c>
    </row>
    <row r="1892" spans="1:3" x14ac:dyDescent="0.3">
      <c r="A1892" s="284">
        <v>43196</v>
      </c>
      <c r="B1892">
        <v>58.34</v>
      </c>
      <c r="C1892">
        <v>58.33</v>
      </c>
    </row>
    <row r="1893" spans="1:3" x14ac:dyDescent="0.3">
      <c r="A1893" s="284">
        <v>43195</v>
      </c>
      <c r="B1893">
        <v>59.14</v>
      </c>
      <c r="C1893">
        <v>59.14</v>
      </c>
    </row>
    <row r="1894" spans="1:3" x14ac:dyDescent="0.3">
      <c r="A1894" s="284">
        <v>43194</v>
      </c>
      <c r="B1894">
        <v>58.83</v>
      </c>
      <c r="C1894">
        <v>58.83</v>
      </c>
    </row>
    <row r="1895" spans="1:3" x14ac:dyDescent="0.3">
      <c r="A1895" s="284">
        <v>43193</v>
      </c>
      <c r="B1895">
        <v>58</v>
      </c>
      <c r="C1895">
        <v>58.01</v>
      </c>
    </row>
    <row r="1896" spans="1:3" x14ac:dyDescent="0.3">
      <c r="A1896" s="284">
        <v>43192</v>
      </c>
      <c r="B1896">
        <v>56.24</v>
      </c>
      <c r="C1896">
        <v>56.24</v>
      </c>
    </row>
    <row r="1897" spans="1:3" x14ac:dyDescent="0.3">
      <c r="A1897" s="284">
        <v>43188</v>
      </c>
      <c r="B1897">
        <v>57.89</v>
      </c>
      <c r="C1897">
        <v>57.88</v>
      </c>
    </row>
    <row r="1898" spans="1:3" x14ac:dyDescent="0.3">
      <c r="A1898" s="284">
        <v>43187</v>
      </c>
      <c r="B1898">
        <v>57.9</v>
      </c>
      <c r="C1898">
        <v>57.91</v>
      </c>
    </row>
    <row r="1899" spans="1:3" x14ac:dyDescent="0.3">
      <c r="A1899" s="284">
        <v>43186</v>
      </c>
      <c r="B1899">
        <v>57.46</v>
      </c>
      <c r="C1899">
        <v>57.46</v>
      </c>
    </row>
    <row r="1900" spans="1:3" x14ac:dyDescent="0.3">
      <c r="A1900" s="284">
        <v>43185</v>
      </c>
      <c r="B1900">
        <v>57.8</v>
      </c>
      <c r="C1900">
        <v>57.79</v>
      </c>
    </row>
    <row r="1901" spans="1:3" x14ac:dyDescent="0.3">
      <c r="A1901" s="284">
        <v>43182</v>
      </c>
      <c r="B1901">
        <v>56.31</v>
      </c>
      <c r="C1901">
        <v>56.31</v>
      </c>
    </row>
    <row r="1902" spans="1:3" x14ac:dyDescent="0.3">
      <c r="A1902" s="284">
        <v>43181</v>
      </c>
      <c r="B1902">
        <v>57.77</v>
      </c>
      <c r="C1902">
        <v>57.77</v>
      </c>
    </row>
    <row r="1903" spans="1:3" x14ac:dyDescent="0.3">
      <c r="A1903" s="284">
        <v>43180</v>
      </c>
      <c r="B1903">
        <v>58.47</v>
      </c>
      <c r="C1903">
        <v>58.47</v>
      </c>
    </row>
    <row r="1904" spans="1:3" x14ac:dyDescent="0.3">
      <c r="A1904" s="284">
        <v>43179</v>
      </c>
      <c r="B1904">
        <v>58.66</v>
      </c>
      <c r="C1904">
        <v>58.66</v>
      </c>
    </row>
    <row r="1905" spans="1:3" x14ac:dyDescent="0.3">
      <c r="A1905" s="284">
        <v>43178</v>
      </c>
      <c r="B1905">
        <v>58.3</v>
      </c>
      <c r="C1905">
        <v>58.29</v>
      </c>
    </row>
    <row r="1906" spans="1:3" x14ac:dyDescent="0.3">
      <c r="A1906" s="284">
        <v>43175</v>
      </c>
      <c r="B1906">
        <v>59</v>
      </c>
      <c r="C1906">
        <v>59</v>
      </c>
    </row>
    <row r="1907" spans="1:3" x14ac:dyDescent="0.3">
      <c r="A1907" s="284">
        <v>43174</v>
      </c>
      <c r="B1907">
        <v>59.37</v>
      </c>
      <c r="C1907">
        <v>59.37</v>
      </c>
    </row>
    <row r="1908" spans="1:3" x14ac:dyDescent="0.3">
      <c r="A1908" s="284">
        <v>43173</v>
      </c>
      <c r="B1908">
        <v>58.83</v>
      </c>
      <c r="C1908">
        <v>58.84</v>
      </c>
    </row>
    <row r="1909" spans="1:3" x14ac:dyDescent="0.3">
      <c r="A1909" s="284">
        <v>43172</v>
      </c>
      <c r="B1909">
        <v>59.05</v>
      </c>
      <c r="C1909">
        <v>59.03</v>
      </c>
    </row>
    <row r="1910" spans="1:3" x14ac:dyDescent="0.3">
      <c r="A1910" s="284">
        <v>43171</v>
      </c>
      <c r="B1910">
        <v>59.4</v>
      </c>
      <c r="C1910">
        <v>59.4</v>
      </c>
    </row>
    <row r="1911" spans="1:3" x14ac:dyDescent="0.3">
      <c r="A1911" s="284">
        <v>43168</v>
      </c>
      <c r="B1911">
        <v>58.46</v>
      </c>
      <c r="C1911">
        <v>58.46</v>
      </c>
    </row>
    <row r="1912" spans="1:3" x14ac:dyDescent="0.3">
      <c r="A1912" s="284">
        <v>43167</v>
      </c>
      <c r="B1912">
        <v>57.47</v>
      </c>
      <c r="C1912">
        <v>57.46</v>
      </c>
    </row>
    <row r="1913" spans="1:3" x14ac:dyDescent="0.3">
      <c r="A1913" s="284">
        <v>43166</v>
      </c>
      <c r="B1913">
        <v>57.03</v>
      </c>
      <c r="C1913">
        <v>57.03</v>
      </c>
    </row>
    <row r="1914" spans="1:3" x14ac:dyDescent="0.3">
      <c r="A1914" s="284">
        <v>43165</v>
      </c>
      <c r="B1914">
        <v>57.03</v>
      </c>
      <c r="C1914">
        <v>57.02</v>
      </c>
    </row>
    <row r="1915" spans="1:3" x14ac:dyDescent="0.3">
      <c r="A1915" s="284">
        <v>43164</v>
      </c>
      <c r="B1915">
        <v>56.99</v>
      </c>
      <c r="C1915">
        <v>56.99</v>
      </c>
    </row>
    <row r="1916" spans="1:3" x14ac:dyDescent="0.3">
      <c r="A1916" s="284">
        <v>43161</v>
      </c>
      <c r="B1916">
        <v>56.93</v>
      </c>
      <c r="C1916">
        <v>56.93</v>
      </c>
    </row>
    <row r="1917" spans="1:3" x14ac:dyDescent="0.3">
      <c r="A1917" s="284">
        <v>43160</v>
      </c>
      <c r="B1917">
        <v>56.17</v>
      </c>
      <c r="C1917">
        <v>56.16</v>
      </c>
    </row>
    <row r="1918" spans="1:3" x14ac:dyDescent="0.3">
      <c r="A1918" s="284">
        <v>43159</v>
      </c>
      <c r="B1918">
        <v>57.1</v>
      </c>
      <c r="C1918">
        <v>57.1</v>
      </c>
    </row>
    <row r="1919" spans="1:3" x14ac:dyDescent="0.3">
      <c r="A1919" s="284">
        <v>43158</v>
      </c>
      <c r="B1919">
        <v>56.57</v>
      </c>
      <c r="C1919">
        <v>56.57</v>
      </c>
    </row>
    <row r="1920" spans="1:3" x14ac:dyDescent="0.3">
      <c r="A1920" s="284">
        <v>43157</v>
      </c>
      <c r="B1920">
        <v>57.17</v>
      </c>
      <c r="C1920">
        <v>57.17</v>
      </c>
    </row>
    <row r="1921" spans="1:3" x14ac:dyDescent="0.3">
      <c r="A1921" s="284">
        <v>43154</v>
      </c>
      <c r="B1921">
        <v>56.14</v>
      </c>
      <c r="C1921">
        <v>56.14</v>
      </c>
    </row>
    <row r="1922" spans="1:3" x14ac:dyDescent="0.3">
      <c r="A1922" s="284">
        <v>43153</v>
      </c>
      <c r="B1922">
        <v>55.4</v>
      </c>
      <c r="C1922">
        <v>55.39</v>
      </c>
    </row>
    <row r="1923" spans="1:3" x14ac:dyDescent="0.3">
      <c r="A1923" s="284">
        <v>43152</v>
      </c>
      <c r="B1923">
        <v>56.1</v>
      </c>
      <c r="C1923">
        <v>56.1</v>
      </c>
    </row>
    <row r="1924" spans="1:3" x14ac:dyDescent="0.3">
      <c r="A1924" s="284">
        <v>43151</v>
      </c>
      <c r="B1924">
        <v>55.97</v>
      </c>
      <c r="C1924">
        <v>55.96</v>
      </c>
    </row>
    <row r="1925" spans="1:3" x14ac:dyDescent="0.3">
      <c r="A1925" s="284">
        <v>43147</v>
      </c>
      <c r="B1925">
        <v>56.48</v>
      </c>
      <c r="C1925">
        <v>56.46</v>
      </c>
    </row>
    <row r="1926" spans="1:3" x14ac:dyDescent="0.3">
      <c r="A1926" s="284">
        <v>43146</v>
      </c>
      <c r="B1926">
        <v>56.58</v>
      </c>
      <c r="C1926">
        <v>56.58</v>
      </c>
    </row>
    <row r="1927" spans="1:3" x14ac:dyDescent="0.3">
      <c r="A1927" s="284">
        <v>43145</v>
      </c>
      <c r="B1927">
        <v>55.99</v>
      </c>
      <c r="C1927">
        <v>55.99</v>
      </c>
    </row>
    <row r="1928" spans="1:3" x14ac:dyDescent="0.3">
      <c r="A1928" s="284">
        <v>43144</v>
      </c>
      <c r="B1928">
        <v>55.67</v>
      </c>
      <c r="C1928">
        <v>55.67</v>
      </c>
    </row>
    <row r="1929" spans="1:3" x14ac:dyDescent="0.3">
      <c r="A1929" s="284">
        <v>43143</v>
      </c>
      <c r="B1929">
        <v>55.38</v>
      </c>
      <c r="C1929">
        <v>55.38</v>
      </c>
    </row>
    <row r="1930" spans="1:3" x14ac:dyDescent="0.3">
      <c r="A1930" s="284">
        <v>43140</v>
      </c>
      <c r="B1930">
        <v>54.58</v>
      </c>
      <c r="C1930">
        <v>54.57</v>
      </c>
    </row>
    <row r="1931" spans="1:3" x14ac:dyDescent="0.3">
      <c r="A1931" s="284">
        <v>43139</v>
      </c>
      <c r="B1931">
        <v>53.77</v>
      </c>
      <c r="C1931">
        <v>53.76</v>
      </c>
    </row>
    <row r="1932" spans="1:3" x14ac:dyDescent="0.3">
      <c r="A1932" s="284">
        <v>43138</v>
      </c>
      <c r="B1932">
        <v>54.46</v>
      </c>
      <c r="C1932">
        <v>54.45</v>
      </c>
    </row>
    <row r="1933" spans="1:3" x14ac:dyDescent="0.3">
      <c r="A1933" s="284">
        <v>43137</v>
      </c>
      <c r="B1933">
        <v>55.61</v>
      </c>
      <c r="C1933">
        <v>55.62</v>
      </c>
    </row>
    <row r="1934" spans="1:3" x14ac:dyDescent="0.3">
      <c r="A1934" s="284">
        <v>43136</v>
      </c>
      <c r="B1934">
        <v>54.69</v>
      </c>
      <c r="C1934">
        <v>54.67</v>
      </c>
    </row>
    <row r="1935" spans="1:3" x14ac:dyDescent="0.3">
      <c r="A1935" s="284">
        <v>43133</v>
      </c>
      <c r="B1935">
        <v>55.77</v>
      </c>
      <c r="C1935">
        <v>55.76</v>
      </c>
    </row>
    <row r="1936" spans="1:3" x14ac:dyDescent="0.3">
      <c r="A1936" s="284">
        <v>43132</v>
      </c>
      <c r="B1936">
        <v>56</v>
      </c>
      <c r="C1936">
        <v>55.99</v>
      </c>
    </row>
    <row r="1937" spans="1:3" x14ac:dyDescent="0.3">
      <c r="A1937" s="284">
        <v>43131</v>
      </c>
      <c r="B1937">
        <v>56.81</v>
      </c>
      <c r="C1937">
        <v>56.82</v>
      </c>
    </row>
    <row r="1938" spans="1:3" x14ac:dyDescent="0.3">
      <c r="A1938" s="284">
        <v>43130</v>
      </c>
      <c r="B1938">
        <v>57.19</v>
      </c>
      <c r="C1938">
        <v>57.19</v>
      </c>
    </row>
    <row r="1939" spans="1:3" x14ac:dyDescent="0.3">
      <c r="A1939" s="284">
        <v>43129</v>
      </c>
      <c r="B1939">
        <v>57.02</v>
      </c>
      <c r="C1939">
        <v>56.99</v>
      </c>
    </row>
    <row r="1940" spans="1:3" x14ac:dyDescent="0.3">
      <c r="A1940" s="284">
        <v>43126</v>
      </c>
      <c r="B1940">
        <v>57.99</v>
      </c>
      <c r="C1940">
        <v>57.95</v>
      </c>
    </row>
    <row r="1941" spans="1:3" x14ac:dyDescent="0.3">
      <c r="A1941" s="284">
        <v>43125</v>
      </c>
      <c r="B1941">
        <v>60.55</v>
      </c>
      <c r="C1941">
        <v>60.55</v>
      </c>
    </row>
    <row r="1942" spans="1:3" x14ac:dyDescent="0.3">
      <c r="A1942" s="284">
        <v>43124</v>
      </c>
      <c r="B1942">
        <v>60.83</v>
      </c>
      <c r="C1942">
        <v>60.82</v>
      </c>
    </row>
    <row r="1943" spans="1:3" x14ac:dyDescent="0.3">
      <c r="A1943" s="284">
        <v>43123</v>
      </c>
      <c r="B1943">
        <v>61.69</v>
      </c>
      <c r="C1943">
        <v>61.69</v>
      </c>
    </row>
    <row r="1944" spans="1:3" x14ac:dyDescent="0.3">
      <c r="A1944" s="284">
        <v>43122</v>
      </c>
      <c r="B1944">
        <v>61.41</v>
      </c>
      <c r="C1944">
        <v>61.43</v>
      </c>
    </row>
    <row r="1945" spans="1:3" x14ac:dyDescent="0.3">
      <c r="A1945" s="284">
        <v>43119</v>
      </c>
      <c r="B1945">
        <v>61.26</v>
      </c>
      <c r="C1945">
        <v>61.19</v>
      </c>
    </row>
    <row r="1946" spans="1:3" x14ac:dyDescent="0.3">
      <c r="A1946" s="284">
        <v>43118</v>
      </c>
      <c r="B1946">
        <v>61.09</v>
      </c>
      <c r="C1946">
        <v>61.11</v>
      </c>
    </row>
    <row r="1947" spans="1:3" x14ac:dyDescent="0.3">
      <c r="A1947" s="284">
        <v>43117</v>
      </c>
      <c r="B1947">
        <v>60.66</v>
      </c>
      <c r="C1947">
        <v>60.65</v>
      </c>
    </row>
    <row r="1948" spans="1:3" x14ac:dyDescent="0.3">
      <c r="A1948" s="284">
        <v>43116</v>
      </c>
      <c r="B1948">
        <v>60.56</v>
      </c>
      <c r="C1948">
        <v>60.56</v>
      </c>
    </row>
    <row r="1949" spans="1:3" x14ac:dyDescent="0.3">
      <c r="A1949" s="284">
        <v>43112</v>
      </c>
      <c r="B1949">
        <v>60.4</v>
      </c>
      <c r="C1949">
        <v>60.39</v>
      </c>
    </row>
    <row r="1950" spans="1:3" x14ac:dyDescent="0.3">
      <c r="A1950" s="284">
        <v>43111</v>
      </c>
      <c r="B1950">
        <v>60</v>
      </c>
      <c r="C1950">
        <v>59.99</v>
      </c>
    </row>
    <row r="1951" spans="1:3" x14ac:dyDescent="0.3">
      <c r="A1951" s="284">
        <v>43110</v>
      </c>
      <c r="B1951">
        <v>59.82</v>
      </c>
      <c r="C1951">
        <v>59.82</v>
      </c>
    </row>
    <row r="1952" spans="1:3" x14ac:dyDescent="0.3">
      <c r="A1952" s="284">
        <v>43109</v>
      </c>
      <c r="B1952">
        <v>59.18</v>
      </c>
      <c r="C1952">
        <v>59.18</v>
      </c>
    </row>
    <row r="1953" spans="1:3" x14ac:dyDescent="0.3">
      <c r="A1953" s="284">
        <v>43108</v>
      </c>
      <c r="B1953">
        <v>59.31</v>
      </c>
      <c r="C1953">
        <v>59.28</v>
      </c>
    </row>
    <row r="1954" spans="1:3" x14ac:dyDescent="0.3">
      <c r="A1954" s="284">
        <v>43105</v>
      </c>
      <c r="B1954">
        <v>59.61</v>
      </c>
      <c r="C1954">
        <v>59.57</v>
      </c>
    </row>
    <row r="1955" spans="1:3" x14ac:dyDescent="0.3">
      <c r="A1955" s="284">
        <v>43104</v>
      </c>
      <c r="B1955">
        <v>58.93</v>
      </c>
      <c r="C1955">
        <v>58.93</v>
      </c>
    </row>
    <row r="1956" spans="1:3" x14ac:dyDescent="0.3">
      <c r="A1956" s="284">
        <v>43103</v>
      </c>
      <c r="B1956">
        <v>58.71</v>
      </c>
      <c r="C1956">
        <v>58.71</v>
      </c>
    </row>
    <row r="1957" spans="1:3" x14ac:dyDescent="0.3">
      <c r="A1957" s="284">
        <v>43102</v>
      </c>
      <c r="B1957">
        <v>57.63</v>
      </c>
      <c r="C1957">
        <v>57.62</v>
      </c>
    </row>
    <row r="1958" spans="1:3" x14ac:dyDescent="0.3">
      <c r="A1958" s="284">
        <v>43098</v>
      </c>
      <c r="B1958">
        <v>57.43</v>
      </c>
      <c r="C1958">
        <v>57.43</v>
      </c>
    </row>
    <row r="1959" spans="1:3" x14ac:dyDescent="0.3">
      <c r="A1959" s="284">
        <v>43097</v>
      </c>
      <c r="B1959">
        <v>57.81</v>
      </c>
      <c r="C1959">
        <v>57.81</v>
      </c>
    </row>
    <row r="1960" spans="1:3" x14ac:dyDescent="0.3">
      <c r="A1960" s="284">
        <v>43096</v>
      </c>
      <c r="B1960">
        <v>57.27</v>
      </c>
      <c r="C1960">
        <v>57.27</v>
      </c>
    </row>
    <row r="1961" spans="1:3" x14ac:dyDescent="0.3">
      <c r="A1961" s="284">
        <v>43095</v>
      </c>
      <c r="B1961">
        <v>57.14</v>
      </c>
      <c r="C1961">
        <v>57.13</v>
      </c>
    </row>
    <row r="1962" spans="1:3" x14ac:dyDescent="0.3">
      <c r="A1962" s="284">
        <v>43091</v>
      </c>
      <c r="B1962">
        <v>57.3</v>
      </c>
      <c r="C1962">
        <v>57.29</v>
      </c>
    </row>
    <row r="1963" spans="1:3" x14ac:dyDescent="0.3">
      <c r="A1963" s="284">
        <v>43090</v>
      </c>
      <c r="B1963">
        <v>57.58</v>
      </c>
      <c r="C1963">
        <v>57.57</v>
      </c>
    </row>
    <row r="1964" spans="1:3" x14ac:dyDescent="0.3">
      <c r="A1964" s="284">
        <v>43089</v>
      </c>
      <c r="B1964">
        <v>57.73</v>
      </c>
      <c r="C1964">
        <v>57.73</v>
      </c>
    </row>
    <row r="1965" spans="1:3" x14ac:dyDescent="0.3">
      <c r="A1965" s="284">
        <v>43088</v>
      </c>
      <c r="B1965">
        <v>58.01</v>
      </c>
      <c r="C1965">
        <v>58.01</v>
      </c>
    </row>
    <row r="1966" spans="1:3" x14ac:dyDescent="0.3">
      <c r="A1966" s="284">
        <v>43087</v>
      </c>
      <c r="B1966">
        <v>58.03</v>
      </c>
      <c r="C1966">
        <v>58.04</v>
      </c>
    </row>
    <row r="1967" spans="1:3" x14ac:dyDescent="0.3">
      <c r="A1967" s="284">
        <v>43084</v>
      </c>
      <c r="B1967">
        <v>58.29</v>
      </c>
      <c r="C1967">
        <v>58.24</v>
      </c>
    </row>
    <row r="1968" spans="1:3" x14ac:dyDescent="0.3">
      <c r="A1968" s="284">
        <v>43083</v>
      </c>
      <c r="B1968">
        <v>59.7</v>
      </c>
      <c r="C1968">
        <v>59.75</v>
      </c>
    </row>
    <row r="1969" spans="1:3" x14ac:dyDescent="0.3">
      <c r="A1969" s="284">
        <v>43082</v>
      </c>
      <c r="B1969">
        <v>59.49</v>
      </c>
      <c r="C1969">
        <v>59.49</v>
      </c>
    </row>
    <row r="1970" spans="1:3" x14ac:dyDescent="0.3">
      <c r="A1970" s="284">
        <v>43081</v>
      </c>
      <c r="B1970">
        <v>59.27</v>
      </c>
      <c r="C1970">
        <v>59.27</v>
      </c>
    </row>
    <row r="1971" spans="1:3" x14ac:dyDescent="0.3">
      <c r="A1971" s="284">
        <v>43080</v>
      </c>
      <c r="B1971">
        <v>59.07</v>
      </c>
      <c r="C1971">
        <v>59.05</v>
      </c>
    </row>
    <row r="1972" spans="1:3" x14ac:dyDescent="0.3">
      <c r="A1972" s="284">
        <v>43077</v>
      </c>
      <c r="B1972">
        <v>58.61</v>
      </c>
      <c r="C1972">
        <v>58.6</v>
      </c>
    </row>
    <row r="1973" spans="1:3" x14ac:dyDescent="0.3">
      <c r="A1973" s="284">
        <v>43076</v>
      </c>
      <c r="B1973">
        <v>59.14</v>
      </c>
      <c r="C1973">
        <v>59.15</v>
      </c>
    </row>
    <row r="1974" spans="1:3" x14ac:dyDescent="0.3">
      <c r="A1974" s="284">
        <v>43075</v>
      </c>
      <c r="B1974">
        <v>59.28</v>
      </c>
      <c r="C1974">
        <v>59.28</v>
      </c>
    </row>
    <row r="1975" spans="1:3" x14ac:dyDescent="0.3">
      <c r="A1975" s="284">
        <v>43074</v>
      </c>
      <c r="B1975">
        <v>59.34</v>
      </c>
      <c r="C1975">
        <v>59.34</v>
      </c>
    </row>
    <row r="1976" spans="1:3" x14ac:dyDescent="0.3">
      <c r="A1976" s="284">
        <v>43073</v>
      </c>
      <c r="B1976">
        <v>58.76</v>
      </c>
      <c r="C1976">
        <v>58.76</v>
      </c>
    </row>
    <row r="1977" spans="1:3" x14ac:dyDescent="0.3">
      <c r="A1977" s="284">
        <v>43070</v>
      </c>
      <c r="B1977">
        <v>57.32</v>
      </c>
      <c r="C1977">
        <v>57.31</v>
      </c>
    </row>
    <row r="1978" spans="1:3" x14ac:dyDescent="0.3">
      <c r="A1978" s="284">
        <v>43069</v>
      </c>
      <c r="B1978">
        <v>57.82</v>
      </c>
      <c r="C1978">
        <v>57.81</v>
      </c>
    </row>
    <row r="1979" spans="1:3" x14ac:dyDescent="0.3">
      <c r="A1979" s="284">
        <v>43068</v>
      </c>
      <c r="B1979">
        <v>57.51</v>
      </c>
      <c r="C1979">
        <v>57.51</v>
      </c>
    </row>
    <row r="1980" spans="1:3" x14ac:dyDescent="0.3">
      <c r="A1980" s="284">
        <v>43067</v>
      </c>
      <c r="B1980">
        <v>56.66</v>
      </c>
      <c r="C1980">
        <v>56.66</v>
      </c>
    </row>
    <row r="1981" spans="1:3" x14ac:dyDescent="0.3">
      <c r="A1981" s="284">
        <v>43066</v>
      </c>
      <c r="B1981">
        <v>55.91</v>
      </c>
      <c r="C1981">
        <v>55.89</v>
      </c>
    </row>
    <row r="1982" spans="1:3" x14ac:dyDescent="0.3">
      <c r="A1982" s="284">
        <v>43063</v>
      </c>
      <c r="B1982">
        <v>56.8</v>
      </c>
      <c r="C1982">
        <v>56.79</v>
      </c>
    </row>
    <row r="1983" spans="1:3" x14ac:dyDescent="0.3">
      <c r="A1983" s="284">
        <v>43061</v>
      </c>
      <c r="B1983">
        <v>57.14</v>
      </c>
      <c r="C1983">
        <v>57.13</v>
      </c>
    </row>
    <row r="1984" spans="1:3" x14ac:dyDescent="0.3">
      <c r="A1984" s="284">
        <v>43060</v>
      </c>
      <c r="B1984">
        <v>57.26</v>
      </c>
      <c r="C1984">
        <v>57.25</v>
      </c>
    </row>
    <row r="1985" spans="1:3" x14ac:dyDescent="0.3">
      <c r="A1985" s="284">
        <v>43059</v>
      </c>
      <c r="B1985">
        <v>56.81</v>
      </c>
      <c r="C1985">
        <v>56.81</v>
      </c>
    </row>
    <row r="1986" spans="1:3" x14ac:dyDescent="0.3">
      <c r="A1986" s="284">
        <v>43056</v>
      </c>
      <c r="B1986">
        <v>56.93</v>
      </c>
      <c r="C1986">
        <v>56.92</v>
      </c>
    </row>
    <row r="1987" spans="1:3" x14ac:dyDescent="0.3">
      <c r="A1987" s="284">
        <v>43055</v>
      </c>
      <c r="B1987">
        <v>57.24</v>
      </c>
      <c r="C1987">
        <v>57.24</v>
      </c>
    </row>
    <row r="1988" spans="1:3" x14ac:dyDescent="0.3">
      <c r="A1988" s="284">
        <v>43054</v>
      </c>
      <c r="B1988">
        <v>56.7</v>
      </c>
      <c r="C1988">
        <v>56.7</v>
      </c>
    </row>
    <row r="1989" spans="1:3" x14ac:dyDescent="0.3">
      <c r="A1989" s="284">
        <v>43053</v>
      </c>
      <c r="B1989">
        <v>56.93</v>
      </c>
      <c r="C1989">
        <v>56.93</v>
      </c>
    </row>
    <row r="1990" spans="1:3" x14ac:dyDescent="0.3">
      <c r="A1990" s="284">
        <v>43052</v>
      </c>
      <c r="B1990">
        <v>56.64</v>
      </c>
      <c r="C1990">
        <v>56.63</v>
      </c>
    </row>
    <row r="1991" spans="1:3" x14ac:dyDescent="0.3">
      <c r="A1991" s="284">
        <v>43049</v>
      </c>
      <c r="B1991">
        <v>57.04</v>
      </c>
      <c r="C1991">
        <v>57.03</v>
      </c>
    </row>
    <row r="1992" spans="1:3" x14ac:dyDescent="0.3">
      <c r="A1992" s="284">
        <v>43048</v>
      </c>
      <c r="B1992">
        <v>57.36</v>
      </c>
      <c r="C1992">
        <v>57.35</v>
      </c>
    </row>
    <row r="1993" spans="1:3" x14ac:dyDescent="0.3">
      <c r="A1993" s="284">
        <v>43047</v>
      </c>
      <c r="B1993">
        <v>57.91</v>
      </c>
      <c r="C1993">
        <v>58</v>
      </c>
    </row>
    <row r="1994" spans="1:3" x14ac:dyDescent="0.3">
      <c r="A1994" s="284">
        <v>43046</v>
      </c>
      <c r="B1994">
        <v>57.22</v>
      </c>
      <c r="C1994">
        <v>57.21</v>
      </c>
    </row>
    <row r="1995" spans="1:3" x14ac:dyDescent="0.3">
      <c r="A1995" s="284">
        <v>43045</v>
      </c>
      <c r="B1995">
        <v>56.57</v>
      </c>
      <c r="C1995">
        <v>56.57</v>
      </c>
    </row>
    <row r="1996" spans="1:3" x14ac:dyDescent="0.3">
      <c r="A1996" s="284">
        <v>43042</v>
      </c>
      <c r="B1996">
        <v>56.03</v>
      </c>
      <c r="C1996">
        <v>56.03</v>
      </c>
    </row>
    <row r="1997" spans="1:3" x14ac:dyDescent="0.3">
      <c r="A1997" s="284">
        <v>43041</v>
      </c>
      <c r="B1997">
        <v>54.87</v>
      </c>
      <c r="C1997">
        <v>54.84</v>
      </c>
    </row>
    <row r="1998" spans="1:3" x14ac:dyDescent="0.3">
      <c r="A1998" s="284">
        <v>43040</v>
      </c>
      <c r="B1998">
        <v>55.13</v>
      </c>
      <c r="C1998">
        <v>55.13</v>
      </c>
    </row>
    <row r="1999" spans="1:3" x14ac:dyDescent="0.3">
      <c r="A1999" s="284">
        <v>43039</v>
      </c>
      <c r="B1999">
        <v>54.84</v>
      </c>
      <c r="C1999">
        <v>54.86</v>
      </c>
    </row>
    <row r="2000" spans="1:3" x14ac:dyDescent="0.3">
      <c r="A2000" s="284">
        <v>43038</v>
      </c>
      <c r="B2000">
        <v>55.17</v>
      </c>
      <c r="C2000">
        <v>55.16</v>
      </c>
    </row>
    <row r="2001" spans="1:3" x14ac:dyDescent="0.3">
      <c r="A2001" s="284">
        <v>43035</v>
      </c>
      <c r="B2001">
        <v>54.88</v>
      </c>
      <c r="C2001">
        <v>54.87</v>
      </c>
    </row>
    <row r="2002" spans="1:3" x14ac:dyDescent="0.3">
      <c r="A2002" s="284">
        <v>43034</v>
      </c>
      <c r="B2002">
        <v>54.91</v>
      </c>
      <c r="C2002">
        <v>54.91</v>
      </c>
    </row>
    <row r="2003" spans="1:3" x14ac:dyDescent="0.3">
      <c r="A2003" s="284">
        <v>43033</v>
      </c>
      <c r="B2003">
        <v>54.16</v>
      </c>
      <c r="C2003">
        <v>54.15</v>
      </c>
    </row>
    <row r="2004" spans="1:3" x14ac:dyDescent="0.3">
      <c r="A2004" s="284">
        <v>43032</v>
      </c>
      <c r="B2004">
        <v>54.28</v>
      </c>
      <c r="C2004">
        <v>54.27</v>
      </c>
    </row>
    <row r="2005" spans="1:3" x14ac:dyDescent="0.3">
      <c r="A2005" s="284">
        <v>43031</v>
      </c>
      <c r="B2005">
        <v>54.27</v>
      </c>
      <c r="C2005">
        <v>54.27</v>
      </c>
    </row>
    <row r="2006" spans="1:3" x14ac:dyDescent="0.3">
      <c r="A2006" s="284">
        <v>43028</v>
      </c>
      <c r="B2006">
        <v>54.57</v>
      </c>
      <c r="C2006">
        <v>54.56</v>
      </c>
    </row>
    <row r="2007" spans="1:3" x14ac:dyDescent="0.3">
      <c r="A2007" s="284">
        <v>43027</v>
      </c>
      <c r="B2007">
        <v>55.4</v>
      </c>
      <c r="C2007">
        <v>55.39</v>
      </c>
    </row>
    <row r="2008" spans="1:3" x14ac:dyDescent="0.3">
      <c r="A2008" s="284">
        <v>43026</v>
      </c>
      <c r="B2008">
        <v>55.21</v>
      </c>
      <c r="C2008">
        <v>55.21</v>
      </c>
    </row>
    <row r="2009" spans="1:3" x14ac:dyDescent="0.3">
      <c r="A2009" s="284">
        <v>43025</v>
      </c>
      <c r="B2009">
        <v>54.51</v>
      </c>
      <c r="C2009">
        <v>54.5</v>
      </c>
    </row>
    <row r="2010" spans="1:3" x14ac:dyDescent="0.3">
      <c r="A2010" s="284">
        <v>43024</v>
      </c>
      <c r="B2010">
        <v>54.91</v>
      </c>
      <c r="C2010">
        <v>54.89</v>
      </c>
    </row>
    <row r="2011" spans="1:3" x14ac:dyDescent="0.3">
      <c r="A2011" s="284">
        <v>43021</v>
      </c>
      <c r="B2011">
        <v>55.72</v>
      </c>
      <c r="C2011">
        <v>55.71</v>
      </c>
    </row>
    <row r="2012" spans="1:3" x14ac:dyDescent="0.3">
      <c r="A2012" s="284">
        <v>43020</v>
      </c>
      <c r="B2012">
        <v>55.97</v>
      </c>
      <c r="C2012">
        <v>55.97</v>
      </c>
    </row>
    <row r="2013" spans="1:3" x14ac:dyDescent="0.3">
      <c r="A2013" s="284">
        <v>43019</v>
      </c>
      <c r="B2013">
        <v>55.64</v>
      </c>
      <c r="C2013">
        <v>55.63</v>
      </c>
    </row>
    <row r="2014" spans="1:3" x14ac:dyDescent="0.3">
      <c r="A2014" s="284">
        <v>43018</v>
      </c>
      <c r="B2014">
        <v>55.42</v>
      </c>
      <c r="C2014">
        <v>55.41</v>
      </c>
    </row>
    <row r="2015" spans="1:3" x14ac:dyDescent="0.3">
      <c r="A2015" s="284">
        <v>43017</v>
      </c>
      <c r="B2015">
        <v>55.02</v>
      </c>
      <c r="C2015">
        <v>55.02</v>
      </c>
    </row>
    <row r="2016" spans="1:3" x14ac:dyDescent="0.3">
      <c r="A2016" s="284">
        <v>43014</v>
      </c>
      <c r="B2016">
        <v>55.17</v>
      </c>
      <c r="C2016">
        <v>55.16</v>
      </c>
    </row>
    <row r="2017" spans="1:3" x14ac:dyDescent="0.3">
      <c r="A2017" s="284">
        <v>43013</v>
      </c>
      <c r="B2017">
        <v>54.6</v>
      </c>
      <c r="C2017">
        <v>54.6</v>
      </c>
    </row>
    <row r="2018" spans="1:3" x14ac:dyDescent="0.3">
      <c r="A2018" s="284">
        <v>43012</v>
      </c>
      <c r="B2018">
        <v>53.93</v>
      </c>
      <c r="C2018">
        <v>53.92</v>
      </c>
    </row>
    <row r="2019" spans="1:3" x14ac:dyDescent="0.3">
      <c r="A2019" s="284">
        <v>43011</v>
      </c>
      <c r="B2019">
        <v>53.99</v>
      </c>
      <c r="C2019">
        <v>53.98</v>
      </c>
    </row>
    <row r="2020" spans="1:3" x14ac:dyDescent="0.3">
      <c r="A2020" s="284">
        <v>43010</v>
      </c>
      <c r="B2020">
        <v>53.81</v>
      </c>
      <c r="C2020">
        <v>53.8</v>
      </c>
    </row>
    <row r="2021" spans="1:3" x14ac:dyDescent="0.3">
      <c r="A2021" s="284">
        <v>43007</v>
      </c>
      <c r="B2021">
        <v>53.71</v>
      </c>
      <c r="C2021">
        <v>53.69</v>
      </c>
    </row>
    <row r="2022" spans="1:3" x14ac:dyDescent="0.3">
      <c r="A2022" s="284">
        <v>43006</v>
      </c>
      <c r="B2022">
        <v>54.5</v>
      </c>
      <c r="C2022">
        <v>54.48</v>
      </c>
    </row>
    <row r="2023" spans="1:3" x14ac:dyDescent="0.3">
      <c r="A2023" s="284">
        <v>43005</v>
      </c>
      <c r="B2023">
        <v>54.99</v>
      </c>
      <c r="C2023">
        <v>54.98</v>
      </c>
    </row>
    <row r="2024" spans="1:3" x14ac:dyDescent="0.3">
      <c r="A2024" s="284">
        <v>43004</v>
      </c>
      <c r="B2024">
        <v>55.13</v>
      </c>
      <c r="C2024">
        <v>55.14</v>
      </c>
    </row>
    <row r="2025" spans="1:3" x14ac:dyDescent="0.3">
      <c r="A2025" s="284">
        <v>43003</v>
      </c>
      <c r="B2025">
        <v>54.95</v>
      </c>
      <c r="C2025">
        <v>54.94</v>
      </c>
    </row>
    <row r="2026" spans="1:3" x14ac:dyDescent="0.3">
      <c r="A2026" s="284">
        <v>43000</v>
      </c>
      <c r="B2026">
        <v>55.09</v>
      </c>
      <c r="C2026">
        <v>55.07</v>
      </c>
    </row>
    <row r="2027" spans="1:3" x14ac:dyDescent="0.3">
      <c r="A2027" s="284">
        <v>42999</v>
      </c>
      <c r="B2027">
        <v>55.01</v>
      </c>
      <c r="C2027">
        <v>55</v>
      </c>
    </row>
    <row r="2028" spans="1:3" x14ac:dyDescent="0.3">
      <c r="A2028" s="284">
        <v>42998</v>
      </c>
      <c r="B2028">
        <v>55.15</v>
      </c>
      <c r="C2028">
        <v>55.14</v>
      </c>
    </row>
    <row r="2029" spans="1:3" x14ac:dyDescent="0.3">
      <c r="A2029" s="284">
        <v>42997</v>
      </c>
      <c r="B2029">
        <v>54.62</v>
      </c>
      <c r="C2029">
        <v>54.62</v>
      </c>
    </row>
    <row r="2030" spans="1:3" x14ac:dyDescent="0.3">
      <c r="A2030" s="284">
        <v>42996</v>
      </c>
      <c r="B2030">
        <v>54.69</v>
      </c>
      <c r="C2030">
        <v>54.68</v>
      </c>
    </row>
    <row r="2031" spans="1:3" x14ac:dyDescent="0.3">
      <c r="A2031" s="284">
        <v>42993</v>
      </c>
      <c r="B2031">
        <v>54.67</v>
      </c>
      <c r="C2031">
        <v>54.6</v>
      </c>
    </row>
    <row r="2032" spans="1:3" x14ac:dyDescent="0.3">
      <c r="A2032" s="284">
        <v>42992</v>
      </c>
      <c r="B2032">
        <v>54.53</v>
      </c>
      <c r="C2032">
        <v>54.52</v>
      </c>
    </row>
    <row r="2033" spans="1:3" x14ac:dyDescent="0.3">
      <c r="A2033" s="284">
        <v>42991</v>
      </c>
      <c r="B2033">
        <v>54.29</v>
      </c>
      <c r="C2033">
        <v>54.29</v>
      </c>
    </row>
    <row r="2034" spans="1:3" x14ac:dyDescent="0.3">
      <c r="A2034" s="284">
        <v>42990</v>
      </c>
      <c r="B2034">
        <v>53.54</v>
      </c>
      <c r="C2034">
        <v>53.53</v>
      </c>
    </row>
    <row r="2035" spans="1:3" x14ac:dyDescent="0.3">
      <c r="A2035" s="284">
        <v>42989</v>
      </c>
      <c r="B2035">
        <v>54.02</v>
      </c>
      <c r="C2035">
        <v>54.02</v>
      </c>
    </row>
    <row r="2036" spans="1:3" x14ac:dyDescent="0.3">
      <c r="A2036" s="284">
        <v>42986</v>
      </c>
      <c r="B2036">
        <v>53.49</v>
      </c>
      <c r="C2036">
        <v>53.5</v>
      </c>
    </row>
    <row r="2037" spans="1:3" x14ac:dyDescent="0.3">
      <c r="A2037" s="284">
        <v>42985</v>
      </c>
      <c r="B2037">
        <v>53.47</v>
      </c>
      <c r="C2037">
        <v>53.46</v>
      </c>
    </row>
    <row r="2038" spans="1:3" x14ac:dyDescent="0.3">
      <c r="A2038" s="284">
        <v>42984</v>
      </c>
      <c r="B2038">
        <v>54.31</v>
      </c>
      <c r="C2038">
        <v>54.3</v>
      </c>
    </row>
    <row r="2039" spans="1:3" x14ac:dyDescent="0.3">
      <c r="A2039" s="284">
        <v>42983</v>
      </c>
      <c r="B2039">
        <v>55.13</v>
      </c>
      <c r="C2039">
        <v>55.15</v>
      </c>
    </row>
    <row r="2040" spans="1:3" x14ac:dyDescent="0.3">
      <c r="A2040" s="284">
        <v>42979</v>
      </c>
      <c r="B2040">
        <v>54.93</v>
      </c>
      <c r="C2040">
        <v>54.92</v>
      </c>
    </row>
    <row r="2041" spans="1:3" x14ac:dyDescent="0.3">
      <c r="A2041" s="284">
        <v>42978</v>
      </c>
      <c r="B2041">
        <v>54.86</v>
      </c>
      <c r="C2041">
        <v>54.86</v>
      </c>
    </row>
    <row r="2042" spans="1:3" x14ac:dyDescent="0.3">
      <c r="A2042" s="284">
        <v>42977</v>
      </c>
      <c r="B2042">
        <v>54.52</v>
      </c>
      <c r="C2042">
        <v>54.51</v>
      </c>
    </row>
    <row r="2043" spans="1:3" x14ac:dyDescent="0.3">
      <c r="A2043" s="284">
        <v>42976</v>
      </c>
      <c r="B2043">
        <v>54.1</v>
      </c>
      <c r="C2043">
        <v>54.1</v>
      </c>
    </row>
    <row r="2044" spans="1:3" x14ac:dyDescent="0.3">
      <c r="A2044" s="284">
        <v>42975</v>
      </c>
      <c r="B2044">
        <v>54.4</v>
      </c>
      <c r="C2044">
        <v>54.39</v>
      </c>
    </row>
    <row r="2045" spans="1:3" x14ac:dyDescent="0.3">
      <c r="A2045" s="284">
        <v>42972</v>
      </c>
      <c r="B2045">
        <v>54.36</v>
      </c>
      <c r="C2045">
        <v>54.37</v>
      </c>
    </row>
    <row r="2046" spans="1:3" x14ac:dyDescent="0.3">
      <c r="A2046" s="284">
        <v>42971</v>
      </c>
      <c r="B2046">
        <v>53.94</v>
      </c>
      <c r="C2046">
        <v>53.95</v>
      </c>
    </row>
    <row r="2047" spans="1:3" x14ac:dyDescent="0.3">
      <c r="A2047" s="284">
        <v>42970</v>
      </c>
      <c r="B2047">
        <v>54.08</v>
      </c>
      <c r="C2047">
        <v>54.07</v>
      </c>
    </row>
    <row r="2048" spans="1:3" x14ac:dyDescent="0.3">
      <c r="A2048" s="284">
        <v>42969</v>
      </c>
      <c r="B2048">
        <v>54.45</v>
      </c>
      <c r="C2048">
        <v>54.45</v>
      </c>
    </row>
    <row r="2049" spans="1:3" x14ac:dyDescent="0.3">
      <c r="A2049" s="284">
        <v>42968</v>
      </c>
      <c r="B2049">
        <v>53.15</v>
      </c>
      <c r="C2049">
        <v>53.14</v>
      </c>
    </row>
    <row r="2050" spans="1:3" x14ac:dyDescent="0.3">
      <c r="A2050" s="284">
        <v>42965</v>
      </c>
      <c r="B2050">
        <v>52.7</v>
      </c>
      <c r="C2050">
        <v>52.7</v>
      </c>
    </row>
    <row r="2051" spans="1:3" x14ac:dyDescent="0.3">
      <c r="A2051" s="284">
        <v>42964</v>
      </c>
      <c r="B2051">
        <v>53.04</v>
      </c>
      <c r="C2051">
        <v>53.03</v>
      </c>
    </row>
    <row r="2052" spans="1:3" x14ac:dyDescent="0.3">
      <c r="A2052" s="284">
        <v>42963</v>
      </c>
      <c r="B2052">
        <v>53.5</v>
      </c>
      <c r="C2052">
        <v>53.51</v>
      </c>
    </row>
    <row r="2053" spans="1:3" x14ac:dyDescent="0.3">
      <c r="A2053" s="284">
        <v>42962</v>
      </c>
      <c r="B2053">
        <v>53.15</v>
      </c>
      <c r="C2053">
        <v>53.15</v>
      </c>
    </row>
    <row r="2054" spans="1:3" x14ac:dyDescent="0.3">
      <c r="A2054" s="284">
        <v>42961</v>
      </c>
      <c r="B2054">
        <v>53.22</v>
      </c>
      <c r="C2054">
        <v>53.22</v>
      </c>
    </row>
    <row r="2055" spans="1:3" x14ac:dyDescent="0.3">
      <c r="A2055" s="284">
        <v>42958</v>
      </c>
      <c r="B2055">
        <v>53.18</v>
      </c>
      <c r="C2055">
        <v>53.18</v>
      </c>
    </row>
    <row r="2056" spans="1:3" x14ac:dyDescent="0.3">
      <c r="A2056" s="284">
        <v>42957</v>
      </c>
      <c r="B2056">
        <v>53.07</v>
      </c>
      <c r="C2056">
        <v>53.06</v>
      </c>
    </row>
    <row r="2057" spans="1:3" x14ac:dyDescent="0.3">
      <c r="A2057" s="284">
        <v>42956</v>
      </c>
      <c r="B2057">
        <v>53.74</v>
      </c>
      <c r="C2057">
        <v>53.72</v>
      </c>
    </row>
    <row r="2058" spans="1:3" x14ac:dyDescent="0.3">
      <c r="A2058" s="284">
        <v>42955</v>
      </c>
      <c r="B2058">
        <v>54.52</v>
      </c>
      <c r="C2058">
        <v>54.51</v>
      </c>
    </row>
    <row r="2059" spans="1:3" x14ac:dyDescent="0.3">
      <c r="A2059" s="284">
        <v>42954</v>
      </c>
      <c r="B2059">
        <v>55.63</v>
      </c>
      <c r="C2059">
        <v>55.63</v>
      </c>
    </row>
    <row r="2060" spans="1:3" x14ac:dyDescent="0.3">
      <c r="A2060" s="284">
        <v>42951</v>
      </c>
      <c r="B2060">
        <v>55.44</v>
      </c>
      <c r="C2060">
        <v>55.42</v>
      </c>
    </row>
    <row r="2061" spans="1:3" x14ac:dyDescent="0.3">
      <c r="A2061" s="284">
        <v>42950</v>
      </c>
      <c r="B2061">
        <v>55.68</v>
      </c>
      <c r="C2061">
        <v>55.69</v>
      </c>
    </row>
    <row r="2062" spans="1:3" x14ac:dyDescent="0.3">
      <c r="A2062" s="284">
        <v>42949</v>
      </c>
      <c r="B2062">
        <v>55.43</v>
      </c>
      <c r="C2062">
        <v>55.42</v>
      </c>
    </row>
    <row r="2063" spans="1:3" x14ac:dyDescent="0.3">
      <c r="A2063" s="284">
        <v>42948</v>
      </c>
      <c r="B2063">
        <v>54.73</v>
      </c>
      <c r="C2063">
        <v>54.75</v>
      </c>
    </row>
    <row r="2064" spans="1:3" x14ac:dyDescent="0.3">
      <c r="A2064" s="284">
        <v>42947</v>
      </c>
      <c r="B2064">
        <v>53.98</v>
      </c>
      <c r="C2064">
        <v>53.99</v>
      </c>
    </row>
    <row r="2065" spans="1:3" x14ac:dyDescent="0.3">
      <c r="A2065" s="284">
        <v>42944</v>
      </c>
      <c r="B2065">
        <v>54</v>
      </c>
      <c r="C2065">
        <v>53.97</v>
      </c>
    </row>
    <row r="2066" spans="1:3" x14ac:dyDescent="0.3">
      <c r="A2066" s="284">
        <v>42943</v>
      </c>
      <c r="B2066">
        <v>59.5</v>
      </c>
      <c r="C2066">
        <v>59.59</v>
      </c>
    </row>
    <row r="2067" spans="1:3" x14ac:dyDescent="0.3">
      <c r="A2067" s="284">
        <v>42942</v>
      </c>
      <c r="B2067">
        <v>57.94</v>
      </c>
      <c r="C2067">
        <v>57.93</v>
      </c>
    </row>
    <row r="2068" spans="1:3" x14ac:dyDescent="0.3">
      <c r="A2068" s="284">
        <v>42941</v>
      </c>
      <c r="B2068">
        <v>58.55</v>
      </c>
      <c r="C2068">
        <v>58.55</v>
      </c>
    </row>
    <row r="2069" spans="1:3" x14ac:dyDescent="0.3">
      <c r="A2069" s="284">
        <v>42940</v>
      </c>
      <c r="B2069">
        <v>58.02</v>
      </c>
      <c r="C2069">
        <v>58.03</v>
      </c>
    </row>
    <row r="2070" spans="1:3" x14ac:dyDescent="0.3">
      <c r="A2070" s="284">
        <v>42937</v>
      </c>
      <c r="B2070">
        <v>57.98</v>
      </c>
      <c r="C2070">
        <v>57.97</v>
      </c>
    </row>
    <row r="2071" spans="1:3" x14ac:dyDescent="0.3">
      <c r="A2071" s="284">
        <v>42936</v>
      </c>
      <c r="B2071">
        <v>58.03</v>
      </c>
      <c r="C2071">
        <v>58.03</v>
      </c>
    </row>
    <row r="2072" spans="1:3" x14ac:dyDescent="0.3">
      <c r="A2072" s="284">
        <v>42935</v>
      </c>
      <c r="B2072">
        <v>58.11</v>
      </c>
      <c r="C2072">
        <v>58.1</v>
      </c>
    </row>
    <row r="2073" spans="1:3" x14ac:dyDescent="0.3">
      <c r="A2073" s="284">
        <v>42934</v>
      </c>
      <c r="B2073">
        <v>58.21</v>
      </c>
      <c r="C2073">
        <v>58.2</v>
      </c>
    </row>
    <row r="2074" spans="1:3" x14ac:dyDescent="0.3">
      <c r="A2074" s="284">
        <v>42933</v>
      </c>
      <c r="B2074">
        <v>58.33</v>
      </c>
      <c r="C2074">
        <v>58.32</v>
      </c>
    </row>
    <row r="2075" spans="1:3" x14ac:dyDescent="0.3">
      <c r="A2075" s="284">
        <v>42930</v>
      </c>
      <c r="B2075">
        <v>58.76</v>
      </c>
      <c r="C2075">
        <v>58.76</v>
      </c>
    </row>
    <row r="2076" spans="1:3" x14ac:dyDescent="0.3">
      <c r="A2076" s="284">
        <v>42929</v>
      </c>
      <c r="B2076">
        <v>58.38</v>
      </c>
      <c r="C2076">
        <v>58.37</v>
      </c>
    </row>
    <row r="2077" spans="1:3" x14ac:dyDescent="0.3">
      <c r="A2077" s="284">
        <v>42928</v>
      </c>
      <c r="B2077">
        <v>58.54</v>
      </c>
      <c r="C2077">
        <v>58.54</v>
      </c>
    </row>
    <row r="2078" spans="1:3" x14ac:dyDescent="0.3">
      <c r="A2078" s="284">
        <v>42927</v>
      </c>
      <c r="B2078">
        <v>57.9</v>
      </c>
      <c r="C2078">
        <v>57.9</v>
      </c>
    </row>
    <row r="2079" spans="1:3" x14ac:dyDescent="0.3">
      <c r="A2079" s="284">
        <v>42926</v>
      </c>
      <c r="B2079">
        <v>57.81</v>
      </c>
      <c r="C2079">
        <v>57.8</v>
      </c>
    </row>
    <row r="2080" spans="1:3" x14ac:dyDescent="0.3">
      <c r="A2080" s="284">
        <v>42923</v>
      </c>
      <c r="B2080">
        <v>58.04</v>
      </c>
      <c r="C2080">
        <v>58.04</v>
      </c>
    </row>
    <row r="2081" spans="1:3" x14ac:dyDescent="0.3">
      <c r="A2081" s="284">
        <v>42922</v>
      </c>
      <c r="B2081">
        <v>57.6</v>
      </c>
      <c r="C2081">
        <v>57.59</v>
      </c>
    </row>
    <row r="2082" spans="1:3" x14ac:dyDescent="0.3">
      <c r="A2082" s="284">
        <v>42921</v>
      </c>
      <c r="B2082">
        <v>57.94</v>
      </c>
      <c r="C2082">
        <v>57.93</v>
      </c>
    </row>
    <row r="2083" spans="1:3" x14ac:dyDescent="0.3">
      <c r="A2083" s="284">
        <v>42919</v>
      </c>
      <c r="B2083">
        <v>58.25</v>
      </c>
      <c r="C2083">
        <v>58.25</v>
      </c>
    </row>
    <row r="2084" spans="1:3" x14ac:dyDescent="0.3">
      <c r="A2084" s="284">
        <v>42916</v>
      </c>
      <c r="B2084">
        <v>58.31</v>
      </c>
      <c r="C2084">
        <v>58.31</v>
      </c>
    </row>
    <row r="2085" spans="1:3" x14ac:dyDescent="0.3">
      <c r="A2085" s="284">
        <v>42915</v>
      </c>
      <c r="B2085">
        <v>58.36</v>
      </c>
      <c r="C2085">
        <v>58.35</v>
      </c>
    </row>
    <row r="2086" spans="1:3" x14ac:dyDescent="0.3">
      <c r="A2086" s="284">
        <v>42914</v>
      </c>
      <c r="B2086">
        <v>59.18</v>
      </c>
      <c r="C2086">
        <v>59.17</v>
      </c>
    </row>
    <row r="2087" spans="1:3" x14ac:dyDescent="0.3">
      <c r="A2087" s="284">
        <v>42913</v>
      </c>
      <c r="B2087">
        <v>58.96</v>
      </c>
      <c r="C2087">
        <v>58.95</v>
      </c>
    </row>
    <row r="2088" spans="1:3" x14ac:dyDescent="0.3">
      <c r="A2088" s="284">
        <v>42912</v>
      </c>
      <c r="B2088">
        <v>59.64</v>
      </c>
      <c r="C2088">
        <v>59.62</v>
      </c>
    </row>
    <row r="2089" spans="1:3" x14ac:dyDescent="0.3">
      <c r="A2089" s="284">
        <v>42909</v>
      </c>
      <c r="B2089">
        <v>59.81</v>
      </c>
      <c r="C2089">
        <v>59.81</v>
      </c>
    </row>
    <row r="2090" spans="1:3" x14ac:dyDescent="0.3">
      <c r="A2090" s="284">
        <v>42908</v>
      </c>
      <c r="B2090">
        <v>59.51</v>
      </c>
      <c r="C2090">
        <v>59.5</v>
      </c>
    </row>
    <row r="2091" spans="1:3" x14ac:dyDescent="0.3">
      <c r="A2091" s="284">
        <v>42907</v>
      </c>
      <c r="B2091">
        <v>59.96</v>
      </c>
      <c r="C2091">
        <v>59.95</v>
      </c>
    </row>
    <row r="2092" spans="1:3" x14ac:dyDescent="0.3">
      <c r="A2092" s="284">
        <v>42906</v>
      </c>
      <c r="B2092">
        <v>59.86</v>
      </c>
      <c r="C2092">
        <v>59.84</v>
      </c>
    </row>
    <row r="2093" spans="1:3" x14ac:dyDescent="0.3">
      <c r="A2093" s="284">
        <v>42905</v>
      </c>
      <c r="B2093">
        <v>60.9</v>
      </c>
      <c r="C2093">
        <v>60.89</v>
      </c>
    </row>
    <row r="2094" spans="1:3" x14ac:dyDescent="0.3">
      <c r="A2094" s="284">
        <v>42902</v>
      </c>
      <c r="B2094">
        <v>60.14</v>
      </c>
      <c r="C2094">
        <v>60.14</v>
      </c>
    </row>
    <row r="2095" spans="1:3" x14ac:dyDescent="0.3">
      <c r="A2095" s="284">
        <v>42901</v>
      </c>
      <c r="B2095">
        <v>60.09</v>
      </c>
      <c r="C2095">
        <v>60.09</v>
      </c>
    </row>
    <row r="2096" spans="1:3" x14ac:dyDescent="0.3">
      <c r="A2096" s="284">
        <v>42900</v>
      </c>
      <c r="B2096">
        <v>60.27</v>
      </c>
      <c r="C2096">
        <v>60.26</v>
      </c>
    </row>
    <row r="2097" spans="1:3" x14ac:dyDescent="0.3">
      <c r="A2097" s="284">
        <v>42899</v>
      </c>
      <c r="B2097">
        <v>60.92</v>
      </c>
      <c r="C2097">
        <v>60.91</v>
      </c>
    </row>
    <row r="2098" spans="1:3" x14ac:dyDescent="0.3">
      <c r="A2098" s="284">
        <v>42898</v>
      </c>
      <c r="B2098">
        <v>61.29</v>
      </c>
      <c r="C2098">
        <v>61.28</v>
      </c>
    </row>
    <row r="2099" spans="1:3" x14ac:dyDescent="0.3">
      <c r="A2099" s="284">
        <v>42895</v>
      </c>
      <c r="B2099">
        <v>62.19</v>
      </c>
      <c r="C2099">
        <v>62.18</v>
      </c>
    </row>
    <row r="2100" spans="1:3" x14ac:dyDescent="0.3">
      <c r="A2100" s="284">
        <v>42894</v>
      </c>
      <c r="B2100">
        <v>62.24</v>
      </c>
      <c r="C2100">
        <v>62.23</v>
      </c>
    </row>
    <row r="2101" spans="1:3" x14ac:dyDescent="0.3">
      <c r="A2101" s="284">
        <v>42893</v>
      </c>
      <c r="B2101">
        <v>63.5</v>
      </c>
      <c r="C2101">
        <v>63.49</v>
      </c>
    </row>
    <row r="2102" spans="1:3" x14ac:dyDescent="0.3">
      <c r="A2102" s="284">
        <v>42892</v>
      </c>
      <c r="B2102">
        <v>64.16</v>
      </c>
      <c r="C2102">
        <v>64.16</v>
      </c>
    </row>
    <row r="2103" spans="1:3" x14ac:dyDescent="0.3">
      <c r="A2103" s="284">
        <v>42891</v>
      </c>
      <c r="B2103">
        <v>64.27</v>
      </c>
      <c r="C2103">
        <v>64.260000000000005</v>
      </c>
    </row>
    <row r="2104" spans="1:3" x14ac:dyDescent="0.3">
      <c r="A2104" s="284">
        <v>42888</v>
      </c>
      <c r="B2104">
        <v>64.569999999999993</v>
      </c>
      <c r="C2104">
        <v>64.56</v>
      </c>
    </row>
    <row r="2105" spans="1:3" x14ac:dyDescent="0.3">
      <c r="A2105" s="284">
        <v>42887</v>
      </c>
      <c r="B2105">
        <v>63.75</v>
      </c>
      <c r="C2105">
        <v>63.74</v>
      </c>
    </row>
    <row r="2106" spans="1:3" x14ac:dyDescent="0.3">
      <c r="A2106" s="284">
        <v>42886</v>
      </c>
      <c r="B2106">
        <v>63.61</v>
      </c>
      <c r="C2106">
        <v>63.6</v>
      </c>
    </row>
    <row r="2107" spans="1:3" x14ac:dyDescent="0.3">
      <c r="A2107" s="284">
        <v>42885</v>
      </c>
      <c r="B2107">
        <v>63.26</v>
      </c>
      <c r="C2107">
        <v>63.25</v>
      </c>
    </row>
    <row r="2108" spans="1:3" x14ac:dyDescent="0.3">
      <c r="A2108" s="284">
        <v>42881</v>
      </c>
      <c r="B2108">
        <v>63.3</v>
      </c>
      <c r="C2108">
        <v>63.3</v>
      </c>
    </row>
    <row r="2109" spans="1:3" x14ac:dyDescent="0.3">
      <c r="A2109" s="284">
        <v>42880</v>
      </c>
      <c r="B2109">
        <v>62.9</v>
      </c>
      <c r="C2109">
        <v>62.9</v>
      </c>
    </row>
    <row r="2110" spans="1:3" x14ac:dyDescent="0.3">
      <c r="A2110" s="284">
        <v>42879</v>
      </c>
      <c r="B2110">
        <v>61.89</v>
      </c>
      <c r="C2110">
        <v>61.89</v>
      </c>
    </row>
    <row r="2111" spans="1:3" x14ac:dyDescent="0.3">
      <c r="A2111" s="284">
        <v>42878</v>
      </c>
      <c r="B2111">
        <v>61.15</v>
      </c>
      <c r="C2111">
        <v>61.14</v>
      </c>
    </row>
    <row r="2112" spans="1:3" x14ac:dyDescent="0.3">
      <c r="A2112" s="284">
        <v>42877</v>
      </c>
      <c r="B2112">
        <v>61.23</v>
      </c>
      <c r="C2112">
        <v>61.22</v>
      </c>
    </row>
    <row r="2113" spans="1:3" x14ac:dyDescent="0.3">
      <c r="A2113" s="284">
        <v>42874</v>
      </c>
      <c r="B2113">
        <v>61.36</v>
      </c>
      <c r="C2113">
        <v>61.35</v>
      </c>
    </row>
    <row r="2114" spans="1:3" x14ac:dyDescent="0.3">
      <c r="A2114" s="284">
        <v>42873</v>
      </c>
      <c r="B2114">
        <v>59.82</v>
      </c>
      <c r="C2114">
        <v>59.8</v>
      </c>
    </row>
    <row r="2115" spans="1:3" x14ac:dyDescent="0.3">
      <c r="A2115" s="284">
        <v>42872</v>
      </c>
      <c r="B2115">
        <v>59.73</v>
      </c>
      <c r="C2115">
        <v>59.73</v>
      </c>
    </row>
    <row r="2116" spans="1:3" x14ac:dyDescent="0.3">
      <c r="A2116" s="284">
        <v>42871</v>
      </c>
      <c r="B2116">
        <v>59.98</v>
      </c>
      <c r="C2116">
        <v>59.97</v>
      </c>
    </row>
    <row r="2117" spans="1:3" x14ac:dyDescent="0.3">
      <c r="A2117" s="284">
        <v>42870</v>
      </c>
      <c r="B2117">
        <v>60.45</v>
      </c>
      <c r="C2117">
        <v>60.44</v>
      </c>
    </row>
    <row r="2118" spans="1:3" x14ac:dyDescent="0.3">
      <c r="A2118" s="284">
        <v>42867</v>
      </c>
      <c r="B2118">
        <v>59.93</v>
      </c>
      <c r="C2118">
        <v>59.92</v>
      </c>
    </row>
    <row r="2119" spans="1:3" x14ac:dyDescent="0.3">
      <c r="A2119" s="284">
        <v>42866</v>
      </c>
      <c r="B2119">
        <v>60.27</v>
      </c>
      <c r="C2119">
        <v>60.26</v>
      </c>
    </row>
    <row r="2120" spans="1:3" x14ac:dyDescent="0.3">
      <c r="A2120" s="284">
        <v>42865</v>
      </c>
      <c r="B2120">
        <v>60.66</v>
      </c>
      <c r="C2120">
        <v>60.65</v>
      </c>
    </row>
    <row r="2121" spans="1:3" x14ac:dyDescent="0.3">
      <c r="A2121" s="284">
        <v>42864</v>
      </c>
      <c r="B2121">
        <v>60.98</v>
      </c>
      <c r="C2121">
        <v>60.97</v>
      </c>
    </row>
    <row r="2122" spans="1:3" x14ac:dyDescent="0.3">
      <c r="A2122" s="284">
        <v>42863</v>
      </c>
      <c r="B2122">
        <v>60.94</v>
      </c>
      <c r="C2122">
        <v>60.93</v>
      </c>
    </row>
    <row r="2123" spans="1:3" x14ac:dyDescent="0.3">
      <c r="A2123" s="284">
        <v>42860</v>
      </c>
      <c r="B2123">
        <v>60.95</v>
      </c>
      <c r="C2123">
        <v>60.93</v>
      </c>
    </row>
    <row r="2124" spans="1:3" x14ac:dyDescent="0.3">
      <c r="A2124" s="284">
        <v>42859</v>
      </c>
      <c r="B2124">
        <v>60.83</v>
      </c>
      <c r="C2124">
        <v>60.82</v>
      </c>
    </row>
    <row r="2125" spans="1:3" x14ac:dyDescent="0.3">
      <c r="A2125" s="284">
        <v>42858</v>
      </c>
      <c r="B2125">
        <v>60.59</v>
      </c>
      <c r="C2125">
        <v>60.58</v>
      </c>
    </row>
    <row r="2126" spans="1:3" x14ac:dyDescent="0.3">
      <c r="A2126" s="284">
        <v>42857</v>
      </c>
      <c r="B2126">
        <v>60.5</v>
      </c>
      <c r="C2126">
        <v>60.48</v>
      </c>
    </row>
    <row r="2127" spans="1:3" x14ac:dyDescent="0.3">
      <c r="A2127" s="284">
        <v>42856</v>
      </c>
      <c r="B2127">
        <v>60.18</v>
      </c>
      <c r="C2127">
        <v>60.17</v>
      </c>
    </row>
    <row r="2128" spans="1:3" x14ac:dyDescent="0.3">
      <c r="A2128" s="284">
        <v>42853</v>
      </c>
      <c r="B2128">
        <v>60.06</v>
      </c>
      <c r="C2128">
        <v>60.05</v>
      </c>
    </row>
    <row r="2129" spans="1:3" x14ac:dyDescent="0.3">
      <c r="A2129" s="284">
        <v>42852</v>
      </c>
      <c r="B2129">
        <v>61.3</v>
      </c>
      <c r="C2129">
        <v>61.3</v>
      </c>
    </row>
    <row r="2130" spans="1:3" x14ac:dyDescent="0.3">
      <c r="A2130" s="284">
        <v>42851</v>
      </c>
      <c r="B2130">
        <v>61.56</v>
      </c>
      <c r="C2130">
        <v>61.56</v>
      </c>
    </row>
    <row r="2131" spans="1:3" x14ac:dyDescent="0.3">
      <c r="A2131" s="284">
        <v>42850</v>
      </c>
      <c r="B2131">
        <v>60.96</v>
      </c>
      <c r="C2131">
        <v>60.95</v>
      </c>
    </row>
    <row r="2132" spans="1:3" x14ac:dyDescent="0.3">
      <c r="A2132" s="284">
        <v>42849</v>
      </c>
      <c r="B2132">
        <v>61.11</v>
      </c>
      <c r="C2132">
        <v>61.1</v>
      </c>
    </row>
    <row r="2133" spans="1:3" x14ac:dyDescent="0.3">
      <c r="A2133" s="284">
        <v>42846</v>
      </c>
      <c r="B2133">
        <v>60.61</v>
      </c>
      <c r="C2133">
        <v>60.61</v>
      </c>
    </row>
    <row r="2134" spans="1:3" x14ac:dyDescent="0.3">
      <c r="A2134" s="284">
        <v>42845</v>
      </c>
      <c r="B2134">
        <v>60.08</v>
      </c>
      <c r="C2134">
        <v>60.09</v>
      </c>
    </row>
    <row r="2135" spans="1:3" x14ac:dyDescent="0.3">
      <c r="A2135" s="284">
        <v>42844</v>
      </c>
      <c r="B2135">
        <v>59.04</v>
      </c>
      <c r="C2135">
        <v>59.04</v>
      </c>
    </row>
    <row r="2136" spans="1:3" x14ac:dyDescent="0.3">
      <c r="A2136" s="284">
        <v>42843</v>
      </c>
      <c r="B2136">
        <v>58.35</v>
      </c>
      <c r="C2136">
        <v>58.34</v>
      </c>
    </row>
    <row r="2137" spans="1:3" x14ac:dyDescent="0.3">
      <c r="A2137" s="284">
        <v>42842</v>
      </c>
      <c r="B2137">
        <v>58.08</v>
      </c>
      <c r="C2137">
        <v>58.07</v>
      </c>
    </row>
    <row r="2138" spans="1:3" x14ac:dyDescent="0.3">
      <c r="A2138" s="284">
        <v>42838</v>
      </c>
      <c r="B2138">
        <v>57.51</v>
      </c>
      <c r="C2138">
        <v>57.5</v>
      </c>
    </row>
    <row r="2139" spans="1:3" x14ac:dyDescent="0.3">
      <c r="A2139" s="284">
        <v>42837</v>
      </c>
      <c r="B2139">
        <v>57.58</v>
      </c>
      <c r="C2139">
        <v>57.58</v>
      </c>
    </row>
    <row r="2140" spans="1:3" x14ac:dyDescent="0.3">
      <c r="A2140" s="284">
        <v>42836</v>
      </c>
      <c r="B2140">
        <v>57.88</v>
      </c>
      <c r="C2140">
        <v>57.87</v>
      </c>
    </row>
    <row r="2141" spans="1:3" x14ac:dyDescent="0.3">
      <c r="A2141" s="284">
        <v>42835</v>
      </c>
      <c r="B2141">
        <v>57.95</v>
      </c>
      <c r="C2141">
        <v>57.95</v>
      </c>
    </row>
    <row r="2142" spans="1:3" x14ac:dyDescent="0.3">
      <c r="A2142" s="284">
        <v>42832</v>
      </c>
      <c r="B2142">
        <v>58.02</v>
      </c>
      <c r="C2142">
        <v>58.03</v>
      </c>
    </row>
    <row r="2143" spans="1:3" x14ac:dyDescent="0.3">
      <c r="A2143" s="284">
        <v>42831</v>
      </c>
      <c r="B2143">
        <v>57.92</v>
      </c>
      <c r="C2143">
        <v>57.92</v>
      </c>
    </row>
    <row r="2144" spans="1:3" x14ac:dyDescent="0.3">
      <c r="A2144" s="284">
        <v>42830</v>
      </c>
      <c r="B2144">
        <v>58.22</v>
      </c>
      <c r="C2144">
        <v>58.22</v>
      </c>
    </row>
    <row r="2145" spans="1:3" x14ac:dyDescent="0.3">
      <c r="A2145" s="284">
        <v>42829</v>
      </c>
      <c r="B2145">
        <v>58.32</v>
      </c>
      <c r="C2145">
        <v>58.31</v>
      </c>
    </row>
    <row r="2146" spans="1:3" x14ac:dyDescent="0.3">
      <c r="A2146" s="284">
        <v>42828</v>
      </c>
      <c r="B2146">
        <v>58.44</v>
      </c>
      <c r="C2146">
        <v>58.42</v>
      </c>
    </row>
    <row r="2147" spans="1:3" x14ac:dyDescent="0.3">
      <c r="A2147" s="284">
        <v>42825</v>
      </c>
      <c r="B2147">
        <v>58.39</v>
      </c>
      <c r="C2147">
        <v>58.39</v>
      </c>
    </row>
    <row r="2148" spans="1:3" x14ac:dyDescent="0.3">
      <c r="A2148" s="284">
        <v>42824</v>
      </c>
      <c r="B2148">
        <v>58.16</v>
      </c>
      <c r="C2148">
        <v>58.17</v>
      </c>
    </row>
    <row r="2149" spans="1:3" x14ac:dyDescent="0.3">
      <c r="A2149" s="284">
        <v>42823</v>
      </c>
      <c r="B2149">
        <v>57.54</v>
      </c>
      <c r="C2149">
        <v>57.53</v>
      </c>
    </row>
    <row r="2150" spans="1:3" x14ac:dyDescent="0.3">
      <c r="A2150" s="284">
        <v>42822</v>
      </c>
      <c r="B2150">
        <v>57.35</v>
      </c>
      <c r="C2150">
        <v>57.35</v>
      </c>
    </row>
    <row r="2151" spans="1:3" x14ac:dyDescent="0.3">
      <c r="A2151" s="284">
        <v>42821</v>
      </c>
      <c r="B2151">
        <v>57.23</v>
      </c>
      <c r="C2151">
        <v>57.22</v>
      </c>
    </row>
    <row r="2152" spans="1:3" x14ac:dyDescent="0.3">
      <c r="A2152" s="284">
        <v>42818</v>
      </c>
      <c r="B2152">
        <v>56.81</v>
      </c>
      <c r="C2152">
        <v>56.81</v>
      </c>
    </row>
    <row r="2153" spans="1:3" x14ac:dyDescent="0.3">
      <c r="A2153" s="284">
        <v>42817</v>
      </c>
      <c r="B2153">
        <v>55.85</v>
      </c>
      <c r="C2153">
        <v>55.85</v>
      </c>
    </row>
    <row r="2154" spans="1:3" x14ac:dyDescent="0.3">
      <c r="A2154" s="284">
        <v>42816</v>
      </c>
      <c r="B2154">
        <v>55.89</v>
      </c>
      <c r="C2154">
        <v>55.88</v>
      </c>
    </row>
    <row r="2155" spans="1:3" x14ac:dyDescent="0.3">
      <c r="A2155" s="284">
        <v>42815</v>
      </c>
      <c r="B2155">
        <v>55.54</v>
      </c>
      <c r="C2155">
        <v>55.54</v>
      </c>
    </row>
    <row r="2156" spans="1:3" x14ac:dyDescent="0.3">
      <c r="A2156" s="284">
        <v>42814</v>
      </c>
      <c r="B2156">
        <v>55.81</v>
      </c>
      <c r="C2156">
        <v>55.8</v>
      </c>
    </row>
    <row r="2157" spans="1:3" x14ac:dyDescent="0.3">
      <c r="A2157" s="284">
        <v>42811</v>
      </c>
      <c r="B2157">
        <v>55.78</v>
      </c>
      <c r="C2157">
        <v>55.79</v>
      </c>
    </row>
    <row r="2158" spans="1:3" x14ac:dyDescent="0.3">
      <c r="A2158" s="284">
        <v>42810</v>
      </c>
      <c r="B2158">
        <v>54.8</v>
      </c>
      <c r="C2158">
        <v>54.8</v>
      </c>
    </row>
    <row r="2159" spans="1:3" x14ac:dyDescent="0.3">
      <c r="A2159" s="284">
        <v>42809</v>
      </c>
      <c r="B2159">
        <v>54.54</v>
      </c>
      <c r="C2159">
        <v>54.52</v>
      </c>
    </row>
    <row r="2160" spans="1:3" x14ac:dyDescent="0.3">
      <c r="A2160" s="284">
        <v>42808</v>
      </c>
      <c r="B2160">
        <v>54.27</v>
      </c>
      <c r="C2160">
        <v>54.26</v>
      </c>
    </row>
    <row r="2161" spans="1:3" x14ac:dyDescent="0.3">
      <c r="A2161" s="284">
        <v>42807</v>
      </c>
      <c r="B2161">
        <v>54.63</v>
      </c>
      <c r="C2161">
        <v>54.61</v>
      </c>
    </row>
    <row r="2162" spans="1:3" x14ac:dyDescent="0.3">
      <c r="A2162" s="284">
        <v>42804</v>
      </c>
      <c r="B2162">
        <v>54.53</v>
      </c>
      <c r="C2162">
        <v>54.53</v>
      </c>
    </row>
    <row r="2163" spans="1:3" x14ac:dyDescent="0.3">
      <c r="A2163" s="284">
        <v>42803</v>
      </c>
      <c r="B2163">
        <v>55.19</v>
      </c>
      <c r="C2163">
        <v>55.18</v>
      </c>
    </row>
    <row r="2164" spans="1:3" x14ac:dyDescent="0.3">
      <c r="A2164" s="284">
        <v>42802</v>
      </c>
      <c r="B2164">
        <v>55.74</v>
      </c>
      <c r="C2164">
        <v>55.73</v>
      </c>
    </row>
    <row r="2165" spans="1:3" x14ac:dyDescent="0.3">
      <c r="A2165" s="284">
        <v>42801</v>
      </c>
      <c r="B2165">
        <v>56.2</v>
      </c>
      <c r="C2165">
        <v>56.19</v>
      </c>
    </row>
    <row r="2166" spans="1:3" x14ac:dyDescent="0.3">
      <c r="A2166" s="284">
        <v>42800</v>
      </c>
      <c r="B2166">
        <v>56.68</v>
      </c>
      <c r="C2166">
        <v>56.67</v>
      </c>
    </row>
    <row r="2167" spans="1:3" x14ac:dyDescent="0.3">
      <c r="A2167" s="284">
        <v>42797</v>
      </c>
      <c r="B2167">
        <v>57.1</v>
      </c>
      <c r="C2167">
        <v>57.09</v>
      </c>
    </row>
    <row r="2168" spans="1:3" x14ac:dyDescent="0.3">
      <c r="A2168" s="284">
        <v>42796</v>
      </c>
      <c r="B2168">
        <v>57.12</v>
      </c>
      <c r="C2168">
        <v>57.11</v>
      </c>
    </row>
    <row r="2169" spans="1:3" x14ac:dyDescent="0.3">
      <c r="A2169" s="284">
        <v>42795</v>
      </c>
      <c r="B2169">
        <v>57.14</v>
      </c>
      <c r="C2169">
        <v>57.12</v>
      </c>
    </row>
    <row r="2170" spans="1:3" x14ac:dyDescent="0.3">
      <c r="A2170" s="284">
        <v>42794</v>
      </c>
      <c r="B2170">
        <v>56.87</v>
      </c>
      <c r="C2170">
        <v>56.87</v>
      </c>
    </row>
    <row r="2171" spans="1:3" x14ac:dyDescent="0.3">
      <c r="A2171" s="284">
        <v>42793</v>
      </c>
      <c r="B2171">
        <v>56.78</v>
      </c>
      <c r="C2171">
        <v>56.77</v>
      </c>
    </row>
    <row r="2172" spans="1:3" x14ac:dyDescent="0.3">
      <c r="A2172" s="284">
        <v>42790</v>
      </c>
      <c r="B2172">
        <v>57.48</v>
      </c>
      <c r="C2172">
        <v>57.47</v>
      </c>
    </row>
    <row r="2173" spans="1:3" x14ac:dyDescent="0.3">
      <c r="A2173" s="284">
        <v>42789</v>
      </c>
      <c r="B2173">
        <v>57.64</v>
      </c>
      <c r="C2173">
        <v>57.63</v>
      </c>
    </row>
    <row r="2174" spans="1:3" x14ac:dyDescent="0.3">
      <c r="A2174" s="284">
        <v>42788</v>
      </c>
      <c r="B2174">
        <v>57.57</v>
      </c>
      <c r="C2174">
        <v>57.56</v>
      </c>
    </row>
    <row r="2175" spans="1:3" x14ac:dyDescent="0.3">
      <c r="A2175" s="284">
        <v>42787</v>
      </c>
      <c r="B2175">
        <v>57.54</v>
      </c>
      <c r="C2175">
        <v>57.54</v>
      </c>
    </row>
    <row r="2176" spans="1:3" x14ac:dyDescent="0.3">
      <c r="A2176" s="284">
        <v>42783</v>
      </c>
      <c r="B2176">
        <v>57.35</v>
      </c>
      <c r="C2176">
        <v>57.34</v>
      </c>
    </row>
    <row r="2177" spans="1:3" x14ac:dyDescent="0.3">
      <c r="A2177" s="284">
        <v>42782</v>
      </c>
      <c r="B2177">
        <v>56.73</v>
      </c>
      <c r="C2177">
        <v>56.73</v>
      </c>
    </row>
    <row r="2178" spans="1:3" x14ac:dyDescent="0.3">
      <c r="A2178" s="284">
        <v>42781</v>
      </c>
      <c r="B2178">
        <v>56.86</v>
      </c>
      <c r="C2178">
        <v>56.85</v>
      </c>
    </row>
    <row r="2179" spans="1:3" x14ac:dyDescent="0.3">
      <c r="A2179" s="284">
        <v>42780</v>
      </c>
      <c r="B2179">
        <v>56.58</v>
      </c>
      <c r="C2179">
        <v>56.59</v>
      </c>
    </row>
    <row r="2180" spans="1:3" x14ac:dyDescent="0.3">
      <c r="A2180" s="284">
        <v>42779</v>
      </c>
      <c r="B2180">
        <v>56.11</v>
      </c>
      <c r="C2180">
        <v>56.1</v>
      </c>
    </row>
    <row r="2181" spans="1:3" x14ac:dyDescent="0.3">
      <c r="A2181" s="284">
        <v>42776</v>
      </c>
      <c r="B2181">
        <v>56.22</v>
      </c>
      <c r="C2181">
        <v>56.21</v>
      </c>
    </row>
    <row r="2182" spans="1:3" x14ac:dyDescent="0.3">
      <c r="A2182" s="284">
        <v>42775</v>
      </c>
      <c r="B2182">
        <v>55.81</v>
      </c>
      <c r="C2182">
        <v>55.81</v>
      </c>
    </row>
    <row r="2183" spans="1:3" x14ac:dyDescent="0.3">
      <c r="A2183" s="284">
        <v>42774</v>
      </c>
      <c r="B2183">
        <v>55.22</v>
      </c>
      <c r="C2183">
        <v>55.21</v>
      </c>
    </row>
    <row r="2184" spans="1:3" x14ac:dyDescent="0.3">
      <c r="A2184" s="284">
        <v>42773</v>
      </c>
      <c r="B2184">
        <v>55.24</v>
      </c>
      <c r="C2184">
        <v>55.24</v>
      </c>
    </row>
    <row r="2185" spans="1:3" x14ac:dyDescent="0.3">
      <c r="A2185" s="284">
        <v>42772</v>
      </c>
      <c r="B2185">
        <v>55.73</v>
      </c>
      <c r="C2185">
        <v>55.73</v>
      </c>
    </row>
    <row r="2186" spans="1:3" x14ac:dyDescent="0.3">
      <c r="A2186" s="284">
        <v>42769</v>
      </c>
      <c r="B2186">
        <v>55.06</v>
      </c>
      <c r="C2186">
        <v>55.04</v>
      </c>
    </row>
    <row r="2187" spans="1:3" x14ac:dyDescent="0.3">
      <c r="A2187" s="284">
        <v>42768</v>
      </c>
      <c r="B2187">
        <v>53.87</v>
      </c>
      <c r="C2187">
        <v>53.85</v>
      </c>
    </row>
    <row r="2188" spans="1:3" x14ac:dyDescent="0.3">
      <c r="A2188" s="284">
        <v>42767</v>
      </c>
      <c r="B2188">
        <v>53.9</v>
      </c>
      <c r="C2188">
        <v>53.88</v>
      </c>
    </row>
    <row r="2189" spans="1:3" x14ac:dyDescent="0.3">
      <c r="A2189" s="284">
        <v>42766</v>
      </c>
      <c r="B2189">
        <v>55.22</v>
      </c>
      <c r="C2189">
        <v>55.21</v>
      </c>
    </row>
    <row r="2190" spans="1:3" x14ac:dyDescent="0.3">
      <c r="A2190" s="284">
        <v>42765</v>
      </c>
      <c r="B2190">
        <v>55.9</v>
      </c>
      <c r="C2190">
        <v>55.88</v>
      </c>
    </row>
    <row r="2191" spans="1:3" x14ac:dyDescent="0.3">
      <c r="A2191" s="284">
        <v>42762</v>
      </c>
      <c r="B2191">
        <v>56.12</v>
      </c>
      <c r="C2191">
        <v>56.12</v>
      </c>
    </row>
    <row r="2192" spans="1:3" x14ac:dyDescent="0.3">
      <c r="A2192" s="284">
        <v>42761</v>
      </c>
      <c r="B2192">
        <v>58.46</v>
      </c>
      <c r="C2192">
        <v>58.45</v>
      </c>
    </row>
    <row r="2193" spans="1:3" x14ac:dyDescent="0.3">
      <c r="A2193" s="284">
        <v>42760</v>
      </c>
      <c r="B2193">
        <v>58.7</v>
      </c>
      <c r="C2193">
        <v>58.69</v>
      </c>
    </row>
    <row r="2194" spans="1:3" x14ac:dyDescent="0.3">
      <c r="A2194" s="284">
        <v>42759</v>
      </c>
      <c r="B2194">
        <v>58.44</v>
      </c>
      <c r="C2194">
        <v>58.43</v>
      </c>
    </row>
    <row r="2195" spans="1:3" x14ac:dyDescent="0.3">
      <c r="A2195" s="284">
        <v>42758</v>
      </c>
      <c r="B2195">
        <v>57.76</v>
      </c>
      <c r="C2195">
        <v>57.75</v>
      </c>
    </row>
    <row r="2196" spans="1:3" x14ac:dyDescent="0.3">
      <c r="A2196" s="284">
        <v>42755</v>
      </c>
      <c r="B2196">
        <v>57.66</v>
      </c>
      <c r="C2196">
        <v>57.65</v>
      </c>
    </row>
    <row r="2197" spans="1:3" x14ac:dyDescent="0.3">
      <c r="A2197" s="284">
        <v>42754</v>
      </c>
      <c r="B2197">
        <v>57.89</v>
      </c>
      <c r="C2197">
        <v>57.88</v>
      </c>
    </row>
    <row r="2198" spans="1:3" x14ac:dyDescent="0.3">
      <c r="A2198" s="284">
        <v>42753</v>
      </c>
      <c r="B2198">
        <v>58.45</v>
      </c>
      <c r="C2198">
        <v>58.44</v>
      </c>
    </row>
    <row r="2199" spans="1:3" x14ac:dyDescent="0.3">
      <c r="A2199" s="284">
        <v>42752</v>
      </c>
      <c r="B2199">
        <v>58</v>
      </c>
      <c r="C2199">
        <v>57.98</v>
      </c>
    </row>
    <row r="2200" spans="1:3" x14ac:dyDescent="0.3">
      <c r="A2200" s="284">
        <v>42748</v>
      </c>
      <c r="B2200">
        <v>57.85</v>
      </c>
      <c r="C2200">
        <v>57.84</v>
      </c>
    </row>
    <row r="2201" spans="1:3" x14ac:dyDescent="0.3">
      <c r="A2201" s="284">
        <v>42747</v>
      </c>
      <c r="B2201">
        <v>58.03</v>
      </c>
      <c r="C2201">
        <v>58.02</v>
      </c>
    </row>
    <row r="2202" spans="1:3" x14ac:dyDescent="0.3">
      <c r="A2202" s="284">
        <v>42746</v>
      </c>
      <c r="B2202">
        <v>58.1</v>
      </c>
      <c r="C2202">
        <v>58.08</v>
      </c>
    </row>
    <row r="2203" spans="1:3" x14ac:dyDescent="0.3">
      <c r="A2203" s="284">
        <v>42745</v>
      </c>
      <c r="B2203">
        <v>57.88</v>
      </c>
      <c r="C2203">
        <v>57.88</v>
      </c>
    </row>
    <row r="2204" spans="1:3" x14ac:dyDescent="0.3">
      <c r="A2204" s="284">
        <v>42744</v>
      </c>
      <c r="B2204">
        <v>58.2</v>
      </c>
      <c r="C2204">
        <v>58.2</v>
      </c>
    </row>
    <row r="2205" spans="1:3" x14ac:dyDescent="0.3">
      <c r="A2205" s="284">
        <v>42741</v>
      </c>
      <c r="B2205">
        <v>57.13</v>
      </c>
      <c r="C2205">
        <v>57.12</v>
      </c>
    </row>
    <row r="2206" spans="1:3" x14ac:dyDescent="0.3">
      <c r="A2206" s="284">
        <v>42740</v>
      </c>
      <c r="B2206">
        <v>56.46</v>
      </c>
      <c r="C2206">
        <v>56.45</v>
      </c>
    </row>
    <row r="2207" spans="1:3" x14ac:dyDescent="0.3">
      <c r="A2207" s="284">
        <v>42739</v>
      </c>
      <c r="B2207">
        <v>55.99</v>
      </c>
      <c r="C2207">
        <v>55.97</v>
      </c>
    </row>
    <row r="2208" spans="1:3" x14ac:dyDescent="0.3">
      <c r="A2208" s="284">
        <v>42738</v>
      </c>
      <c r="B2208">
        <v>55.35</v>
      </c>
      <c r="C2208">
        <v>55.33</v>
      </c>
    </row>
    <row r="2209" spans="1:3" x14ac:dyDescent="0.3">
      <c r="A2209" s="284">
        <v>42734</v>
      </c>
      <c r="B2209">
        <v>55.52</v>
      </c>
      <c r="C2209">
        <v>55.52</v>
      </c>
    </row>
    <row r="2210" spans="1:3" x14ac:dyDescent="0.3">
      <c r="A2210" s="284">
        <v>42733</v>
      </c>
      <c r="B2210">
        <v>56.32</v>
      </c>
      <c r="C2210">
        <v>56.31</v>
      </c>
    </row>
    <row r="2211" spans="1:3" x14ac:dyDescent="0.3">
      <c r="A2211" s="284">
        <v>42732</v>
      </c>
      <c r="B2211">
        <v>56.35</v>
      </c>
      <c r="C2211">
        <v>56.33</v>
      </c>
    </row>
    <row r="2212" spans="1:3" x14ac:dyDescent="0.3">
      <c r="A2212" s="284">
        <v>42731</v>
      </c>
      <c r="B2212">
        <v>56.86</v>
      </c>
      <c r="C2212">
        <v>56.85</v>
      </c>
    </row>
    <row r="2213" spans="1:3" x14ac:dyDescent="0.3">
      <c r="A2213" s="284">
        <v>42727</v>
      </c>
      <c r="B2213">
        <v>57.01</v>
      </c>
      <c r="C2213">
        <v>57</v>
      </c>
    </row>
    <row r="2214" spans="1:3" x14ac:dyDescent="0.3">
      <c r="A2214" s="284">
        <v>42726</v>
      </c>
      <c r="B2214">
        <v>57.11</v>
      </c>
      <c r="C2214">
        <v>57.1</v>
      </c>
    </row>
    <row r="2215" spans="1:3" x14ac:dyDescent="0.3">
      <c r="A2215" s="284">
        <v>42725</v>
      </c>
      <c r="B2215">
        <v>57.44</v>
      </c>
      <c r="C2215">
        <v>57.43</v>
      </c>
    </row>
    <row r="2216" spans="1:3" x14ac:dyDescent="0.3">
      <c r="A2216" s="284">
        <v>42724</v>
      </c>
      <c r="B2216">
        <v>57.7</v>
      </c>
      <c r="C2216">
        <v>57.69</v>
      </c>
    </row>
    <row r="2217" spans="1:3" x14ac:dyDescent="0.3">
      <c r="A2217" s="284">
        <v>42723</v>
      </c>
      <c r="B2217">
        <v>57.65</v>
      </c>
      <c r="C2217">
        <v>57.64</v>
      </c>
    </row>
    <row r="2218" spans="1:3" x14ac:dyDescent="0.3">
      <c r="A2218" s="284">
        <v>42720</v>
      </c>
      <c r="B2218">
        <v>57.66</v>
      </c>
      <c r="C2218">
        <v>57.65</v>
      </c>
    </row>
    <row r="2219" spans="1:3" x14ac:dyDescent="0.3">
      <c r="A2219" s="284">
        <v>42719</v>
      </c>
      <c r="B2219">
        <v>57.71</v>
      </c>
      <c r="C2219">
        <v>57.7</v>
      </c>
    </row>
    <row r="2220" spans="1:3" x14ac:dyDescent="0.3">
      <c r="A2220" s="284">
        <v>42718</v>
      </c>
      <c r="B2220">
        <v>58.75</v>
      </c>
      <c r="C2220">
        <v>58.75</v>
      </c>
    </row>
    <row r="2221" spans="1:3" x14ac:dyDescent="0.3">
      <c r="A2221" s="284">
        <v>42717</v>
      </c>
      <c r="B2221">
        <v>59.31</v>
      </c>
      <c r="C2221">
        <v>59.3</v>
      </c>
    </row>
    <row r="2222" spans="1:3" x14ac:dyDescent="0.3">
      <c r="A2222" s="284">
        <v>42716</v>
      </c>
      <c r="B2222">
        <v>58.77</v>
      </c>
      <c r="C2222">
        <v>58.76</v>
      </c>
    </row>
    <row r="2223" spans="1:3" x14ac:dyDescent="0.3">
      <c r="A2223" s="284">
        <v>42713</v>
      </c>
      <c r="B2223">
        <v>58.75</v>
      </c>
      <c r="C2223">
        <v>58.74</v>
      </c>
    </row>
    <row r="2224" spans="1:3" x14ac:dyDescent="0.3">
      <c r="A2224" s="284">
        <v>42712</v>
      </c>
      <c r="B2224">
        <v>58.65</v>
      </c>
      <c r="C2224">
        <v>58.64</v>
      </c>
    </row>
    <row r="2225" spans="1:3" x14ac:dyDescent="0.3">
      <c r="A2225" s="284">
        <v>42711</v>
      </c>
      <c r="B2225">
        <v>58.76</v>
      </c>
      <c r="C2225">
        <v>58.75</v>
      </c>
    </row>
    <row r="2226" spans="1:3" x14ac:dyDescent="0.3">
      <c r="A2226" s="284">
        <v>42710</v>
      </c>
      <c r="B2226">
        <v>57.44</v>
      </c>
      <c r="C2226">
        <v>57.44</v>
      </c>
    </row>
    <row r="2227" spans="1:3" x14ac:dyDescent="0.3">
      <c r="A2227" s="284">
        <v>42709</v>
      </c>
      <c r="B2227">
        <v>57.5</v>
      </c>
      <c r="C2227">
        <v>57.49</v>
      </c>
    </row>
    <row r="2228" spans="1:3" x14ac:dyDescent="0.3">
      <c r="A2228" s="284">
        <v>42706</v>
      </c>
      <c r="B2228">
        <v>57.21</v>
      </c>
      <c r="C2228">
        <v>57.2</v>
      </c>
    </row>
    <row r="2229" spans="1:3" x14ac:dyDescent="0.3">
      <c r="A2229" s="284">
        <v>42705</v>
      </c>
      <c r="B2229">
        <v>58.51</v>
      </c>
      <c r="C2229">
        <v>58.5</v>
      </c>
    </row>
    <row r="2230" spans="1:3" x14ac:dyDescent="0.3">
      <c r="A2230" s="284">
        <v>42704</v>
      </c>
      <c r="B2230">
        <v>57.97</v>
      </c>
      <c r="C2230">
        <v>57.97</v>
      </c>
    </row>
    <row r="2231" spans="1:3" x14ac:dyDescent="0.3">
      <c r="A2231" s="284">
        <v>42703</v>
      </c>
      <c r="B2231">
        <v>58.17</v>
      </c>
      <c r="C2231">
        <v>58.16</v>
      </c>
    </row>
    <row r="2232" spans="1:3" x14ac:dyDescent="0.3">
      <c r="A2232" s="284">
        <v>42702</v>
      </c>
      <c r="B2232">
        <v>57.59</v>
      </c>
      <c r="C2232">
        <v>57.59</v>
      </c>
    </row>
    <row r="2233" spans="1:3" x14ac:dyDescent="0.3">
      <c r="A2233" s="284">
        <v>42699</v>
      </c>
      <c r="B2233">
        <v>57.43</v>
      </c>
      <c r="C2233">
        <v>57.42</v>
      </c>
    </row>
    <row r="2234" spans="1:3" x14ac:dyDescent="0.3">
      <c r="A2234" s="284">
        <v>42697</v>
      </c>
      <c r="B2234">
        <v>57.59</v>
      </c>
      <c r="C2234">
        <v>57.59</v>
      </c>
    </row>
    <row r="2235" spans="1:3" x14ac:dyDescent="0.3">
      <c r="A2235" s="284">
        <v>42696</v>
      </c>
      <c r="B2235">
        <v>57.12</v>
      </c>
      <c r="C2235">
        <v>57.1</v>
      </c>
    </row>
    <row r="2236" spans="1:3" x14ac:dyDescent="0.3">
      <c r="A2236" s="284">
        <v>42695</v>
      </c>
      <c r="B2236">
        <v>56.1</v>
      </c>
      <c r="C2236">
        <v>56.11</v>
      </c>
    </row>
    <row r="2237" spans="1:3" x14ac:dyDescent="0.3">
      <c r="A2237" s="284">
        <v>42692</v>
      </c>
      <c r="B2237">
        <v>55.77</v>
      </c>
      <c r="C2237">
        <v>55.76</v>
      </c>
    </row>
    <row r="2238" spans="1:3" x14ac:dyDescent="0.3">
      <c r="A2238" s="284">
        <v>42691</v>
      </c>
      <c r="B2238">
        <v>55.85</v>
      </c>
      <c r="C2238">
        <v>55.84</v>
      </c>
    </row>
    <row r="2239" spans="1:3" x14ac:dyDescent="0.3">
      <c r="A2239" s="284">
        <v>42690</v>
      </c>
      <c r="B2239">
        <v>55.44</v>
      </c>
      <c r="C2239">
        <v>55.43</v>
      </c>
    </row>
    <row r="2240" spans="1:3" x14ac:dyDescent="0.3">
      <c r="A2240" s="284">
        <v>42689</v>
      </c>
      <c r="B2240">
        <v>54.59</v>
      </c>
      <c r="C2240">
        <v>54.59</v>
      </c>
    </row>
    <row r="2241" spans="1:3" x14ac:dyDescent="0.3">
      <c r="A2241" s="284">
        <v>42688</v>
      </c>
      <c r="B2241">
        <v>54.22</v>
      </c>
      <c r="C2241">
        <v>54.22</v>
      </c>
    </row>
    <row r="2242" spans="1:3" x14ac:dyDescent="0.3">
      <c r="A2242" s="284">
        <v>42685</v>
      </c>
      <c r="B2242">
        <v>53.93</v>
      </c>
      <c r="C2242">
        <v>53.92</v>
      </c>
    </row>
    <row r="2243" spans="1:3" x14ac:dyDescent="0.3">
      <c r="A2243" s="284">
        <v>42684</v>
      </c>
      <c r="B2243">
        <v>53.57</v>
      </c>
      <c r="C2243">
        <v>53.57</v>
      </c>
    </row>
    <row r="2244" spans="1:3" x14ac:dyDescent="0.3">
      <c r="A2244" s="284">
        <v>42683</v>
      </c>
      <c r="B2244">
        <v>54.58</v>
      </c>
      <c r="C2244">
        <v>54.58</v>
      </c>
    </row>
    <row r="2245" spans="1:3" x14ac:dyDescent="0.3">
      <c r="A2245" s="284">
        <v>42682</v>
      </c>
      <c r="B2245">
        <v>54.62</v>
      </c>
      <c r="C2245">
        <v>54.62</v>
      </c>
    </row>
    <row r="2246" spans="1:3" x14ac:dyDescent="0.3">
      <c r="A2246" s="284">
        <v>42681</v>
      </c>
      <c r="B2246">
        <v>54.49</v>
      </c>
      <c r="C2246">
        <v>54.48</v>
      </c>
    </row>
    <row r="2247" spans="1:3" x14ac:dyDescent="0.3">
      <c r="A2247" s="284">
        <v>42678</v>
      </c>
      <c r="B2247">
        <v>52.75</v>
      </c>
      <c r="C2247">
        <v>52.76</v>
      </c>
    </row>
    <row r="2248" spans="1:3" x14ac:dyDescent="0.3">
      <c r="A2248" s="284">
        <v>42677</v>
      </c>
      <c r="B2248">
        <v>51.77</v>
      </c>
      <c r="C2248">
        <v>51.76</v>
      </c>
    </row>
    <row r="2249" spans="1:3" x14ac:dyDescent="0.3">
      <c r="A2249" s="284">
        <v>42676</v>
      </c>
      <c r="B2249">
        <v>52.98</v>
      </c>
      <c r="C2249">
        <v>52.99</v>
      </c>
    </row>
    <row r="2250" spans="1:3" x14ac:dyDescent="0.3">
      <c r="A2250" s="284">
        <v>42675</v>
      </c>
      <c r="B2250">
        <v>52.5</v>
      </c>
      <c r="C2250">
        <v>52.49</v>
      </c>
    </row>
    <row r="2251" spans="1:3" x14ac:dyDescent="0.3">
      <c r="A2251" s="284">
        <v>42674</v>
      </c>
      <c r="B2251">
        <v>53.07</v>
      </c>
      <c r="C2251">
        <v>53.07</v>
      </c>
    </row>
    <row r="2252" spans="1:3" x14ac:dyDescent="0.3">
      <c r="A2252" s="284">
        <v>42671</v>
      </c>
      <c r="B2252">
        <v>53.53</v>
      </c>
      <c r="C2252">
        <v>53.52</v>
      </c>
    </row>
    <row r="2253" spans="1:3" x14ac:dyDescent="0.3">
      <c r="A2253" s="284">
        <v>42670</v>
      </c>
      <c r="B2253">
        <v>53.59</v>
      </c>
      <c r="C2253">
        <v>53.6</v>
      </c>
    </row>
    <row r="2254" spans="1:3" x14ac:dyDescent="0.3">
      <c r="A2254" s="284">
        <v>42669</v>
      </c>
      <c r="B2254">
        <v>53.63</v>
      </c>
      <c r="C2254">
        <v>53.63</v>
      </c>
    </row>
    <row r="2255" spans="1:3" x14ac:dyDescent="0.3">
      <c r="A2255" s="284">
        <v>42668</v>
      </c>
      <c r="B2255">
        <v>53.67</v>
      </c>
      <c r="C2255">
        <v>53.66</v>
      </c>
    </row>
    <row r="2256" spans="1:3" x14ac:dyDescent="0.3">
      <c r="A2256" s="284">
        <v>42667</v>
      </c>
      <c r="B2256">
        <v>54.18</v>
      </c>
      <c r="C2256">
        <v>54.17</v>
      </c>
    </row>
    <row r="2257" spans="1:3" x14ac:dyDescent="0.3">
      <c r="A2257" s="284">
        <v>42664</v>
      </c>
      <c r="B2257">
        <v>53.63</v>
      </c>
      <c r="C2257">
        <v>53.62</v>
      </c>
    </row>
    <row r="2258" spans="1:3" x14ac:dyDescent="0.3">
      <c r="A2258" s="284">
        <v>42663</v>
      </c>
      <c r="B2258">
        <v>53.59</v>
      </c>
      <c r="C2258">
        <v>53.59</v>
      </c>
    </row>
    <row r="2259" spans="1:3" x14ac:dyDescent="0.3">
      <c r="A2259" s="284">
        <v>42662</v>
      </c>
      <c r="B2259">
        <v>53.15</v>
      </c>
      <c r="C2259">
        <v>53.15</v>
      </c>
    </row>
    <row r="2260" spans="1:3" x14ac:dyDescent="0.3">
      <c r="A2260" s="284">
        <v>42661</v>
      </c>
      <c r="B2260">
        <v>52.61</v>
      </c>
      <c r="C2260">
        <v>52.6</v>
      </c>
    </row>
    <row r="2261" spans="1:3" x14ac:dyDescent="0.3">
      <c r="A2261" s="284">
        <v>42660</v>
      </c>
      <c r="B2261">
        <v>52.76</v>
      </c>
      <c r="C2261">
        <v>52.75</v>
      </c>
    </row>
    <row r="2262" spans="1:3" x14ac:dyDescent="0.3">
      <c r="A2262" s="284">
        <v>42657</v>
      </c>
      <c r="B2262">
        <v>53.08</v>
      </c>
      <c r="C2262">
        <v>53.08</v>
      </c>
    </row>
    <row r="2263" spans="1:3" x14ac:dyDescent="0.3">
      <c r="A2263" s="284">
        <v>42656</v>
      </c>
      <c r="B2263">
        <v>52.95</v>
      </c>
      <c r="C2263">
        <v>52.95</v>
      </c>
    </row>
    <row r="2264" spans="1:3" x14ac:dyDescent="0.3">
      <c r="A2264" s="284">
        <v>42655</v>
      </c>
      <c r="B2264">
        <v>53.16</v>
      </c>
      <c r="C2264">
        <v>53.16</v>
      </c>
    </row>
    <row r="2265" spans="1:3" x14ac:dyDescent="0.3">
      <c r="A2265" s="284">
        <v>42654</v>
      </c>
      <c r="B2265">
        <v>52.92</v>
      </c>
      <c r="C2265">
        <v>52.92</v>
      </c>
    </row>
    <row r="2266" spans="1:3" x14ac:dyDescent="0.3">
      <c r="A2266" s="284">
        <v>42653</v>
      </c>
      <c r="B2266">
        <v>53.3</v>
      </c>
      <c r="C2266">
        <v>53.3</v>
      </c>
    </row>
    <row r="2267" spans="1:3" x14ac:dyDescent="0.3">
      <c r="A2267" s="284">
        <v>42650</v>
      </c>
      <c r="B2267">
        <v>53.46</v>
      </c>
      <c r="C2267">
        <v>53.46</v>
      </c>
    </row>
    <row r="2268" spans="1:3" x14ac:dyDescent="0.3">
      <c r="A2268" s="284">
        <v>42649</v>
      </c>
      <c r="B2268">
        <v>53.14</v>
      </c>
      <c r="C2268">
        <v>53.14</v>
      </c>
    </row>
    <row r="2269" spans="1:3" x14ac:dyDescent="0.3">
      <c r="A2269" s="284">
        <v>42648</v>
      </c>
      <c r="B2269">
        <v>53.35</v>
      </c>
      <c r="C2269">
        <v>53.35</v>
      </c>
    </row>
    <row r="2270" spans="1:3" x14ac:dyDescent="0.3">
      <c r="A2270" s="284">
        <v>42647</v>
      </c>
      <c r="B2270">
        <v>53.53</v>
      </c>
      <c r="C2270">
        <v>53.53</v>
      </c>
    </row>
    <row r="2271" spans="1:3" x14ac:dyDescent="0.3">
      <c r="A2271" s="284">
        <v>42646</v>
      </c>
      <c r="B2271">
        <v>53.84</v>
      </c>
      <c r="C2271">
        <v>53.84</v>
      </c>
    </row>
    <row r="2272" spans="1:3" x14ac:dyDescent="0.3">
      <c r="A2272" s="284">
        <v>42643</v>
      </c>
      <c r="B2272">
        <v>54.14</v>
      </c>
      <c r="C2272">
        <v>54.12</v>
      </c>
    </row>
    <row r="2273" spans="1:3" x14ac:dyDescent="0.3">
      <c r="A2273" s="284">
        <v>42642</v>
      </c>
      <c r="B2273">
        <v>53.45</v>
      </c>
      <c r="C2273">
        <v>53.46</v>
      </c>
    </row>
    <row r="2274" spans="1:3" x14ac:dyDescent="0.3">
      <c r="A2274" s="284">
        <v>42641</v>
      </c>
      <c r="B2274">
        <v>53.98</v>
      </c>
      <c r="C2274">
        <v>53.97</v>
      </c>
    </row>
    <row r="2275" spans="1:3" x14ac:dyDescent="0.3">
      <c r="A2275" s="284">
        <v>42640</v>
      </c>
      <c r="B2275">
        <v>54.19</v>
      </c>
      <c r="C2275">
        <v>54.18</v>
      </c>
    </row>
    <row r="2276" spans="1:3" x14ac:dyDescent="0.3">
      <c r="A2276" s="284">
        <v>42639</v>
      </c>
      <c r="B2276">
        <v>54.04</v>
      </c>
      <c r="C2276">
        <v>54.04</v>
      </c>
    </row>
    <row r="2277" spans="1:3" x14ac:dyDescent="0.3">
      <c r="A2277" s="284">
        <v>42636</v>
      </c>
      <c r="B2277">
        <v>54.43</v>
      </c>
      <c r="C2277">
        <v>54.43</v>
      </c>
    </row>
    <row r="2278" spans="1:3" x14ac:dyDescent="0.3">
      <c r="A2278" s="284">
        <v>42635</v>
      </c>
      <c r="B2278">
        <v>54.39</v>
      </c>
      <c r="C2278">
        <v>54.4</v>
      </c>
    </row>
    <row r="2279" spans="1:3" x14ac:dyDescent="0.3">
      <c r="A2279" s="284">
        <v>42634</v>
      </c>
      <c r="B2279">
        <v>53.98</v>
      </c>
      <c r="C2279">
        <v>53.97</v>
      </c>
    </row>
    <row r="2280" spans="1:3" x14ac:dyDescent="0.3">
      <c r="A2280" s="284">
        <v>42633</v>
      </c>
      <c r="B2280">
        <v>53.3</v>
      </c>
      <c r="C2280">
        <v>53.29</v>
      </c>
    </row>
    <row r="2281" spans="1:3" x14ac:dyDescent="0.3">
      <c r="A2281" s="284">
        <v>42632</v>
      </c>
      <c r="B2281">
        <v>53.01</v>
      </c>
      <c r="C2281">
        <v>53.01</v>
      </c>
    </row>
    <row r="2282" spans="1:3" x14ac:dyDescent="0.3">
      <c r="A2282" s="284">
        <v>42629</v>
      </c>
      <c r="B2282">
        <v>53.74</v>
      </c>
      <c r="C2282">
        <v>53.73</v>
      </c>
    </row>
    <row r="2283" spans="1:3" x14ac:dyDescent="0.3">
      <c r="A2283" s="284">
        <v>42628</v>
      </c>
      <c r="B2283">
        <v>54.11</v>
      </c>
      <c r="C2283">
        <v>54.1</v>
      </c>
    </row>
    <row r="2284" spans="1:3" x14ac:dyDescent="0.3">
      <c r="A2284" s="284">
        <v>42627</v>
      </c>
      <c r="B2284">
        <v>53.9</v>
      </c>
      <c r="C2284">
        <v>53.91</v>
      </c>
    </row>
    <row r="2285" spans="1:3" x14ac:dyDescent="0.3">
      <c r="A2285" s="284">
        <v>42626</v>
      </c>
      <c r="B2285">
        <v>53.98</v>
      </c>
      <c r="C2285">
        <v>53.99</v>
      </c>
    </row>
    <row r="2286" spans="1:3" x14ac:dyDescent="0.3">
      <c r="A2286" s="284">
        <v>42625</v>
      </c>
      <c r="B2286">
        <v>54.71</v>
      </c>
      <c r="C2286">
        <v>54.71</v>
      </c>
    </row>
    <row r="2287" spans="1:3" x14ac:dyDescent="0.3">
      <c r="A2287" s="284">
        <v>42622</v>
      </c>
      <c r="B2287">
        <v>54.35</v>
      </c>
      <c r="C2287">
        <v>54.36</v>
      </c>
    </row>
    <row r="2288" spans="1:3" x14ac:dyDescent="0.3">
      <c r="A2288" s="284">
        <v>42621</v>
      </c>
      <c r="B2288">
        <v>55.3</v>
      </c>
      <c r="C2288">
        <v>55.29</v>
      </c>
    </row>
    <row r="2289" spans="1:3" x14ac:dyDescent="0.3">
      <c r="A2289" s="284">
        <v>42620</v>
      </c>
      <c r="B2289">
        <v>56.32</v>
      </c>
      <c r="C2289">
        <v>56.33</v>
      </c>
    </row>
    <row r="2290" spans="1:3" x14ac:dyDescent="0.3">
      <c r="A2290" s="284">
        <v>42619</v>
      </c>
      <c r="B2290">
        <v>56.02</v>
      </c>
      <c r="C2290">
        <v>56.01</v>
      </c>
    </row>
    <row r="2291" spans="1:3" x14ac:dyDescent="0.3">
      <c r="A2291" s="284">
        <v>42615</v>
      </c>
      <c r="B2291">
        <v>56.18</v>
      </c>
      <c r="C2291">
        <v>56.17</v>
      </c>
    </row>
    <row r="2292" spans="1:3" x14ac:dyDescent="0.3">
      <c r="A2292" s="284">
        <v>42614</v>
      </c>
      <c r="B2292">
        <v>56.31</v>
      </c>
      <c r="C2292">
        <v>56.3</v>
      </c>
    </row>
    <row r="2293" spans="1:3" x14ac:dyDescent="0.3">
      <c r="A2293" s="284">
        <v>42613</v>
      </c>
      <c r="B2293">
        <v>56.23</v>
      </c>
      <c r="C2293">
        <v>56.22</v>
      </c>
    </row>
    <row r="2294" spans="1:3" x14ac:dyDescent="0.3">
      <c r="A2294" s="284">
        <v>42612</v>
      </c>
      <c r="B2294">
        <v>56.4</v>
      </c>
      <c r="C2294">
        <v>56.4</v>
      </c>
    </row>
    <row r="2295" spans="1:3" x14ac:dyDescent="0.3">
      <c r="A2295" s="284">
        <v>42611</v>
      </c>
      <c r="B2295">
        <v>56.8</v>
      </c>
      <c r="C2295">
        <v>56.79</v>
      </c>
    </row>
    <row r="2296" spans="1:3" x14ac:dyDescent="0.3">
      <c r="A2296" s="284">
        <v>42608</v>
      </c>
      <c r="B2296">
        <v>57.29</v>
      </c>
      <c r="C2296">
        <v>57.29</v>
      </c>
    </row>
    <row r="2297" spans="1:3" x14ac:dyDescent="0.3">
      <c r="A2297" s="284">
        <v>42607</v>
      </c>
      <c r="B2297">
        <v>57.29</v>
      </c>
      <c r="C2297">
        <v>57.29</v>
      </c>
    </row>
    <row r="2298" spans="1:3" x14ac:dyDescent="0.3">
      <c r="A2298" s="284">
        <v>42606</v>
      </c>
      <c r="B2298">
        <v>57.09</v>
      </c>
      <c r="C2298">
        <v>57.09</v>
      </c>
    </row>
    <row r="2299" spans="1:3" x14ac:dyDescent="0.3">
      <c r="A2299" s="284">
        <v>42605</v>
      </c>
      <c r="B2299">
        <v>56.4</v>
      </c>
      <c r="C2299">
        <v>56.4</v>
      </c>
    </row>
    <row r="2300" spans="1:3" x14ac:dyDescent="0.3">
      <c r="A2300" s="284">
        <v>42604</v>
      </c>
      <c r="B2300">
        <v>55.85</v>
      </c>
      <c r="C2300">
        <v>55.84</v>
      </c>
    </row>
    <row r="2301" spans="1:3" x14ac:dyDescent="0.3">
      <c r="A2301" s="284">
        <v>42601</v>
      </c>
      <c r="B2301">
        <v>54.94</v>
      </c>
      <c r="C2301">
        <v>54.93</v>
      </c>
    </row>
    <row r="2302" spans="1:3" x14ac:dyDescent="0.3">
      <c r="A2302" s="284">
        <v>42600</v>
      </c>
      <c r="B2302">
        <v>55.53</v>
      </c>
      <c r="C2302">
        <v>55.52</v>
      </c>
    </row>
    <row r="2303" spans="1:3" x14ac:dyDescent="0.3">
      <c r="A2303" s="284">
        <v>42599</v>
      </c>
      <c r="B2303">
        <v>55.8</v>
      </c>
      <c r="C2303">
        <v>55.79</v>
      </c>
    </row>
    <row r="2304" spans="1:3" x14ac:dyDescent="0.3">
      <c r="A2304" s="284">
        <v>42598</v>
      </c>
      <c r="B2304">
        <v>55.37</v>
      </c>
      <c r="C2304">
        <v>55.36</v>
      </c>
    </row>
    <row r="2305" spans="1:3" x14ac:dyDescent="0.3">
      <c r="A2305" s="284">
        <v>42597</v>
      </c>
      <c r="B2305">
        <v>55.25</v>
      </c>
      <c r="C2305">
        <v>55.25</v>
      </c>
    </row>
    <row r="2306" spans="1:3" x14ac:dyDescent="0.3">
      <c r="A2306" s="284">
        <v>42594</v>
      </c>
      <c r="B2306">
        <v>55.47</v>
      </c>
      <c r="C2306">
        <v>55.46</v>
      </c>
    </row>
    <row r="2307" spans="1:3" x14ac:dyDescent="0.3">
      <c r="A2307" s="284">
        <v>42593</v>
      </c>
      <c r="B2307">
        <v>55.47</v>
      </c>
      <c r="C2307">
        <v>55.47</v>
      </c>
    </row>
    <row r="2308" spans="1:3" x14ac:dyDescent="0.3">
      <c r="A2308" s="284">
        <v>42592</v>
      </c>
      <c r="B2308">
        <v>55.62</v>
      </c>
      <c r="C2308">
        <v>55.62</v>
      </c>
    </row>
    <row r="2309" spans="1:3" x14ac:dyDescent="0.3">
      <c r="A2309" s="284">
        <v>42591</v>
      </c>
      <c r="B2309">
        <v>55.2</v>
      </c>
      <c r="C2309">
        <v>55.2</v>
      </c>
    </row>
    <row r="2310" spans="1:3" x14ac:dyDescent="0.3">
      <c r="A2310" s="284">
        <v>42590</v>
      </c>
      <c r="B2310">
        <v>55.36</v>
      </c>
      <c r="C2310">
        <v>55.35</v>
      </c>
    </row>
    <row r="2311" spans="1:3" x14ac:dyDescent="0.3">
      <c r="A2311" s="284">
        <v>42587</v>
      </c>
      <c r="B2311">
        <v>55.9</v>
      </c>
      <c r="C2311">
        <v>55.88</v>
      </c>
    </row>
    <row r="2312" spans="1:3" x14ac:dyDescent="0.3">
      <c r="A2312" s="284">
        <v>42586</v>
      </c>
      <c r="B2312">
        <v>55.42</v>
      </c>
      <c r="C2312">
        <v>55.43</v>
      </c>
    </row>
    <row r="2313" spans="1:3" x14ac:dyDescent="0.3">
      <c r="A2313" s="284">
        <v>42585</v>
      </c>
      <c r="B2313">
        <v>55.94</v>
      </c>
      <c r="C2313">
        <v>55.93</v>
      </c>
    </row>
    <row r="2314" spans="1:3" x14ac:dyDescent="0.3">
      <c r="A2314" s="284">
        <v>42584</v>
      </c>
      <c r="B2314">
        <v>56.73</v>
      </c>
      <c r="C2314">
        <v>56.73</v>
      </c>
    </row>
    <row r="2315" spans="1:3" x14ac:dyDescent="0.3">
      <c r="A2315" s="284">
        <v>42583</v>
      </c>
      <c r="B2315">
        <v>57.63</v>
      </c>
      <c r="C2315">
        <v>57.62</v>
      </c>
    </row>
    <row r="2316" spans="1:3" x14ac:dyDescent="0.3">
      <c r="A2316" s="284">
        <v>42580</v>
      </c>
      <c r="B2316">
        <v>58.05</v>
      </c>
      <c r="C2316">
        <v>58.03</v>
      </c>
    </row>
    <row r="2317" spans="1:3" x14ac:dyDescent="0.3">
      <c r="A2317" s="284">
        <v>42579</v>
      </c>
      <c r="B2317">
        <v>58.21</v>
      </c>
      <c r="C2317">
        <v>58.2</v>
      </c>
    </row>
    <row r="2318" spans="1:3" x14ac:dyDescent="0.3">
      <c r="A2318" s="284">
        <v>42578</v>
      </c>
      <c r="B2318">
        <v>57.85</v>
      </c>
      <c r="C2318">
        <v>57.86</v>
      </c>
    </row>
    <row r="2319" spans="1:3" x14ac:dyDescent="0.3">
      <c r="A2319" s="284">
        <v>42577</v>
      </c>
      <c r="B2319">
        <v>58.31</v>
      </c>
      <c r="C2319">
        <v>58.32</v>
      </c>
    </row>
    <row r="2320" spans="1:3" x14ac:dyDescent="0.3">
      <c r="A2320" s="284">
        <v>42576</v>
      </c>
      <c r="B2320">
        <v>57.95</v>
      </c>
      <c r="C2320">
        <v>57.95</v>
      </c>
    </row>
    <row r="2321" spans="1:3" x14ac:dyDescent="0.3">
      <c r="A2321" s="284">
        <v>42573</v>
      </c>
      <c r="B2321">
        <v>57.9</v>
      </c>
      <c r="C2321">
        <v>57.89</v>
      </c>
    </row>
    <row r="2322" spans="1:3" x14ac:dyDescent="0.3">
      <c r="A2322" s="284">
        <v>42572</v>
      </c>
      <c r="B2322">
        <v>57.6</v>
      </c>
      <c r="C2322">
        <v>57.61</v>
      </c>
    </row>
    <row r="2323" spans="1:3" x14ac:dyDescent="0.3">
      <c r="A2323" s="284">
        <v>42571</v>
      </c>
      <c r="B2323">
        <v>57.54</v>
      </c>
      <c r="C2323">
        <v>57.54</v>
      </c>
    </row>
    <row r="2324" spans="1:3" x14ac:dyDescent="0.3">
      <c r="A2324" s="284">
        <v>42570</v>
      </c>
      <c r="B2324">
        <v>56.76</v>
      </c>
      <c r="C2324">
        <v>56.75</v>
      </c>
    </row>
    <row r="2325" spans="1:3" x14ac:dyDescent="0.3">
      <c r="A2325" s="284">
        <v>42569</v>
      </c>
      <c r="B2325">
        <v>56.92</v>
      </c>
      <c r="C2325">
        <v>56.93</v>
      </c>
    </row>
    <row r="2326" spans="1:3" x14ac:dyDescent="0.3">
      <c r="A2326" s="284">
        <v>42566</v>
      </c>
      <c r="B2326">
        <v>57.41</v>
      </c>
      <c r="C2326">
        <v>57.39</v>
      </c>
    </row>
    <row r="2327" spans="1:3" x14ac:dyDescent="0.3">
      <c r="A2327" s="284">
        <v>42565</v>
      </c>
      <c r="B2327">
        <v>57.59</v>
      </c>
      <c r="C2327">
        <v>57.58</v>
      </c>
    </row>
    <row r="2328" spans="1:3" x14ac:dyDescent="0.3">
      <c r="A2328" s="284">
        <v>42564</v>
      </c>
      <c r="B2328">
        <v>56.48</v>
      </c>
      <c r="C2328">
        <v>56.48</v>
      </c>
    </row>
    <row r="2329" spans="1:3" x14ac:dyDescent="0.3">
      <c r="A2329" s="284">
        <v>42563</v>
      </c>
      <c r="B2329">
        <v>57.48</v>
      </c>
      <c r="C2329">
        <v>57.48</v>
      </c>
    </row>
    <row r="2330" spans="1:3" x14ac:dyDescent="0.3">
      <c r="A2330" s="284">
        <v>42562</v>
      </c>
      <c r="B2330">
        <v>56.32</v>
      </c>
      <c r="C2330">
        <v>56.32</v>
      </c>
    </row>
    <row r="2331" spans="1:3" x14ac:dyDescent="0.3">
      <c r="A2331" s="284">
        <v>42559</v>
      </c>
      <c r="B2331">
        <v>56.51</v>
      </c>
      <c r="C2331">
        <v>56.5</v>
      </c>
    </row>
    <row r="2332" spans="1:3" x14ac:dyDescent="0.3">
      <c r="A2332" s="284">
        <v>42558</v>
      </c>
      <c r="B2332">
        <v>56.91</v>
      </c>
      <c r="C2332">
        <v>56.9</v>
      </c>
    </row>
    <row r="2333" spans="1:3" x14ac:dyDescent="0.3">
      <c r="A2333" s="284">
        <v>42557</v>
      </c>
      <c r="B2333">
        <v>56.75</v>
      </c>
      <c r="C2333">
        <v>56.75</v>
      </c>
    </row>
    <row r="2334" spans="1:3" x14ac:dyDescent="0.3">
      <c r="A2334" s="284">
        <v>42556</v>
      </c>
      <c r="B2334">
        <v>56.77</v>
      </c>
      <c r="C2334">
        <v>56.75</v>
      </c>
    </row>
    <row r="2335" spans="1:3" x14ac:dyDescent="0.3">
      <c r="A2335" s="284">
        <v>42552</v>
      </c>
      <c r="B2335">
        <v>56.99</v>
      </c>
      <c r="C2335">
        <v>56.98</v>
      </c>
    </row>
    <row r="2336" spans="1:3" x14ac:dyDescent="0.3">
      <c r="A2336" s="284">
        <v>42551</v>
      </c>
      <c r="B2336">
        <v>57.12</v>
      </c>
      <c r="C2336">
        <v>57.12</v>
      </c>
    </row>
    <row r="2337" spans="1:3" x14ac:dyDescent="0.3">
      <c r="A2337" s="284">
        <v>42550</v>
      </c>
      <c r="B2337">
        <v>56.74</v>
      </c>
      <c r="C2337">
        <v>56.74</v>
      </c>
    </row>
    <row r="2338" spans="1:3" x14ac:dyDescent="0.3">
      <c r="A2338" s="284">
        <v>42549</v>
      </c>
      <c r="B2338">
        <v>54.85</v>
      </c>
      <c r="C2338">
        <v>54.84</v>
      </c>
    </row>
    <row r="2339" spans="1:3" x14ac:dyDescent="0.3">
      <c r="A2339" s="284">
        <v>42548</v>
      </c>
      <c r="B2339">
        <v>53.69</v>
      </c>
      <c r="C2339">
        <v>53.68</v>
      </c>
    </row>
    <row r="2340" spans="1:3" x14ac:dyDescent="0.3">
      <c r="A2340" s="284">
        <v>42545</v>
      </c>
      <c r="B2340">
        <v>54.68</v>
      </c>
      <c r="C2340">
        <v>54.67</v>
      </c>
    </row>
    <row r="2341" spans="1:3" x14ac:dyDescent="0.3">
      <c r="A2341" s="284">
        <v>42544</v>
      </c>
      <c r="B2341">
        <v>56.13</v>
      </c>
      <c r="C2341">
        <v>56.14</v>
      </c>
    </row>
    <row r="2342" spans="1:3" x14ac:dyDescent="0.3">
      <c r="A2342" s="284">
        <v>42543</v>
      </c>
      <c r="B2342">
        <v>55.61</v>
      </c>
      <c r="C2342">
        <v>55.61</v>
      </c>
    </row>
    <row r="2343" spans="1:3" x14ac:dyDescent="0.3">
      <c r="A2343" s="284">
        <v>42542</v>
      </c>
      <c r="B2343">
        <v>55.81</v>
      </c>
      <c r="C2343">
        <v>55.81</v>
      </c>
    </row>
    <row r="2344" spans="1:3" x14ac:dyDescent="0.3">
      <c r="A2344" s="284">
        <v>42541</v>
      </c>
      <c r="B2344">
        <v>55.38</v>
      </c>
      <c r="C2344">
        <v>55.38</v>
      </c>
    </row>
    <row r="2345" spans="1:3" x14ac:dyDescent="0.3">
      <c r="A2345" s="284">
        <v>42538</v>
      </c>
      <c r="B2345">
        <v>55.31</v>
      </c>
      <c r="C2345">
        <v>55.3</v>
      </c>
    </row>
    <row r="2346" spans="1:3" x14ac:dyDescent="0.3">
      <c r="A2346" s="284">
        <v>42537</v>
      </c>
      <c r="B2346">
        <v>55.53</v>
      </c>
      <c r="C2346">
        <v>55.52</v>
      </c>
    </row>
    <row r="2347" spans="1:3" x14ac:dyDescent="0.3">
      <c r="A2347" s="284">
        <v>42536</v>
      </c>
      <c r="B2347">
        <v>55.35</v>
      </c>
      <c r="C2347">
        <v>55.35</v>
      </c>
    </row>
    <row r="2348" spans="1:3" x14ac:dyDescent="0.3">
      <c r="A2348" s="284">
        <v>42535</v>
      </c>
      <c r="B2348">
        <v>55.57</v>
      </c>
      <c r="C2348">
        <v>55.56</v>
      </c>
    </row>
    <row r="2349" spans="1:3" x14ac:dyDescent="0.3">
      <c r="A2349" s="284">
        <v>42534</v>
      </c>
      <c r="B2349">
        <v>55.04</v>
      </c>
      <c r="C2349">
        <v>55.03</v>
      </c>
    </row>
    <row r="2350" spans="1:3" x14ac:dyDescent="0.3">
      <c r="A2350" s="284">
        <v>42531</v>
      </c>
      <c r="B2350">
        <v>54.865000000000002</v>
      </c>
      <c r="C2350">
        <v>54.86</v>
      </c>
    </row>
    <row r="2351" spans="1:3" x14ac:dyDescent="0.3">
      <c r="A2351" s="284">
        <v>42530</v>
      </c>
      <c r="B2351">
        <v>55.58</v>
      </c>
      <c r="C2351">
        <v>55.58</v>
      </c>
    </row>
    <row r="2352" spans="1:3" x14ac:dyDescent="0.3">
      <c r="A2352" s="284">
        <v>42529</v>
      </c>
      <c r="B2352">
        <v>55.22</v>
      </c>
      <c r="C2352">
        <v>55.22</v>
      </c>
    </row>
    <row r="2353" spans="1:3" x14ac:dyDescent="0.3">
      <c r="A2353" s="284">
        <v>42528</v>
      </c>
      <c r="B2353">
        <v>55.3</v>
      </c>
      <c r="C2353">
        <v>55.3</v>
      </c>
    </row>
    <row r="2354" spans="1:3" x14ac:dyDescent="0.3">
      <c r="A2354" s="284">
        <v>42527</v>
      </c>
      <c r="B2354">
        <v>55.59</v>
      </c>
      <c r="C2354">
        <v>55.59</v>
      </c>
    </row>
    <row r="2355" spans="1:3" x14ac:dyDescent="0.3">
      <c r="A2355" s="284">
        <v>42524</v>
      </c>
      <c r="B2355">
        <v>54.61</v>
      </c>
      <c r="C2355">
        <v>54.6</v>
      </c>
    </row>
    <row r="2356" spans="1:3" x14ac:dyDescent="0.3">
      <c r="A2356" s="284">
        <v>42523</v>
      </c>
      <c r="B2356">
        <v>54.62</v>
      </c>
      <c r="C2356">
        <v>54.63</v>
      </c>
    </row>
    <row r="2357" spans="1:3" x14ac:dyDescent="0.3">
      <c r="A2357" s="284">
        <v>42522</v>
      </c>
      <c r="B2357">
        <v>54.82</v>
      </c>
      <c r="C2357">
        <v>54.8</v>
      </c>
    </row>
    <row r="2358" spans="1:3" x14ac:dyDescent="0.3">
      <c r="A2358" s="284">
        <v>42521</v>
      </c>
      <c r="B2358">
        <v>54.89</v>
      </c>
      <c r="C2358">
        <v>54.89</v>
      </c>
    </row>
    <row r="2359" spans="1:3" x14ac:dyDescent="0.3">
      <c r="A2359" s="284">
        <v>42517</v>
      </c>
      <c r="B2359">
        <v>55.15</v>
      </c>
      <c r="C2359">
        <v>55.15</v>
      </c>
    </row>
    <row r="2360" spans="1:3" x14ac:dyDescent="0.3">
      <c r="A2360" s="284">
        <v>42516</v>
      </c>
      <c r="B2360">
        <v>55.29</v>
      </c>
      <c r="C2360">
        <v>55.28</v>
      </c>
    </row>
    <row r="2361" spans="1:3" x14ac:dyDescent="0.3">
      <c r="A2361" s="284">
        <v>42515</v>
      </c>
      <c r="B2361">
        <v>55.15</v>
      </c>
      <c r="C2361">
        <v>55.15</v>
      </c>
    </row>
    <row r="2362" spans="1:3" x14ac:dyDescent="0.3">
      <c r="A2362" s="284">
        <v>42514</v>
      </c>
      <c r="B2362">
        <v>55.44</v>
      </c>
      <c r="C2362">
        <v>55.44</v>
      </c>
    </row>
    <row r="2363" spans="1:3" x14ac:dyDescent="0.3">
      <c r="A2363" s="284">
        <v>42513</v>
      </c>
      <c r="B2363">
        <v>54.6</v>
      </c>
      <c r="C2363">
        <v>54.6</v>
      </c>
    </row>
    <row r="2364" spans="1:3" x14ac:dyDescent="0.3">
      <c r="A2364" s="284">
        <v>42510</v>
      </c>
      <c r="B2364">
        <v>54.62</v>
      </c>
      <c r="C2364">
        <v>54.61</v>
      </c>
    </row>
    <row r="2365" spans="1:3" x14ac:dyDescent="0.3">
      <c r="A2365" s="284">
        <v>42509</v>
      </c>
      <c r="B2365">
        <v>54.55</v>
      </c>
      <c r="C2365">
        <v>54.54</v>
      </c>
    </row>
    <row r="2366" spans="1:3" x14ac:dyDescent="0.3">
      <c r="A2366" s="284">
        <v>42508</v>
      </c>
      <c r="B2366">
        <v>54.8</v>
      </c>
      <c r="C2366">
        <v>54.8</v>
      </c>
    </row>
    <row r="2367" spans="1:3" x14ac:dyDescent="0.3">
      <c r="A2367" s="284">
        <v>42507</v>
      </c>
      <c r="B2367">
        <v>54.88</v>
      </c>
      <c r="C2367">
        <v>54.87</v>
      </c>
    </row>
    <row r="2368" spans="1:3" x14ac:dyDescent="0.3">
      <c r="A2368" s="284">
        <v>42506</v>
      </c>
      <c r="B2368">
        <v>55.53</v>
      </c>
      <c r="C2368">
        <v>55.52</v>
      </c>
    </row>
    <row r="2369" spans="1:3" x14ac:dyDescent="0.3">
      <c r="A2369" s="284">
        <v>42503</v>
      </c>
      <c r="B2369">
        <v>55.82</v>
      </c>
      <c r="C2369">
        <v>55.82</v>
      </c>
    </row>
    <row r="2370" spans="1:3" x14ac:dyDescent="0.3">
      <c r="A2370" s="284">
        <v>42502</v>
      </c>
      <c r="B2370">
        <v>56.3</v>
      </c>
      <c r="C2370">
        <v>56.3</v>
      </c>
    </row>
    <row r="2371" spans="1:3" x14ac:dyDescent="0.3">
      <c r="A2371" s="284">
        <v>42501</v>
      </c>
      <c r="B2371">
        <v>56.23</v>
      </c>
      <c r="C2371">
        <v>56.24</v>
      </c>
    </row>
    <row r="2372" spans="1:3" x14ac:dyDescent="0.3">
      <c r="A2372" s="284">
        <v>42500</v>
      </c>
      <c r="B2372">
        <v>57.49</v>
      </c>
      <c r="C2372">
        <v>57.49</v>
      </c>
    </row>
    <row r="2373" spans="1:3" x14ac:dyDescent="0.3">
      <c r="A2373" s="284">
        <v>42499</v>
      </c>
      <c r="B2373">
        <v>56.64</v>
      </c>
      <c r="C2373">
        <v>56.63</v>
      </c>
    </row>
    <row r="2374" spans="1:3" x14ac:dyDescent="0.3">
      <c r="A2374" s="284">
        <v>42496</v>
      </c>
      <c r="B2374">
        <v>56.31</v>
      </c>
      <c r="C2374">
        <v>56.31</v>
      </c>
    </row>
    <row r="2375" spans="1:3" x14ac:dyDescent="0.3">
      <c r="A2375" s="284">
        <v>42495</v>
      </c>
      <c r="B2375">
        <v>56.25</v>
      </c>
      <c r="C2375">
        <v>56.24</v>
      </c>
    </row>
    <row r="2376" spans="1:3" x14ac:dyDescent="0.3">
      <c r="A2376" s="284">
        <v>42494</v>
      </c>
      <c r="B2376">
        <v>56.39</v>
      </c>
      <c r="C2376">
        <v>56.39</v>
      </c>
    </row>
    <row r="2377" spans="1:3" x14ac:dyDescent="0.3">
      <c r="A2377" s="284">
        <v>42493</v>
      </c>
      <c r="B2377">
        <v>56.25</v>
      </c>
      <c r="C2377">
        <v>56.24</v>
      </c>
    </row>
    <row r="2378" spans="1:3" x14ac:dyDescent="0.3">
      <c r="A2378" s="284">
        <v>42492</v>
      </c>
      <c r="B2378">
        <v>57.36</v>
      </c>
      <c r="C2378">
        <v>57.36</v>
      </c>
    </row>
    <row r="2379" spans="1:3" x14ac:dyDescent="0.3">
      <c r="A2379" s="284">
        <v>42489</v>
      </c>
      <c r="B2379">
        <v>56.23</v>
      </c>
      <c r="C2379">
        <v>56.23</v>
      </c>
    </row>
    <row r="2380" spans="1:3" x14ac:dyDescent="0.3">
      <c r="A2380" s="284">
        <v>42488</v>
      </c>
      <c r="B2380">
        <v>56.42</v>
      </c>
      <c r="C2380">
        <v>56.43</v>
      </c>
    </row>
    <row r="2381" spans="1:3" x14ac:dyDescent="0.3">
      <c r="A2381" s="284">
        <v>42487</v>
      </c>
      <c r="B2381">
        <v>56.9</v>
      </c>
      <c r="C2381">
        <v>56.9</v>
      </c>
    </row>
    <row r="2382" spans="1:3" x14ac:dyDescent="0.3">
      <c r="A2382" s="284">
        <v>42486</v>
      </c>
      <c r="B2382">
        <v>57.72</v>
      </c>
      <c r="C2382">
        <v>57.71</v>
      </c>
    </row>
    <row r="2383" spans="1:3" x14ac:dyDescent="0.3">
      <c r="A2383" s="284">
        <v>42485</v>
      </c>
      <c r="B2383">
        <v>57.77</v>
      </c>
      <c r="C2383">
        <v>57.77</v>
      </c>
    </row>
    <row r="2384" spans="1:3" x14ac:dyDescent="0.3">
      <c r="A2384" s="284">
        <v>42482</v>
      </c>
      <c r="B2384">
        <v>57.68</v>
      </c>
      <c r="C2384">
        <v>57.67</v>
      </c>
    </row>
    <row r="2385" spans="1:3" x14ac:dyDescent="0.3">
      <c r="A2385" s="284">
        <v>42481</v>
      </c>
      <c r="B2385">
        <v>60.64</v>
      </c>
      <c r="C2385">
        <v>60.66</v>
      </c>
    </row>
    <row r="2386" spans="1:3" x14ac:dyDescent="0.3">
      <c r="A2386" s="284">
        <v>42480</v>
      </c>
      <c r="B2386">
        <v>60.9</v>
      </c>
      <c r="C2386">
        <v>60.9</v>
      </c>
    </row>
    <row r="2387" spans="1:3" x14ac:dyDescent="0.3">
      <c r="A2387" s="284">
        <v>42479</v>
      </c>
      <c r="B2387">
        <v>60.9</v>
      </c>
      <c r="C2387">
        <v>60.89</v>
      </c>
    </row>
    <row r="2388" spans="1:3" x14ac:dyDescent="0.3">
      <c r="A2388" s="284">
        <v>42478</v>
      </c>
      <c r="B2388">
        <v>60.89</v>
      </c>
      <c r="C2388">
        <v>60.89</v>
      </c>
    </row>
    <row r="2389" spans="1:3" x14ac:dyDescent="0.3">
      <c r="A2389" s="284">
        <v>42475</v>
      </c>
      <c r="B2389">
        <v>60.51</v>
      </c>
      <c r="C2389">
        <v>60.51</v>
      </c>
    </row>
    <row r="2390" spans="1:3" x14ac:dyDescent="0.3">
      <c r="A2390" s="284">
        <v>42474</v>
      </c>
      <c r="B2390">
        <v>60.13</v>
      </c>
      <c r="C2390">
        <v>60.13</v>
      </c>
    </row>
    <row r="2391" spans="1:3" x14ac:dyDescent="0.3">
      <c r="A2391" s="284">
        <v>42473</v>
      </c>
      <c r="B2391">
        <v>60.21</v>
      </c>
      <c r="C2391">
        <v>60.2</v>
      </c>
    </row>
    <row r="2392" spans="1:3" x14ac:dyDescent="0.3">
      <c r="A2392" s="284">
        <v>42472</v>
      </c>
      <c r="B2392">
        <v>59.5</v>
      </c>
      <c r="C2392">
        <v>59.49</v>
      </c>
    </row>
    <row r="2393" spans="1:3" x14ac:dyDescent="0.3">
      <c r="A2393" s="284">
        <v>42471</v>
      </c>
      <c r="B2393">
        <v>60.9</v>
      </c>
      <c r="C2393">
        <v>60.9</v>
      </c>
    </row>
    <row r="2394" spans="1:3" x14ac:dyDescent="0.3">
      <c r="A2394" s="284">
        <v>42468</v>
      </c>
      <c r="B2394">
        <v>61.04</v>
      </c>
      <c r="C2394">
        <v>61.03</v>
      </c>
    </row>
    <row r="2395" spans="1:3" x14ac:dyDescent="0.3">
      <c r="A2395" s="284">
        <v>42467</v>
      </c>
      <c r="B2395">
        <v>61.17</v>
      </c>
      <c r="C2395">
        <v>61.17</v>
      </c>
    </row>
    <row r="2396" spans="1:3" x14ac:dyDescent="0.3">
      <c r="A2396" s="284">
        <v>42466</v>
      </c>
      <c r="B2396">
        <v>60.83</v>
      </c>
      <c r="C2396">
        <v>60.83</v>
      </c>
    </row>
    <row r="2397" spans="1:3" x14ac:dyDescent="0.3">
      <c r="A2397" s="284">
        <v>42465</v>
      </c>
      <c r="B2397">
        <v>60.04</v>
      </c>
      <c r="C2397">
        <v>60.04</v>
      </c>
    </row>
    <row r="2398" spans="1:3" x14ac:dyDescent="0.3">
      <c r="A2398" s="284">
        <v>42464</v>
      </c>
      <c r="B2398">
        <v>60.25</v>
      </c>
      <c r="C2398">
        <v>60.24</v>
      </c>
    </row>
    <row r="2399" spans="1:3" x14ac:dyDescent="0.3">
      <c r="A2399" s="284">
        <v>42461</v>
      </c>
      <c r="B2399">
        <v>61.02</v>
      </c>
      <c r="C2399">
        <v>61.01</v>
      </c>
    </row>
    <row r="2400" spans="1:3" x14ac:dyDescent="0.3">
      <c r="A2400" s="284">
        <v>42460</v>
      </c>
      <c r="B2400">
        <v>59.7</v>
      </c>
      <c r="C2400">
        <v>59.69</v>
      </c>
    </row>
    <row r="2401" spans="1:3" x14ac:dyDescent="0.3">
      <c r="A2401" s="284">
        <v>42459</v>
      </c>
      <c r="B2401">
        <v>60.01</v>
      </c>
      <c r="C2401">
        <v>60.01</v>
      </c>
    </row>
    <row r="2402" spans="1:3" x14ac:dyDescent="0.3">
      <c r="A2402" s="284">
        <v>42458</v>
      </c>
      <c r="B2402">
        <v>59.55</v>
      </c>
      <c r="C2402">
        <v>59.55</v>
      </c>
    </row>
    <row r="2403" spans="1:3" x14ac:dyDescent="0.3">
      <c r="A2403" s="284">
        <v>42457</v>
      </c>
      <c r="B2403">
        <v>58.96</v>
      </c>
      <c r="C2403">
        <v>58.96</v>
      </c>
    </row>
    <row r="2404" spans="1:3" x14ac:dyDescent="0.3">
      <c r="A2404" s="284">
        <v>42453</v>
      </c>
      <c r="B2404">
        <v>58.36</v>
      </c>
      <c r="C2404">
        <v>58.35</v>
      </c>
    </row>
    <row r="2405" spans="1:3" x14ac:dyDescent="0.3">
      <c r="A2405" s="284">
        <v>42452</v>
      </c>
      <c r="B2405">
        <v>58.83</v>
      </c>
      <c r="C2405">
        <v>58.82</v>
      </c>
    </row>
    <row r="2406" spans="1:3" x14ac:dyDescent="0.3">
      <c r="A2406" s="284">
        <v>42451</v>
      </c>
      <c r="B2406">
        <v>59.38</v>
      </c>
      <c r="C2406">
        <v>59.38</v>
      </c>
    </row>
    <row r="2407" spans="1:3" x14ac:dyDescent="0.3">
      <c r="A2407" s="284">
        <v>42450</v>
      </c>
      <c r="B2407">
        <v>59.1</v>
      </c>
      <c r="C2407">
        <v>59.1</v>
      </c>
    </row>
    <row r="2408" spans="1:3" x14ac:dyDescent="0.3">
      <c r="A2408" s="284">
        <v>42447</v>
      </c>
      <c r="B2408">
        <v>59.7</v>
      </c>
      <c r="C2408">
        <v>59.7</v>
      </c>
    </row>
    <row r="2409" spans="1:3" x14ac:dyDescent="0.3">
      <c r="A2409" s="284">
        <v>42446</v>
      </c>
      <c r="B2409">
        <v>59.55</v>
      </c>
      <c r="C2409">
        <v>59.55</v>
      </c>
    </row>
    <row r="2410" spans="1:3" x14ac:dyDescent="0.3">
      <c r="A2410" s="284">
        <v>42445</v>
      </c>
      <c r="B2410">
        <v>59.67</v>
      </c>
      <c r="C2410">
        <v>59.68</v>
      </c>
    </row>
    <row r="2411" spans="1:3" x14ac:dyDescent="0.3">
      <c r="A2411" s="284">
        <v>42444</v>
      </c>
      <c r="B2411">
        <v>59.08</v>
      </c>
      <c r="C2411">
        <v>59.08</v>
      </c>
    </row>
    <row r="2412" spans="1:3" x14ac:dyDescent="0.3">
      <c r="A2412" s="284">
        <v>42443</v>
      </c>
      <c r="B2412">
        <v>58.65</v>
      </c>
      <c r="C2412">
        <v>58.65</v>
      </c>
    </row>
    <row r="2413" spans="1:3" x14ac:dyDescent="0.3">
      <c r="A2413" s="284">
        <v>42440</v>
      </c>
      <c r="B2413">
        <v>57.59</v>
      </c>
      <c r="C2413">
        <v>57.59</v>
      </c>
    </row>
    <row r="2414" spans="1:3" x14ac:dyDescent="0.3">
      <c r="A2414" s="284">
        <v>42439</v>
      </c>
      <c r="B2414">
        <v>57.52</v>
      </c>
      <c r="C2414">
        <v>57.53</v>
      </c>
    </row>
    <row r="2415" spans="1:3" x14ac:dyDescent="0.3">
      <c r="A2415" s="284">
        <v>42438</v>
      </c>
      <c r="B2415">
        <v>57.07</v>
      </c>
      <c r="C2415">
        <v>57.07</v>
      </c>
    </row>
    <row r="2416" spans="1:3" x14ac:dyDescent="0.3">
      <c r="A2416" s="284">
        <v>42437</v>
      </c>
      <c r="B2416">
        <v>57.6</v>
      </c>
      <c r="C2416">
        <v>57.6</v>
      </c>
    </row>
    <row r="2417" spans="1:3" x14ac:dyDescent="0.3">
      <c r="A2417" s="284">
        <v>42436</v>
      </c>
      <c r="B2417">
        <v>58</v>
      </c>
      <c r="C2417">
        <v>58</v>
      </c>
    </row>
    <row r="2418" spans="1:3" x14ac:dyDescent="0.3">
      <c r="A2418" s="284">
        <v>42433</v>
      </c>
      <c r="B2418">
        <v>58.7</v>
      </c>
      <c r="C2418">
        <v>58.69</v>
      </c>
    </row>
    <row r="2419" spans="1:3" x14ac:dyDescent="0.3">
      <c r="A2419" s="284">
        <v>42432</v>
      </c>
      <c r="B2419">
        <v>59.04</v>
      </c>
      <c r="C2419">
        <v>59.03</v>
      </c>
    </row>
    <row r="2420" spans="1:3" x14ac:dyDescent="0.3">
      <c r="A2420" s="284">
        <v>42431</v>
      </c>
      <c r="B2420">
        <v>59.56</v>
      </c>
      <c r="C2420">
        <v>59.55</v>
      </c>
    </row>
    <row r="2421" spans="1:3" x14ac:dyDescent="0.3">
      <c r="A2421" s="284">
        <v>42430</v>
      </c>
      <c r="B2421">
        <v>60.04</v>
      </c>
      <c r="C2421">
        <v>60.03</v>
      </c>
    </row>
    <row r="2422" spans="1:3" x14ac:dyDescent="0.3">
      <c r="A2422" s="284">
        <v>42429</v>
      </c>
      <c r="B2422">
        <v>58.21</v>
      </c>
      <c r="C2422">
        <v>58.19</v>
      </c>
    </row>
    <row r="2423" spans="1:3" x14ac:dyDescent="0.3">
      <c r="A2423" s="284">
        <v>42426</v>
      </c>
      <c r="B2423">
        <v>58.34</v>
      </c>
      <c r="C2423">
        <v>58.32</v>
      </c>
    </row>
    <row r="2424" spans="1:3" x14ac:dyDescent="0.3">
      <c r="A2424" s="284">
        <v>42425</v>
      </c>
      <c r="B2424">
        <v>58.75</v>
      </c>
      <c r="C2424">
        <v>58.74</v>
      </c>
    </row>
    <row r="2425" spans="1:3" x14ac:dyDescent="0.3">
      <c r="A2425" s="284">
        <v>42424</v>
      </c>
      <c r="B2425">
        <v>58.11</v>
      </c>
      <c r="C2425">
        <v>58.11</v>
      </c>
    </row>
    <row r="2426" spans="1:3" x14ac:dyDescent="0.3">
      <c r="A2426" s="284">
        <v>42423</v>
      </c>
      <c r="B2426">
        <v>58.46</v>
      </c>
      <c r="C2426">
        <v>58.46</v>
      </c>
    </row>
    <row r="2427" spans="1:3" x14ac:dyDescent="0.3">
      <c r="A2427" s="284">
        <v>42422</v>
      </c>
      <c r="B2427">
        <v>58.87</v>
      </c>
      <c r="C2427">
        <v>58.85</v>
      </c>
    </row>
    <row r="2428" spans="1:3" x14ac:dyDescent="0.3">
      <c r="A2428" s="284">
        <v>42419</v>
      </c>
      <c r="B2428">
        <v>57.67</v>
      </c>
      <c r="C2428">
        <v>57.65</v>
      </c>
    </row>
    <row r="2429" spans="1:3" x14ac:dyDescent="0.3">
      <c r="A2429" s="284">
        <v>42418</v>
      </c>
      <c r="B2429">
        <v>56.96</v>
      </c>
      <c r="C2429">
        <v>56.94</v>
      </c>
    </row>
    <row r="2430" spans="1:3" x14ac:dyDescent="0.3">
      <c r="A2430" s="284">
        <v>42417</v>
      </c>
      <c r="B2430">
        <v>57.63</v>
      </c>
      <c r="C2430">
        <v>57.62</v>
      </c>
    </row>
    <row r="2431" spans="1:3" x14ac:dyDescent="0.3">
      <c r="A2431" s="284">
        <v>42416</v>
      </c>
      <c r="B2431">
        <v>56.41</v>
      </c>
      <c r="C2431">
        <v>56.4</v>
      </c>
    </row>
    <row r="2432" spans="1:3" x14ac:dyDescent="0.3">
      <c r="A2432" s="284">
        <v>42412</v>
      </c>
      <c r="B2432">
        <v>55.86</v>
      </c>
      <c r="C2432">
        <v>55.85</v>
      </c>
    </row>
    <row r="2433" spans="1:3" x14ac:dyDescent="0.3">
      <c r="A2433" s="284">
        <v>42411</v>
      </c>
      <c r="B2433">
        <v>54.92</v>
      </c>
      <c r="C2433">
        <v>54.9</v>
      </c>
    </row>
    <row r="2434" spans="1:3" x14ac:dyDescent="0.3">
      <c r="A2434" s="284">
        <v>42410</v>
      </c>
      <c r="B2434">
        <v>55.14</v>
      </c>
      <c r="C2434">
        <v>55.13</v>
      </c>
    </row>
    <row r="2435" spans="1:3" x14ac:dyDescent="0.3">
      <c r="A2435" s="284">
        <v>42409</v>
      </c>
      <c r="B2435">
        <v>54.42</v>
      </c>
      <c r="C2435">
        <v>54.41</v>
      </c>
    </row>
    <row r="2436" spans="1:3" x14ac:dyDescent="0.3">
      <c r="A2436" s="284">
        <v>42408</v>
      </c>
      <c r="B2436">
        <v>54.14</v>
      </c>
      <c r="C2436">
        <v>54.13</v>
      </c>
    </row>
    <row r="2437" spans="1:3" x14ac:dyDescent="0.3">
      <c r="A2437" s="284">
        <v>42405</v>
      </c>
      <c r="B2437">
        <v>54.49</v>
      </c>
      <c r="C2437">
        <v>54.48</v>
      </c>
    </row>
    <row r="2438" spans="1:3" x14ac:dyDescent="0.3">
      <c r="A2438" s="284">
        <v>42404</v>
      </c>
      <c r="B2438">
        <v>58.29</v>
      </c>
      <c r="C2438">
        <v>58.28</v>
      </c>
    </row>
    <row r="2439" spans="1:3" x14ac:dyDescent="0.3">
      <c r="A2439" s="284">
        <v>42403</v>
      </c>
      <c r="B2439">
        <v>59.53</v>
      </c>
      <c r="C2439">
        <v>59.52</v>
      </c>
    </row>
    <row r="2440" spans="1:3" x14ac:dyDescent="0.3">
      <c r="A2440" s="284">
        <v>42402</v>
      </c>
      <c r="B2440">
        <v>60.695</v>
      </c>
      <c r="C2440">
        <v>60.69</v>
      </c>
    </row>
    <row r="2441" spans="1:3" x14ac:dyDescent="0.3">
      <c r="A2441" s="284">
        <v>42401</v>
      </c>
      <c r="B2441">
        <v>61.4</v>
      </c>
      <c r="C2441">
        <v>61.4</v>
      </c>
    </row>
    <row r="2442" spans="1:3" x14ac:dyDescent="0.3">
      <c r="A2442" s="284">
        <v>42398</v>
      </c>
      <c r="B2442">
        <v>60.77</v>
      </c>
      <c r="C2442">
        <v>60.74</v>
      </c>
    </row>
    <row r="2443" spans="1:3" x14ac:dyDescent="0.3">
      <c r="A2443" s="284">
        <v>42397</v>
      </c>
      <c r="B2443">
        <v>59.284999999999997</v>
      </c>
      <c r="C2443">
        <v>59.28</v>
      </c>
    </row>
    <row r="2444" spans="1:3" x14ac:dyDescent="0.3">
      <c r="A2444" s="284">
        <v>42396</v>
      </c>
      <c r="B2444">
        <v>57.63</v>
      </c>
      <c r="C2444">
        <v>57.63</v>
      </c>
    </row>
    <row r="2445" spans="1:3" x14ac:dyDescent="0.3">
      <c r="A2445" s="284">
        <v>42395</v>
      </c>
      <c r="B2445">
        <v>58.61</v>
      </c>
      <c r="C2445">
        <v>58.6</v>
      </c>
    </row>
    <row r="2446" spans="1:3" x14ac:dyDescent="0.3">
      <c r="A2446" s="284">
        <v>42394</v>
      </c>
      <c r="B2446">
        <v>57.71</v>
      </c>
      <c r="C2446">
        <v>57.7</v>
      </c>
    </row>
    <row r="2447" spans="1:3" x14ac:dyDescent="0.3">
      <c r="A2447" s="284">
        <v>42391</v>
      </c>
      <c r="B2447">
        <v>59.17</v>
      </c>
      <c r="C2447">
        <v>59.17</v>
      </c>
    </row>
    <row r="2448" spans="1:3" x14ac:dyDescent="0.3">
      <c r="A2448" s="284">
        <v>42390</v>
      </c>
      <c r="B2448">
        <v>59.03</v>
      </c>
      <c r="C2448">
        <v>58.94</v>
      </c>
    </row>
    <row r="2449" spans="1:3" x14ac:dyDescent="0.3">
      <c r="A2449" s="284">
        <v>42389</v>
      </c>
      <c r="B2449">
        <v>56.92</v>
      </c>
      <c r="C2449">
        <v>56.91</v>
      </c>
    </row>
    <row r="2450" spans="1:3" x14ac:dyDescent="0.3">
      <c r="A2450" s="284">
        <v>42388</v>
      </c>
      <c r="B2450">
        <v>58.55</v>
      </c>
      <c r="C2450">
        <v>58.54</v>
      </c>
    </row>
    <row r="2451" spans="1:3" x14ac:dyDescent="0.3">
      <c r="A2451" s="284">
        <v>42384</v>
      </c>
      <c r="B2451">
        <v>58</v>
      </c>
      <c r="C2451">
        <v>58</v>
      </c>
    </row>
    <row r="2452" spans="1:3" x14ac:dyDescent="0.3">
      <c r="A2452" s="284">
        <v>42383</v>
      </c>
      <c r="B2452">
        <v>58.98</v>
      </c>
      <c r="C2452">
        <v>58.96</v>
      </c>
    </row>
    <row r="2453" spans="1:3" x14ac:dyDescent="0.3">
      <c r="A2453" s="284">
        <v>42382</v>
      </c>
      <c r="B2453">
        <v>57.87</v>
      </c>
      <c r="C2453">
        <v>57.86</v>
      </c>
    </row>
    <row r="2454" spans="1:3" x14ac:dyDescent="0.3">
      <c r="A2454" s="284">
        <v>42381</v>
      </c>
      <c r="B2454">
        <v>59.46</v>
      </c>
      <c r="C2454">
        <v>59.44</v>
      </c>
    </row>
    <row r="2455" spans="1:3" x14ac:dyDescent="0.3">
      <c r="A2455" s="284">
        <v>42380</v>
      </c>
      <c r="B2455">
        <v>57.82</v>
      </c>
      <c r="C2455">
        <v>57.82</v>
      </c>
    </row>
    <row r="2456" spans="1:3" x14ac:dyDescent="0.3">
      <c r="A2456" s="284">
        <v>42377</v>
      </c>
      <c r="B2456">
        <v>56.63</v>
      </c>
      <c r="C2456">
        <v>56.63</v>
      </c>
    </row>
    <row r="2457" spans="1:3" x14ac:dyDescent="0.3">
      <c r="A2457" s="284">
        <v>42376</v>
      </c>
      <c r="B2457">
        <v>56.69</v>
      </c>
      <c r="C2457">
        <v>56.69</v>
      </c>
    </row>
    <row r="2458" spans="1:3" x14ac:dyDescent="0.3">
      <c r="A2458" s="284">
        <v>42375</v>
      </c>
      <c r="B2458">
        <v>58.13</v>
      </c>
      <c r="C2458">
        <v>58.13</v>
      </c>
    </row>
    <row r="2459" spans="1:3" x14ac:dyDescent="0.3">
      <c r="A2459" s="284">
        <v>42374</v>
      </c>
      <c r="B2459">
        <v>58.65</v>
      </c>
      <c r="C2459">
        <v>58.64</v>
      </c>
    </row>
    <row r="2460" spans="1:3" x14ac:dyDescent="0.3">
      <c r="A2460" s="284">
        <v>42373</v>
      </c>
      <c r="B2460">
        <v>58.26</v>
      </c>
      <c r="C2460">
        <v>58.25</v>
      </c>
    </row>
    <row r="2461" spans="1:3" x14ac:dyDescent="0.3">
      <c r="A2461" s="284">
        <v>42369</v>
      </c>
      <c r="B2461">
        <v>60.03</v>
      </c>
      <c r="C2461">
        <v>60.02</v>
      </c>
    </row>
    <row r="2462" spans="1:3" x14ac:dyDescent="0.3">
      <c r="A2462" s="284">
        <v>42368</v>
      </c>
      <c r="B2462">
        <v>60.82</v>
      </c>
      <c r="C2462">
        <v>60.82</v>
      </c>
    </row>
    <row r="2463" spans="1:3" x14ac:dyDescent="0.3">
      <c r="A2463" s="284">
        <v>42367</v>
      </c>
      <c r="B2463">
        <v>61.13</v>
      </c>
      <c r="C2463">
        <v>61.13</v>
      </c>
    </row>
    <row r="2464" spans="1:3" x14ac:dyDescent="0.3">
      <c r="A2464" s="284">
        <v>42366</v>
      </c>
      <c r="B2464">
        <v>60.19</v>
      </c>
      <c r="C2464">
        <v>60.18</v>
      </c>
    </row>
    <row r="2465" spans="1:3" x14ac:dyDescent="0.3">
      <c r="A2465" s="284">
        <v>42362</v>
      </c>
      <c r="B2465">
        <v>60.32</v>
      </c>
      <c r="C2465">
        <v>60.31</v>
      </c>
    </row>
    <row r="2466" spans="1:3" x14ac:dyDescent="0.3">
      <c r="A2466" s="284">
        <v>42361</v>
      </c>
      <c r="B2466">
        <v>60.34</v>
      </c>
      <c r="C2466">
        <v>60.34</v>
      </c>
    </row>
    <row r="2467" spans="1:3" x14ac:dyDescent="0.3">
      <c r="A2467" s="284">
        <v>42360</v>
      </c>
      <c r="B2467">
        <v>59.99</v>
      </c>
      <c r="C2467">
        <v>59.99</v>
      </c>
    </row>
    <row r="2468" spans="1:3" x14ac:dyDescent="0.3">
      <c r="A2468" s="284">
        <v>42359</v>
      </c>
      <c r="B2468">
        <v>59.54</v>
      </c>
      <c r="C2468">
        <v>59.53</v>
      </c>
    </row>
    <row r="2469" spans="1:3" x14ac:dyDescent="0.3">
      <c r="A2469" s="284">
        <v>42356</v>
      </c>
      <c r="B2469">
        <v>58.62</v>
      </c>
      <c r="C2469">
        <v>58.5</v>
      </c>
    </row>
    <row r="2470" spans="1:3" x14ac:dyDescent="0.3">
      <c r="A2470" s="284">
        <v>42355</v>
      </c>
      <c r="B2470">
        <v>59.515000000000001</v>
      </c>
      <c r="C2470">
        <v>59.51</v>
      </c>
    </row>
    <row r="2471" spans="1:3" x14ac:dyDescent="0.3">
      <c r="A2471" s="284">
        <v>42354</v>
      </c>
      <c r="B2471">
        <v>60.35</v>
      </c>
      <c r="C2471">
        <v>60.35</v>
      </c>
    </row>
    <row r="2472" spans="1:3" x14ac:dyDescent="0.3">
      <c r="A2472" s="284">
        <v>42353</v>
      </c>
      <c r="B2472">
        <v>59.98</v>
      </c>
      <c r="C2472">
        <v>59.98</v>
      </c>
    </row>
    <row r="2473" spans="1:3" x14ac:dyDescent="0.3">
      <c r="A2473" s="284">
        <v>42352</v>
      </c>
      <c r="B2473">
        <v>59.92</v>
      </c>
      <c r="C2473">
        <v>59.91</v>
      </c>
    </row>
    <row r="2474" spans="1:3" x14ac:dyDescent="0.3">
      <c r="A2474" s="284">
        <v>42349</v>
      </c>
      <c r="B2474">
        <v>59.82</v>
      </c>
      <c r="C2474">
        <v>59.8</v>
      </c>
    </row>
    <row r="2475" spans="1:3" x14ac:dyDescent="0.3">
      <c r="A2475" s="284">
        <v>42348</v>
      </c>
      <c r="B2475">
        <v>61.87</v>
      </c>
      <c r="C2475">
        <v>61.86</v>
      </c>
    </row>
    <row r="2476" spans="1:3" x14ac:dyDescent="0.3">
      <c r="A2476" s="284">
        <v>42347</v>
      </c>
      <c r="B2476">
        <v>61.18</v>
      </c>
      <c r="C2476">
        <v>61.17</v>
      </c>
    </row>
    <row r="2477" spans="1:3" x14ac:dyDescent="0.3">
      <c r="A2477" s="284">
        <v>42346</v>
      </c>
      <c r="B2477">
        <v>62.16</v>
      </c>
      <c r="C2477">
        <v>62.16</v>
      </c>
    </row>
    <row r="2478" spans="1:3" x14ac:dyDescent="0.3">
      <c r="A2478" s="284">
        <v>42345</v>
      </c>
      <c r="B2478">
        <v>61.89</v>
      </c>
      <c r="C2478">
        <v>61.88</v>
      </c>
    </row>
    <row r="2479" spans="1:3" x14ac:dyDescent="0.3">
      <c r="A2479" s="284">
        <v>42342</v>
      </c>
      <c r="B2479">
        <v>61.75</v>
      </c>
      <c r="C2479">
        <v>61.73</v>
      </c>
    </row>
    <row r="2480" spans="1:3" x14ac:dyDescent="0.3">
      <c r="A2480" s="284">
        <v>42341</v>
      </c>
      <c r="B2480">
        <v>59.55</v>
      </c>
      <c r="C2480">
        <v>59.55</v>
      </c>
    </row>
    <row r="2481" spans="1:3" x14ac:dyDescent="0.3">
      <c r="A2481" s="284">
        <v>42340</v>
      </c>
      <c r="B2481">
        <v>61.22</v>
      </c>
      <c r="C2481">
        <v>61.22</v>
      </c>
    </row>
    <row r="2482" spans="1:3" x14ac:dyDescent="0.3">
      <c r="A2482" s="284">
        <v>42339</v>
      </c>
      <c r="B2482">
        <v>61.37</v>
      </c>
      <c r="C2482">
        <v>61.36</v>
      </c>
    </row>
    <row r="2483" spans="1:3" x14ac:dyDescent="0.3">
      <c r="A2483" s="284">
        <v>42338</v>
      </c>
      <c r="B2483">
        <v>61.39</v>
      </c>
      <c r="C2483">
        <v>61.38</v>
      </c>
    </row>
    <row r="2484" spans="1:3" x14ac:dyDescent="0.3">
      <c r="A2484" s="284">
        <v>42335</v>
      </c>
      <c r="B2484">
        <v>62.18</v>
      </c>
      <c r="C2484">
        <v>62.17</v>
      </c>
    </row>
    <row r="2485" spans="1:3" x14ac:dyDescent="0.3">
      <c r="A2485" s="284">
        <v>42333</v>
      </c>
      <c r="B2485">
        <v>62.19</v>
      </c>
      <c r="C2485">
        <v>62.19</v>
      </c>
    </row>
    <row r="2486" spans="1:3" x14ac:dyDescent="0.3">
      <c r="A2486" s="284">
        <v>42332</v>
      </c>
      <c r="B2486">
        <v>61.96</v>
      </c>
      <c r="C2486">
        <v>61.96</v>
      </c>
    </row>
    <row r="2487" spans="1:3" x14ac:dyDescent="0.3">
      <c r="A2487" s="284">
        <v>42331</v>
      </c>
      <c r="B2487">
        <v>62.64</v>
      </c>
      <c r="C2487">
        <v>62.64</v>
      </c>
    </row>
    <row r="2488" spans="1:3" x14ac:dyDescent="0.3">
      <c r="A2488" s="284">
        <v>42328</v>
      </c>
      <c r="B2488">
        <v>61.99</v>
      </c>
      <c r="C2488">
        <v>61.99</v>
      </c>
    </row>
    <row r="2489" spans="1:3" x14ac:dyDescent="0.3">
      <c r="A2489" s="284">
        <v>42327</v>
      </c>
      <c r="B2489">
        <v>61.46</v>
      </c>
      <c r="C2489">
        <v>61.44</v>
      </c>
    </row>
    <row r="2490" spans="1:3" x14ac:dyDescent="0.3">
      <c r="A2490" s="284">
        <v>42326</v>
      </c>
      <c r="B2490">
        <v>61.8</v>
      </c>
      <c r="C2490">
        <v>61.79</v>
      </c>
    </row>
    <row r="2491" spans="1:3" x14ac:dyDescent="0.3">
      <c r="A2491" s="284">
        <v>42325</v>
      </c>
      <c r="B2491">
        <v>60.55</v>
      </c>
      <c r="C2491">
        <v>60.54</v>
      </c>
    </row>
    <row r="2492" spans="1:3" x14ac:dyDescent="0.3">
      <c r="A2492" s="284">
        <v>42324</v>
      </c>
      <c r="B2492">
        <v>60.68</v>
      </c>
      <c r="C2492">
        <v>60.66</v>
      </c>
    </row>
    <row r="2493" spans="1:3" x14ac:dyDescent="0.3">
      <c r="A2493" s="284">
        <v>42321</v>
      </c>
      <c r="B2493">
        <v>59.74</v>
      </c>
      <c r="C2493">
        <v>59.72</v>
      </c>
    </row>
    <row r="2494" spans="1:3" x14ac:dyDescent="0.3">
      <c r="A2494" s="284">
        <v>42320</v>
      </c>
      <c r="B2494">
        <v>61.07</v>
      </c>
      <c r="C2494">
        <v>61.06</v>
      </c>
    </row>
    <row r="2495" spans="1:3" x14ac:dyDescent="0.3">
      <c r="A2495" s="284">
        <v>42319</v>
      </c>
      <c r="B2495">
        <v>61.87</v>
      </c>
      <c r="C2495">
        <v>61.86</v>
      </c>
    </row>
    <row r="2496" spans="1:3" x14ac:dyDescent="0.3">
      <c r="A2496" s="284">
        <v>42318</v>
      </c>
      <c r="B2496">
        <v>62.18</v>
      </c>
      <c r="C2496">
        <v>62.19</v>
      </c>
    </row>
    <row r="2497" spans="1:3" x14ac:dyDescent="0.3">
      <c r="A2497" s="284">
        <v>42317</v>
      </c>
      <c r="B2497">
        <v>61.34</v>
      </c>
      <c r="C2497">
        <v>61.33</v>
      </c>
    </row>
    <row r="2498" spans="1:3" x14ac:dyDescent="0.3">
      <c r="A2498" s="284">
        <v>42314</v>
      </c>
      <c r="B2498">
        <v>61.97</v>
      </c>
      <c r="C2498">
        <v>61.96</v>
      </c>
    </row>
    <row r="2499" spans="1:3" x14ac:dyDescent="0.3">
      <c r="A2499" s="284">
        <v>42313</v>
      </c>
      <c r="B2499">
        <v>62.28</v>
      </c>
      <c r="C2499">
        <v>62.27</v>
      </c>
    </row>
    <row r="2500" spans="1:3" x14ac:dyDescent="0.3">
      <c r="A2500" s="284">
        <v>42312</v>
      </c>
      <c r="B2500">
        <v>61.96</v>
      </c>
      <c r="C2500">
        <v>61.95</v>
      </c>
    </row>
    <row r="2501" spans="1:3" x14ac:dyDescent="0.3">
      <c r="A2501" s="284">
        <v>42311</v>
      </c>
      <c r="B2501">
        <v>62.8</v>
      </c>
      <c r="C2501">
        <v>62.79</v>
      </c>
    </row>
    <row r="2502" spans="1:3" x14ac:dyDescent="0.3">
      <c r="A2502" s="284">
        <v>42310</v>
      </c>
      <c r="B2502">
        <v>62.24</v>
      </c>
      <c r="C2502">
        <v>62.22</v>
      </c>
    </row>
    <row r="2503" spans="1:3" x14ac:dyDescent="0.3">
      <c r="A2503" s="284">
        <v>42307</v>
      </c>
      <c r="B2503">
        <v>62.57</v>
      </c>
      <c r="C2503">
        <v>62.57</v>
      </c>
    </row>
    <row r="2504" spans="1:3" x14ac:dyDescent="0.3">
      <c r="A2504" s="284">
        <v>42306</v>
      </c>
      <c r="B2504">
        <v>62.5</v>
      </c>
      <c r="C2504">
        <v>62.5</v>
      </c>
    </row>
    <row r="2505" spans="1:3" x14ac:dyDescent="0.3">
      <c r="A2505" s="284">
        <v>42305</v>
      </c>
      <c r="B2505">
        <v>63.51</v>
      </c>
      <c r="C2505">
        <v>63.5</v>
      </c>
    </row>
    <row r="2506" spans="1:3" x14ac:dyDescent="0.3">
      <c r="A2506" s="284">
        <v>42304</v>
      </c>
      <c r="B2506">
        <v>62.71</v>
      </c>
      <c r="C2506">
        <v>62.69</v>
      </c>
    </row>
    <row r="2507" spans="1:3" x14ac:dyDescent="0.3">
      <c r="A2507" s="284">
        <v>42303</v>
      </c>
      <c r="B2507">
        <v>63.43</v>
      </c>
      <c r="C2507">
        <v>63.42</v>
      </c>
    </row>
    <row r="2508" spans="1:3" x14ac:dyDescent="0.3">
      <c r="A2508" s="284">
        <v>42300</v>
      </c>
      <c r="B2508">
        <v>62.61</v>
      </c>
      <c r="C2508">
        <v>62.59</v>
      </c>
    </row>
    <row r="2509" spans="1:3" x14ac:dyDescent="0.3">
      <c r="A2509" s="284">
        <v>42299</v>
      </c>
      <c r="B2509">
        <v>61.49</v>
      </c>
      <c r="C2509">
        <v>61.47</v>
      </c>
    </row>
    <row r="2510" spans="1:3" x14ac:dyDescent="0.3">
      <c r="A2510" s="284">
        <v>42298</v>
      </c>
      <c r="B2510">
        <v>60.53</v>
      </c>
      <c r="C2510">
        <v>60.52</v>
      </c>
    </row>
    <row r="2511" spans="1:3" x14ac:dyDescent="0.3">
      <c r="A2511" s="284">
        <v>42297</v>
      </c>
      <c r="B2511">
        <v>60.88</v>
      </c>
      <c r="C2511">
        <v>60.86</v>
      </c>
    </row>
    <row r="2512" spans="1:3" x14ac:dyDescent="0.3">
      <c r="A2512" s="284">
        <v>42296</v>
      </c>
      <c r="B2512">
        <v>60.97</v>
      </c>
      <c r="C2512">
        <v>60.97</v>
      </c>
    </row>
    <row r="2513" spans="1:3" x14ac:dyDescent="0.3">
      <c r="A2513" s="284">
        <v>42293</v>
      </c>
      <c r="B2513">
        <v>59.93</v>
      </c>
      <c r="C2513">
        <v>59.91</v>
      </c>
    </row>
    <row r="2514" spans="1:3" x14ac:dyDescent="0.3">
      <c r="A2514" s="284">
        <v>42292</v>
      </c>
      <c r="B2514">
        <v>59.69</v>
      </c>
      <c r="C2514">
        <v>59.69</v>
      </c>
    </row>
    <row r="2515" spans="1:3" x14ac:dyDescent="0.3">
      <c r="A2515" s="284">
        <v>42291</v>
      </c>
      <c r="B2515">
        <v>58.82</v>
      </c>
      <c r="C2515">
        <v>58.81</v>
      </c>
    </row>
    <row r="2516" spans="1:3" x14ac:dyDescent="0.3">
      <c r="A2516" s="284">
        <v>42290</v>
      </c>
      <c r="B2516">
        <v>60.16</v>
      </c>
      <c r="C2516">
        <v>60.15</v>
      </c>
    </row>
    <row r="2517" spans="1:3" x14ac:dyDescent="0.3">
      <c r="A2517" s="284">
        <v>42289</v>
      </c>
      <c r="B2517">
        <v>60.54</v>
      </c>
      <c r="C2517">
        <v>60.52</v>
      </c>
    </row>
    <row r="2518" spans="1:3" x14ac:dyDescent="0.3">
      <c r="A2518" s="284">
        <v>42286</v>
      </c>
      <c r="B2518">
        <v>60.07</v>
      </c>
      <c r="C2518">
        <v>60.06</v>
      </c>
    </row>
    <row r="2519" spans="1:3" x14ac:dyDescent="0.3">
      <c r="A2519" s="284">
        <v>42285</v>
      </c>
      <c r="B2519">
        <v>59.46</v>
      </c>
      <c r="C2519">
        <v>59.46</v>
      </c>
    </row>
    <row r="2520" spans="1:3" x14ac:dyDescent="0.3">
      <c r="A2520" s="284">
        <v>42284</v>
      </c>
      <c r="B2520">
        <v>58.78</v>
      </c>
      <c r="C2520">
        <v>58.78</v>
      </c>
    </row>
    <row r="2521" spans="1:3" x14ac:dyDescent="0.3">
      <c r="A2521" s="284">
        <v>42283</v>
      </c>
      <c r="B2521">
        <v>58.69</v>
      </c>
      <c r="C2521">
        <v>58.68</v>
      </c>
    </row>
    <row r="2522" spans="1:3" x14ac:dyDescent="0.3">
      <c r="A2522" s="284">
        <v>42282</v>
      </c>
      <c r="B2522">
        <v>59.04</v>
      </c>
      <c r="C2522">
        <v>59.03</v>
      </c>
    </row>
    <row r="2523" spans="1:3" x14ac:dyDescent="0.3">
      <c r="A2523" s="284">
        <v>42279</v>
      </c>
      <c r="B2523">
        <v>58.08</v>
      </c>
      <c r="C2523">
        <v>58.07</v>
      </c>
    </row>
    <row r="2524" spans="1:3" x14ac:dyDescent="0.3">
      <c r="A2524" s="284">
        <v>42278</v>
      </c>
      <c r="B2524">
        <v>57.48</v>
      </c>
      <c r="C2524">
        <v>57.46</v>
      </c>
    </row>
    <row r="2525" spans="1:3" x14ac:dyDescent="0.3">
      <c r="A2525" s="284">
        <v>42277</v>
      </c>
      <c r="B2525">
        <v>56.84</v>
      </c>
      <c r="C2525">
        <v>56.82</v>
      </c>
    </row>
    <row r="2526" spans="1:3" x14ac:dyDescent="0.3">
      <c r="A2526" s="284">
        <v>42276</v>
      </c>
      <c r="B2526">
        <v>55.72</v>
      </c>
      <c r="C2526">
        <v>55.72</v>
      </c>
    </row>
    <row r="2527" spans="1:3" x14ac:dyDescent="0.3">
      <c r="A2527" s="284">
        <v>42275</v>
      </c>
      <c r="B2527">
        <v>55.77</v>
      </c>
      <c r="C2527">
        <v>55.76</v>
      </c>
    </row>
    <row r="2528" spans="1:3" x14ac:dyDescent="0.3">
      <c r="A2528" s="284">
        <v>42272</v>
      </c>
      <c r="B2528">
        <v>57.99</v>
      </c>
      <c r="C2528">
        <v>57.98</v>
      </c>
    </row>
    <row r="2529" spans="1:3" x14ac:dyDescent="0.3">
      <c r="A2529" s="284">
        <v>42271</v>
      </c>
      <c r="B2529">
        <v>58.37</v>
      </c>
      <c r="C2529">
        <v>58.38</v>
      </c>
    </row>
    <row r="2530" spans="1:3" x14ac:dyDescent="0.3">
      <c r="A2530" s="284">
        <v>42270</v>
      </c>
      <c r="B2530">
        <v>57.79</v>
      </c>
      <c r="C2530">
        <v>57.8</v>
      </c>
    </row>
    <row r="2531" spans="1:3" x14ac:dyDescent="0.3">
      <c r="A2531" s="284">
        <v>42269</v>
      </c>
      <c r="B2531">
        <v>57.12</v>
      </c>
      <c r="C2531">
        <v>57.1</v>
      </c>
    </row>
    <row r="2532" spans="1:3" x14ac:dyDescent="0.3">
      <c r="A2532" s="284">
        <v>42268</v>
      </c>
      <c r="B2532">
        <v>57.54</v>
      </c>
      <c r="C2532">
        <v>57.54</v>
      </c>
    </row>
    <row r="2533" spans="1:3" x14ac:dyDescent="0.3">
      <c r="A2533" s="284">
        <v>42265</v>
      </c>
      <c r="B2533">
        <v>56.84</v>
      </c>
      <c r="C2533">
        <v>56.84</v>
      </c>
    </row>
    <row r="2534" spans="1:3" x14ac:dyDescent="0.3">
      <c r="A2534" s="284">
        <v>42264</v>
      </c>
      <c r="B2534">
        <v>57.28</v>
      </c>
      <c r="C2534">
        <v>57.28</v>
      </c>
    </row>
    <row r="2535" spans="1:3" x14ac:dyDescent="0.3">
      <c r="A2535" s="284">
        <v>42263</v>
      </c>
      <c r="B2535">
        <v>57.26</v>
      </c>
      <c r="C2535">
        <v>57.27</v>
      </c>
    </row>
    <row r="2536" spans="1:3" x14ac:dyDescent="0.3">
      <c r="A2536" s="284">
        <v>42262</v>
      </c>
      <c r="B2536">
        <v>56.91</v>
      </c>
      <c r="C2536">
        <v>56.91</v>
      </c>
    </row>
    <row r="2537" spans="1:3" x14ac:dyDescent="0.3">
      <c r="A2537" s="284">
        <v>42261</v>
      </c>
      <c r="B2537">
        <v>56.29</v>
      </c>
      <c r="C2537">
        <v>56.28</v>
      </c>
    </row>
    <row r="2538" spans="1:3" x14ac:dyDescent="0.3">
      <c r="A2538" s="284">
        <v>42258</v>
      </c>
      <c r="B2538">
        <v>56.53</v>
      </c>
      <c r="C2538">
        <v>56.51</v>
      </c>
    </row>
    <row r="2539" spans="1:3" x14ac:dyDescent="0.3">
      <c r="A2539" s="284">
        <v>42257</v>
      </c>
      <c r="B2539">
        <v>55.37</v>
      </c>
      <c r="C2539">
        <v>55.36</v>
      </c>
    </row>
    <row r="2540" spans="1:3" x14ac:dyDescent="0.3">
      <c r="A2540" s="284">
        <v>42256</v>
      </c>
      <c r="B2540">
        <v>54.69</v>
      </c>
      <c r="C2540">
        <v>54.68</v>
      </c>
    </row>
    <row r="2541" spans="1:3" x14ac:dyDescent="0.3">
      <c r="A2541" s="284">
        <v>42255</v>
      </c>
      <c r="B2541">
        <v>55.21</v>
      </c>
      <c r="C2541">
        <v>55.2</v>
      </c>
    </row>
    <row r="2542" spans="1:3" x14ac:dyDescent="0.3">
      <c r="A2542" s="284">
        <v>42251</v>
      </c>
      <c r="B2542">
        <v>54.28</v>
      </c>
      <c r="C2542">
        <v>54.26</v>
      </c>
    </row>
    <row r="2543" spans="1:3" x14ac:dyDescent="0.3">
      <c r="A2543" s="284">
        <v>42250</v>
      </c>
      <c r="B2543">
        <v>54.69</v>
      </c>
      <c r="C2543">
        <v>54.67</v>
      </c>
    </row>
    <row r="2544" spans="1:3" x14ac:dyDescent="0.3">
      <c r="A2544" s="284">
        <v>42249</v>
      </c>
      <c r="B2544">
        <v>55.26</v>
      </c>
      <c r="C2544">
        <v>55.25</v>
      </c>
    </row>
    <row r="2545" spans="1:3" x14ac:dyDescent="0.3">
      <c r="A2545" s="284">
        <v>42248</v>
      </c>
      <c r="B2545">
        <v>53.5</v>
      </c>
      <c r="C2545">
        <v>53.49</v>
      </c>
    </row>
    <row r="2546" spans="1:3" x14ac:dyDescent="0.3">
      <c r="A2546" s="284">
        <v>42247</v>
      </c>
      <c r="B2546">
        <v>54.71</v>
      </c>
      <c r="C2546">
        <v>54.68</v>
      </c>
    </row>
    <row r="2547" spans="1:3" x14ac:dyDescent="0.3">
      <c r="A2547" s="284">
        <v>42244</v>
      </c>
      <c r="B2547">
        <v>55.63</v>
      </c>
      <c r="C2547">
        <v>55.63</v>
      </c>
    </row>
    <row r="2548" spans="1:3" x14ac:dyDescent="0.3">
      <c r="A2548" s="284">
        <v>42243</v>
      </c>
      <c r="B2548">
        <v>55.95</v>
      </c>
      <c r="C2548">
        <v>55.94</v>
      </c>
    </row>
    <row r="2549" spans="1:3" x14ac:dyDescent="0.3">
      <c r="A2549" s="284">
        <v>42242</v>
      </c>
      <c r="B2549">
        <v>53.96</v>
      </c>
      <c r="C2549">
        <v>53.94</v>
      </c>
    </row>
    <row r="2550" spans="1:3" x14ac:dyDescent="0.3">
      <c r="A2550" s="284">
        <v>42241</v>
      </c>
      <c r="B2550">
        <v>51.09</v>
      </c>
      <c r="C2550">
        <v>51.09</v>
      </c>
    </row>
    <row r="2551" spans="1:3" x14ac:dyDescent="0.3">
      <c r="A2551" s="284">
        <v>42240</v>
      </c>
      <c r="B2551">
        <v>50.34</v>
      </c>
      <c r="C2551">
        <v>50.31</v>
      </c>
    </row>
    <row r="2552" spans="1:3" x14ac:dyDescent="0.3">
      <c r="A2552" s="284">
        <v>42237</v>
      </c>
      <c r="B2552">
        <v>52.84</v>
      </c>
      <c r="C2552">
        <v>52.84</v>
      </c>
    </row>
    <row r="2553" spans="1:3" x14ac:dyDescent="0.3">
      <c r="A2553" s="284">
        <v>42236</v>
      </c>
      <c r="B2553">
        <v>55.81</v>
      </c>
      <c r="C2553">
        <v>55.81</v>
      </c>
    </row>
    <row r="2554" spans="1:3" x14ac:dyDescent="0.3">
      <c r="A2554" s="284">
        <v>42235</v>
      </c>
      <c r="B2554">
        <v>57.59</v>
      </c>
      <c r="C2554">
        <v>57.58</v>
      </c>
    </row>
    <row r="2555" spans="1:3" x14ac:dyDescent="0.3">
      <c r="A2555" s="284">
        <v>42234</v>
      </c>
      <c r="B2555">
        <v>57.83</v>
      </c>
      <c r="C2555">
        <v>57.81</v>
      </c>
    </row>
    <row r="2556" spans="1:3" x14ac:dyDescent="0.3">
      <c r="A2556" s="284">
        <v>42233</v>
      </c>
      <c r="B2556">
        <v>57.74</v>
      </c>
      <c r="C2556">
        <v>57.73</v>
      </c>
    </row>
    <row r="2557" spans="1:3" x14ac:dyDescent="0.3">
      <c r="A2557" s="284">
        <v>42230</v>
      </c>
      <c r="B2557">
        <v>57.1</v>
      </c>
      <c r="C2557">
        <v>57.1</v>
      </c>
    </row>
    <row r="2558" spans="1:3" x14ac:dyDescent="0.3">
      <c r="A2558" s="284">
        <v>42229</v>
      </c>
      <c r="B2558">
        <v>56.85</v>
      </c>
      <c r="C2558">
        <v>56.85</v>
      </c>
    </row>
    <row r="2559" spans="1:3" x14ac:dyDescent="0.3">
      <c r="A2559" s="284">
        <v>42228</v>
      </c>
      <c r="B2559">
        <v>56.38</v>
      </c>
      <c r="C2559">
        <v>56.38</v>
      </c>
    </row>
    <row r="2560" spans="1:3" x14ac:dyDescent="0.3">
      <c r="A2560" s="284">
        <v>42227</v>
      </c>
      <c r="B2560">
        <v>56.35</v>
      </c>
      <c r="C2560">
        <v>56.35</v>
      </c>
    </row>
    <row r="2561" spans="1:3" x14ac:dyDescent="0.3">
      <c r="A2561" s="284">
        <v>42226</v>
      </c>
      <c r="B2561">
        <v>56.27</v>
      </c>
      <c r="C2561">
        <v>56.25</v>
      </c>
    </row>
    <row r="2562" spans="1:3" x14ac:dyDescent="0.3">
      <c r="A2562" s="284">
        <v>42223</v>
      </c>
      <c r="B2562">
        <v>57.2</v>
      </c>
      <c r="C2562">
        <v>57.2</v>
      </c>
    </row>
    <row r="2563" spans="1:3" x14ac:dyDescent="0.3">
      <c r="A2563" s="284">
        <v>42222</v>
      </c>
      <c r="B2563">
        <v>57.23</v>
      </c>
      <c r="C2563">
        <v>57.2</v>
      </c>
    </row>
    <row r="2564" spans="1:3" x14ac:dyDescent="0.3">
      <c r="A2564" s="284">
        <v>42221</v>
      </c>
      <c r="B2564">
        <v>59.01</v>
      </c>
      <c r="C2564">
        <v>59.02</v>
      </c>
    </row>
    <row r="2565" spans="1:3" x14ac:dyDescent="0.3">
      <c r="A2565" s="284">
        <v>42220</v>
      </c>
      <c r="B2565">
        <v>58.7</v>
      </c>
      <c r="C2565">
        <v>58.69</v>
      </c>
    </row>
    <row r="2566" spans="1:3" x14ac:dyDescent="0.3">
      <c r="A2566" s="284">
        <v>42219</v>
      </c>
      <c r="B2566">
        <v>58.19</v>
      </c>
      <c r="C2566">
        <v>58.19</v>
      </c>
    </row>
    <row r="2567" spans="1:3" x14ac:dyDescent="0.3">
      <c r="A2567" s="284">
        <v>42216</v>
      </c>
      <c r="B2567">
        <v>57.93</v>
      </c>
      <c r="C2567">
        <v>57.93</v>
      </c>
    </row>
    <row r="2568" spans="1:3" x14ac:dyDescent="0.3">
      <c r="A2568" s="284">
        <v>42215</v>
      </c>
      <c r="B2568">
        <v>58.06</v>
      </c>
      <c r="C2568">
        <v>58.05</v>
      </c>
    </row>
    <row r="2569" spans="1:3" x14ac:dyDescent="0.3">
      <c r="A2569" s="284">
        <v>42214</v>
      </c>
      <c r="B2569">
        <v>57.51</v>
      </c>
      <c r="C2569">
        <v>57.51</v>
      </c>
    </row>
    <row r="2570" spans="1:3" x14ac:dyDescent="0.3">
      <c r="A2570" s="284">
        <v>42213</v>
      </c>
      <c r="B2570">
        <v>57.14</v>
      </c>
      <c r="C2570">
        <v>57.13</v>
      </c>
    </row>
    <row r="2571" spans="1:3" x14ac:dyDescent="0.3">
      <c r="A2571" s="284">
        <v>42212</v>
      </c>
      <c r="B2571">
        <v>56.98</v>
      </c>
      <c r="C2571">
        <v>56.99</v>
      </c>
    </row>
    <row r="2572" spans="1:3" x14ac:dyDescent="0.3">
      <c r="A2572" s="284">
        <v>42209</v>
      </c>
      <c r="B2572">
        <v>57.29</v>
      </c>
      <c r="C2572">
        <v>57.29</v>
      </c>
    </row>
    <row r="2573" spans="1:3" x14ac:dyDescent="0.3">
      <c r="A2573" s="284">
        <v>42208</v>
      </c>
      <c r="B2573">
        <v>56.56</v>
      </c>
      <c r="C2573">
        <v>56.63</v>
      </c>
    </row>
    <row r="2574" spans="1:3" x14ac:dyDescent="0.3">
      <c r="A2574" s="284">
        <v>42207</v>
      </c>
      <c r="B2574">
        <v>56.69</v>
      </c>
      <c r="C2574">
        <v>56.69</v>
      </c>
    </row>
    <row r="2575" spans="1:3" x14ac:dyDescent="0.3">
      <c r="A2575" s="284">
        <v>42206</v>
      </c>
      <c r="B2575">
        <v>56.2</v>
      </c>
      <c r="C2575">
        <v>56.18</v>
      </c>
    </row>
    <row r="2576" spans="1:3" x14ac:dyDescent="0.3">
      <c r="A2576" s="284">
        <v>42205</v>
      </c>
      <c r="B2576">
        <v>56.21</v>
      </c>
      <c r="C2576">
        <v>56.21</v>
      </c>
    </row>
    <row r="2577" spans="1:3" x14ac:dyDescent="0.3">
      <c r="A2577" s="284">
        <v>42202</v>
      </c>
      <c r="B2577">
        <v>55.69</v>
      </c>
      <c r="C2577">
        <v>55.67</v>
      </c>
    </row>
    <row r="2578" spans="1:3" x14ac:dyDescent="0.3">
      <c r="A2578" s="284">
        <v>42201</v>
      </c>
      <c r="B2578">
        <v>55.74</v>
      </c>
      <c r="C2578">
        <v>55.73</v>
      </c>
    </row>
    <row r="2579" spans="1:3" x14ac:dyDescent="0.3">
      <c r="A2579" s="284">
        <v>42200</v>
      </c>
      <c r="B2579">
        <v>55.34</v>
      </c>
      <c r="C2579">
        <v>55.34</v>
      </c>
    </row>
    <row r="2580" spans="1:3" x14ac:dyDescent="0.3">
      <c r="A2580" s="284">
        <v>42199</v>
      </c>
      <c r="B2580">
        <v>55.75</v>
      </c>
      <c r="C2580">
        <v>55.75</v>
      </c>
    </row>
    <row r="2581" spans="1:3" x14ac:dyDescent="0.3">
      <c r="A2581" s="284">
        <v>42198</v>
      </c>
      <c r="B2581">
        <v>55.7</v>
      </c>
      <c r="C2581">
        <v>55.67</v>
      </c>
    </row>
    <row r="2582" spans="1:3" x14ac:dyDescent="0.3">
      <c r="A2582" s="284">
        <v>42195</v>
      </c>
      <c r="B2582">
        <v>54.57</v>
      </c>
      <c r="C2582">
        <v>54.57</v>
      </c>
    </row>
    <row r="2583" spans="1:3" x14ac:dyDescent="0.3">
      <c r="A2583" s="284">
        <v>42194</v>
      </c>
      <c r="B2583">
        <v>54.05</v>
      </c>
      <c r="C2583">
        <v>54.04</v>
      </c>
    </row>
    <row r="2584" spans="1:3" x14ac:dyDescent="0.3">
      <c r="A2584" s="284">
        <v>42193</v>
      </c>
      <c r="B2584">
        <v>53.39</v>
      </c>
      <c r="C2584">
        <v>53.39</v>
      </c>
    </row>
    <row r="2585" spans="1:3" x14ac:dyDescent="0.3">
      <c r="A2585" s="284">
        <v>42192</v>
      </c>
      <c r="B2585">
        <v>54.375</v>
      </c>
      <c r="C2585">
        <v>54.37</v>
      </c>
    </row>
    <row r="2586" spans="1:3" x14ac:dyDescent="0.3">
      <c r="A2586" s="284">
        <v>42191</v>
      </c>
      <c r="B2586">
        <v>54.305</v>
      </c>
      <c r="C2586">
        <v>54.3</v>
      </c>
    </row>
    <row r="2587" spans="1:3" x14ac:dyDescent="0.3">
      <c r="A2587" s="284">
        <v>42187</v>
      </c>
      <c r="B2587">
        <v>54.24</v>
      </c>
      <c r="C2587">
        <v>54.21</v>
      </c>
    </row>
    <row r="2588" spans="1:3" x14ac:dyDescent="0.3">
      <c r="A2588" s="284">
        <v>42186</v>
      </c>
      <c r="B2588">
        <v>53.89</v>
      </c>
      <c r="C2588">
        <v>53.88</v>
      </c>
    </row>
    <row r="2589" spans="1:3" x14ac:dyDescent="0.3">
      <c r="A2589" s="284">
        <v>42185</v>
      </c>
      <c r="B2589">
        <v>53.615000000000002</v>
      </c>
      <c r="C2589">
        <v>53.61</v>
      </c>
    </row>
    <row r="2590" spans="1:3" x14ac:dyDescent="0.3">
      <c r="A2590" s="284">
        <v>42184</v>
      </c>
      <c r="B2590">
        <v>53.55</v>
      </c>
      <c r="C2590">
        <v>53.54</v>
      </c>
    </row>
    <row r="2591" spans="1:3" x14ac:dyDescent="0.3">
      <c r="A2591" s="284">
        <v>42181</v>
      </c>
      <c r="B2591">
        <v>54.62</v>
      </c>
      <c r="C2591">
        <v>54.61</v>
      </c>
    </row>
    <row r="2592" spans="1:3" x14ac:dyDescent="0.3">
      <c r="A2592" s="284">
        <v>42180</v>
      </c>
      <c r="B2592">
        <v>54.07</v>
      </c>
      <c r="C2592">
        <v>54.07</v>
      </c>
    </row>
    <row r="2593" spans="1:3" x14ac:dyDescent="0.3">
      <c r="A2593" s="284">
        <v>42179</v>
      </c>
      <c r="B2593">
        <v>53.71</v>
      </c>
      <c r="C2593">
        <v>53.71</v>
      </c>
    </row>
    <row r="2594" spans="1:3" x14ac:dyDescent="0.3">
      <c r="A2594" s="284">
        <v>42178</v>
      </c>
      <c r="B2594">
        <v>54.115000000000002</v>
      </c>
      <c r="C2594">
        <v>54.11</v>
      </c>
    </row>
    <row r="2595" spans="1:3" x14ac:dyDescent="0.3">
      <c r="A2595" s="284">
        <v>42177</v>
      </c>
      <c r="B2595">
        <v>53.9</v>
      </c>
      <c r="C2595">
        <v>53.9</v>
      </c>
    </row>
    <row r="2596" spans="1:3" x14ac:dyDescent="0.3">
      <c r="A2596" s="284">
        <v>42174</v>
      </c>
      <c r="B2596">
        <v>53.93</v>
      </c>
      <c r="C2596">
        <v>53.88</v>
      </c>
    </row>
    <row r="2597" spans="1:3" x14ac:dyDescent="0.3">
      <c r="A2597" s="284">
        <v>42173</v>
      </c>
      <c r="B2597">
        <v>54.11</v>
      </c>
      <c r="C2597">
        <v>54.11</v>
      </c>
    </row>
    <row r="2598" spans="1:3" x14ac:dyDescent="0.3">
      <c r="A2598" s="284">
        <v>42172</v>
      </c>
      <c r="B2598">
        <v>53.24</v>
      </c>
      <c r="C2598">
        <v>53.24</v>
      </c>
    </row>
    <row r="2599" spans="1:3" x14ac:dyDescent="0.3">
      <c r="A2599" s="284">
        <v>42171</v>
      </c>
      <c r="B2599">
        <v>52.965000000000003</v>
      </c>
      <c r="C2599">
        <v>52.96</v>
      </c>
    </row>
    <row r="2600" spans="1:3" x14ac:dyDescent="0.3">
      <c r="A2600" s="284">
        <v>42170</v>
      </c>
      <c r="B2600">
        <v>52.27</v>
      </c>
      <c r="C2600">
        <v>52.27</v>
      </c>
    </row>
    <row r="2601" spans="1:3" x14ac:dyDescent="0.3">
      <c r="A2601" s="284">
        <v>42167</v>
      </c>
      <c r="B2601">
        <v>52.63</v>
      </c>
      <c r="C2601">
        <v>52.63</v>
      </c>
    </row>
    <row r="2602" spans="1:3" x14ac:dyDescent="0.3">
      <c r="A2602" s="284">
        <v>42166</v>
      </c>
      <c r="B2602">
        <v>52.49</v>
      </c>
      <c r="C2602">
        <v>52.49</v>
      </c>
    </row>
    <row r="2603" spans="1:3" x14ac:dyDescent="0.3">
      <c r="A2603" s="284">
        <v>42165</v>
      </c>
      <c r="B2603">
        <v>52.69</v>
      </c>
      <c r="C2603">
        <v>52.68</v>
      </c>
    </row>
    <row r="2604" spans="1:3" x14ac:dyDescent="0.3">
      <c r="A2604" s="284">
        <v>42164</v>
      </c>
      <c r="B2604">
        <v>51.54</v>
      </c>
      <c r="C2604">
        <v>51.53</v>
      </c>
    </row>
    <row r="2605" spans="1:3" x14ac:dyDescent="0.3">
      <c r="A2605" s="284">
        <v>42163</v>
      </c>
      <c r="B2605">
        <v>51.53</v>
      </c>
      <c r="C2605">
        <v>51.52</v>
      </c>
    </row>
    <row r="2606" spans="1:3" x14ac:dyDescent="0.3">
      <c r="A2606" s="284">
        <v>42160</v>
      </c>
      <c r="B2606">
        <v>52.19</v>
      </c>
      <c r="C2606">
        <v>52.19</v>
      </c>
    </row>
    <row r="2607" spans="1:3" x14ac:dyDescent="0.3">
      <c r="A2607" s="284">
        <v>42159</v>
      </c>
      <c r="B2607">
        <v>51.72</v>
      </c>
      <c r="C2607">
        <v>51.73</v>
      </c>
    </row>
    <row r="2608" spans="1:3" x14ac:dyDescent="0.3">
      <c r="A2608" s="284">
        <v>42158</v>
      </c>
      <c r="B2608">
        <v>52.12</v>
      </c>
      <c r="C2608">
        <v>52.13</v>
      </c>
    </row>
    <row r="2609" spans="1:3" x14ac:dyDescent="0.3">
      <c r="A2609" s="284">
        <v>42157</v>
      </c>
      <c r="B2609">
        <v>51.73</v>
      </c>
      <c r="C2609">
        <v>51.73</v>
      </c>
    </row>
    <row r="2610" spans="1:3" x14ac:dyDescent="0.3">
      <c r="A2610" s="284">
        <v>42156</v>
      </c>
      <c r="B2610">
        <v>52.22</v>
      </c>
      <c r="C2610">
        <v>52.22</v>
      </c>
    </row>
    <row r="2611" spans="1:3" x14ac:dyDescent="0.3">
      <c r="A2611" s="284">
        <v>42153</v>
      </c>
      <c r="B2611">
        <v>51.96</v>
      </c>
      <c r="C2611">
        <v>51.96</v>
      </c>
    </row>
    <row r="2612" spans="1:3" x14ac:dyDescent="0.3">
      <c r="A2612" s="284">
        <v>42152</v>
      </c>
      <c r="B2612">
        <v>51.81</v>
      </c>
      <c r="C2612">
        <v>51.81</v>
      </c>
    </row>
    <row r="2613" spans="1:3" x14ac:dyDescent="0.3">
      <c r="A2613" s="284">
        <v>42151</v>
      </c>
      <c r="B2613">
        <v>51.59</v>
      </c>
      <c r="C2613">
        <v>51.57</v>
      </c>
    </row>
    <row r="2614" spans="1:3" x14ac:dyDescent="0.3">
      <c r="A2614" s="284">
        <v>42150</v>
      </c>
      <c r="B2614">
        <v>50.84</v>
      </c>
      <c r="C2614">
        <v>50.83</v>
      </c>
    </row>
    <row r="2615" spans="1:3" x14ac:dyDescent="0.3">
      <c r="A2615" s="284">
        <v>42146</v>
      </c>
      <c r="B2615">
        <v>51.48</v>
      </c>
      <c r="C2615">
        <v>51.48</v>
      </c>
    </row>
    <row r="2616" spans="1:3" x14ac:dyDescent="0.3">
      <c r="A2616" s="284">
        <v>42145</v>
      </c>
      <c r="B2616">
        <v>51.33</v>
      </c>
      <c r="C2616">
        <v>51.34</v>
      </c>
    </row>
    <row r="2617" spans="1:3" x14ac:dyDescent="0.3">
      <c r="A2617" s="284">
        <v>42144</v>
      </c>
      <c r="B2617">
        <v>51.03</v>
      </c>
      <c r="C2617">
        <v>51.03</v>
      </c>
    </row>
    <row r="2618" spans="1:3" x14ac:dyDescent="0.3">
      <c r="A2618" s="284">
        <v>42143</v>
      </c>
      <c r="B2618">
        <v>51.42</v>
      </c>
      <c r="C2618">
        <v>51.42</v>
      </c>
    </row>
    <row r="2619" spans="1:3" x14ac:dyDescent="0.3">
      <c r="A2619" s="284">
        <v>42142</v>
      </c>
      <c r="B2619">
        <v>51.18</v>
      </c>
      <c r="C2619">
        <v>51.17</v>
      </c>
    </row>
    <row r="2620" spans="1:3" x14ac:dyDescent="0.3">
      <c r="A2620" s="284">
        <v>42139</v>
      </c>
      <c r="B2620">
        <v>50.8</v>
      </c>
      <c r="C2620">
        <v>50.78</v>
      </c>
    </row>
    <row r="2621" spans="1:3" x14ac:dyDescent="0.3">
      <c r="A2621" s="284">
        <v>42138</v>
      </c>
      <c r="B2621">
        <v>50.555</v>
      </c>
      <c r="C2621">
        <v>50.55</v>
      </c>
    </row>
    <row r="2622" spans="1:3" x14ac:dyDescent="0.3">
      <c r="A2622" s="284">
        <v>42137</v>
      </c>
      <c r="B2622">
        <v>49.59</v>
      </c>
      <c r="C2622">
        <v>49.58</v>
      </c>
    </row>
    <row r="2623" spans="1:3" x14ac:dyDescent="0.3">
      <c r="A2623" s="284">
        <v>42136</v>
      </c>
      <c r="B2623">
        <v>49.71</v>
      </c>
      <c r="C2623">
        <v>49.71</v>
      </c>
    </row>
    <row r="2624" spans="1:3" x14ac:dyDescent="0.3">
      <c r="A2624" s="284">
        <v>42135</v>
      </c>
      <c r="B2624">
        <v>49.5</v>
      </c>
      <c r="C2624">
        <v>49.49</v>
      </c>
    </row>
    <row r="2625" spans="1:3" x14ac:dyDescent="0.3">
      <c r="A2625" s="284">
        <v>42132</v>
      </c>
      <c r="B2625">
        <v>49.78</v>
      </c>
      <c r="C2625">
        <v>49.76</v>
      </c>
    </row>
    <row r="2626" spans="1:3" x14ac:dyDescent="0.3">
      <c r="A2626" s="284">
        <v>42131</v>
      </c>
      <c r="B2626">
        <v>49.35</v>
      </c>
      <c r="C2626">
        <v>49.34</v>
      </c>
    </row>
    <row r="2627" spans="1:3" x14ac:dyDescent="0.3">
      <c r="A2627" s="284">
        <v>42130</v>
      </c>
      <c r="B2627">
        <v>48.93</v>
      </c>
      <c r="C2627">
        <v>48.92</v>
      </c>
    </row>
    <row r="2628" spans="1:3" x14ac:dyDescent="0.3">
      <c r="A2628" s="284">
        <v>42129</v>
      </c>
      <c r="B2628">
        <v>49.405000000000001</v>
      </c>
      <c r="C2628">
        <v>49.4</v>
      </c>
    </row>
    <row r="2629" spans="1:3" x14ac:dyDescent="0.3">
      <c r="A2629" s="284">
        <v>42128</v>
      </c>
      <c r="B2629">
        <v>50.445</v>
      </c>
      <c r="C2629">
        <v>50.44</v>
      </c>
    </row>
    <row r="2630" spans="1:3" x14ac:dyDescent="0.3">
      <c r="A2630" s="284">
        <v>42125</v>
      </c>
      <c r="B2630">
        <v>50.29</v>
      </c>
      <c r="C2630">
        <v>50.28</v>
      </c>
    </row>
    <row r="2631" spans="1:3" x14ac:dyDescent="0.3">
      <c r="A2631" s="284">
        <v>42124</v>
      </c>
      <c r="B2631">
        <v>49.58</v>
      </c>
      <c r="C2631">
        <v>49.57</v>
      </c>
    </row>
    <row r="2632" spans="1:3" x14ac:dyDescent="0.3">
      <c r="A2632" s="284">
        <v>42123</v>
      </c>
      <c r="B2632">
        <v>50.65</v>
      </c>
      <c r="C2632">
        <v>50.65</v>
      </c>
    </row>
    <row r="2633" spans="1:3" x14ac:dyDescent="0.3">
      <c r="A2633" s="284">
        <v>42122</v>
      </c>
      <c r="B2633">
        <v>50.61</v>
      </c>
      <c r="C2633">
        <v>50.61</v>
      </c>
    </row>
    <row r="2634" spans="1:3" x14ac:dyDescent="0.3">
      <c r="A2634" s="284">
        <v>42121</v>
      </c>
      <c r="B2634">
        <v>50.87</v>
      </c>
      <c r="C2634">
        <v>50.86</v>
      </c>
    </row>
    <row r="2635" spans="1:3" x14ac:dyDescent="0.3">
      <c r="A2635" s="284">
        <v>42118</v>
      </c>
      <c r="B2635">
        <v>51.84</v>
      </c>
      <c r="C2635">
        <v>51.84</v>
      </c>
    </row>
    <row r="2636" spans="1:3" x14ac:dyDescent="0.3">
      <c r="A2636" s="284">
        <v>42117</v>
      </c>
      <c r="B2636">
        <v>49.43</v>
      </c>
      <c r="C2636">
        <v>49.43</v>
      </c>
    </row>
    <row r="2637" spans="1:3" x14ac:dyDescent="0.3">
      <c r="A2637" s="284">
        <v>42116</v>
      </c>
      <c r="B2637">
        <v>48.335000000000001</v>
      </c>
      <c r="C2637">
        <v>48.33</v>
      </c>
    </row>
    <row r="2638" spans="1:3" x14ac:dyDescent="0.3">
      <c r="A2638" s="284">
        <v>42115</v>
      </c>
      <c r="B2638">
        <v>48.37</v>
      </c>
      <c r="C2638">
        <v>48.36</v>
      </c>
    </row>
    <row r="2639" spans="1:3" x14ac:dyDescent="0.3">
      <c r="A2639" s="284">
        <v>42114</v>
      </c>
      <c r="B2639">
        <v>47.97</v>
      </c>
      <c r="C2639">
        <v>47.97</v>
      </c>
    </row>
    <row r="2640" spans="1:3" x14ac:dyDescent="0.3">
      <c r="A2640" s="284">
        <v>42111</v>
      </c>
      <c r="B2640">
        <v>47.62</v>
      </c>
      <c r="C2640">
        <v>47.62</v>
      </c>
    </row>
    <row r="2641" spans="1:3" x14ac:dyDescent="0.3">
      <c r="A2641" s="284">
        <v>42110</v>
      </c>
      <c r="B2641">
        <v>48.244999999999997</v>
      </c>
      <c r="C2641">
        <v>48.24</v>
      </c>
    </row>
    <row r="2642" spans="1:3" x14ac:dyDescent="0.3">
      <c r="A2642" s="284">
        <v>42109</v>
      </c>
      <c r="B2642">
        <v>48.14</v>
      </c>
      <c r="C2642">
        <v>48.14</v>
      </c>
    </row>
    <row r="2643" spans="1:3" x14ac:dyDescent="0.3">
      <c r="A2643" s="284">
        <v>42108</v>
      </c>
      <c r="B2643">
        <v>48.3</v>
      </c>
      <c r="C2643">
        <v>48.29</v>
      </c>
    </row>
    <row r="2644" spans="1:3" x14ac:dyDescent="0.3">
      <c r="A2644" s="284">
        <v>42107</v>
      </c>
      <c r="B2644">
        <v>48.5</v>
      </c>
      <c r="C2644">
        <v>48.5</v>
      </c>
    </row>
    <row r="2645" spans="1:3" x14ac:dyDescent="0.3">
      <c r="A2645" s="284">
        <v>42104</v>
      </c>
      <c r="B2645">
        <v>48.17</v>
      </c>
      <c r="C2645">
        <v>48.17</v>
      </c>
    </row>
    <row r="2646" spans="1:3" x14ac:dyDescent="0.3">
      <c r="A2646" s="284">
        <v>42103</v>
      </c>
      <c r="B2646">
        <v>47.96</v>
      </c>
      <c r="C2646">
        <v>47.95</v>
      </c>
    </row>
    <row r="2647" spans="1:3" x14ac:dyDescent="0.3">
      <c r="A2647" s="284">
        <v>42102</v>
      </c>
      <c r="B2647">
        <v>47.615000000000002</v>
      </c>
      <c r="C2647">
        <v>47.6</v>
      </c>
    </row>
    <row r="2648" spans="1:3" x14ac:dyDescent="0.3">
      <c r="A2648" s="284">
        <v>42101</v>
      </c>
      <c r="B2648">
        <v>47.034999999999997</v>
      </c>
      <c r="C2648">
        <v>47.034999999999997</v>
      </c>
    </row>
    <row r="2649" spans="1:3" x14ac:dyDescent="0.3">
      <c r="A2649" s="284">
        <v>42100</v>
      </c>
      <c r="B2649">
        <v>47.26</v>
      </c>
      <c r="C2649">
        <v>47.26</v>
      </c>
    </row>
    <row r="2650" spans="1:3" x14ac:dyDescent="0.3">
      <c r="A2650" s="284">
        <v>42096</v>
      </c>
      <c r="B2650">
        <v>47.195</v>
      </c>
      <c r="C2650">
        <v>47.2</v>
      </c>
    </row>
    <row r="2651" spans="1:3" x14ac:dyDescent="0.3">
      <c r="A2651" s="284">
        <v>42095</v>
      </c>
      <c r="B2651">
        <v>46.51</v>
      </c>
      <c r="C2651">
        <v>46.505000000000003</v>
      </c>
    </row>
    <row r="2652" spans="1:3" x14ac:dyDescent="0.3">
      <c r="A2652" s="284">
        <v>42094</v>
      </c>
      <c r="B2652">
        <v>47.35</v>
      </c>
      <c r="C2652">
        <v>47.344999999999999</v>
      </c>
    </row>
    <row r="2653" spans="1:3" x14ac:dyDescent="0.3">
      <c r="A2653" s="284">
        <v>42093</v>
      </c>
      <c r="B2653">
        <v>47.99</v>
      </c>
      <c r="C2653">
        <v>47.99</v>
      </c>
    </row>
    <row r="2654" spans="1:3" x14ac:dyDescent="0.3">
      <c r="A2654" s="284">
        <v>42090</v>
      </c>
      <c r="B2654">
        <v>47.534999999999997</v>
      </c>
      <c r="C2654">
        <v>47.53</v>
      </c>
    </row>
    <row r="2655" spans="1:3" x14ac:dyDescent="0.3">
      <c r="A2655" s="284">
        <v>42089</v>
      </c>
      <c r="B2655">
        <v>47.54</v>
      </c>
      <c r="C2655">
        <v>47.53</v>
      </c>
    </row>
    <row r="2656" spans="1:3" x14ac:dyDescent="0.3">
      <c r="A2656" s="284">
        <v>42088</v>
      </c>
      <c r="B2656">
        <v>47.884999999999998</v>
      </c>
      <c r="C2656">
        <v>47.884999999999998</v>
      </c>
    </row>
    <row r="2657" spans="1:3" x14ac:dyDescent="0.3">
      <c r="A2657" s="284">
        <v>42087</v>
      </c>
      <c r="B2657">
        <v>48.957500000000003</v>
      </c>
      <c r="C2657">
        <v>48.954999999999998</v>
      </c>
    </row>
    <row r="2658" spans="1:3" x14ac:dyDescent="0.3">
      <c r="A2658" s="284">
        <v>42086</v>
      </c>
      <c r="B2658">
        <v>48.685000000000002</v>
      </c>
      <c r="C2658">
        <v>48.69</v>
      </c>
    </row>
    <row r="2659" spans="1:3" x14ac:dyDescent="0.3">
      <c r="A2659" s="284">
        <v>42083</v>
      </c>
      <c r="B2659">
        <v>48.73</v>
      </c>
      <c r="C2659">
        <v>48.71</v>
      </c>
    </row>
    <row r="2660" spans="1:3" x14ac:dyDescent="0.3">
      <c r="A2660" s="284">
        <v>42082</v>
      </c>
      <c r="B2660">
        <v>48.88</v>
      </c>
      <c r="C2660">
        <v>48.884999999999998</v>
      </c>
    </row>
    <row r="2661" spans="1:3" x14ac:dyDescent="0.3">
      <c r="A2661" s="284">
        <v>42081</v>
      </c>
      <c r="B2661">
        <v>47.92</v>
      </c>
      <c r="C2661">
        <v>47.914999999999999</v>
      </c>
    </row>
    <row r="2662" spans="1:3" x14ac:dyDescent="0.3">
      <c r="A2662" s="284">
        <v>42080</v>
      </c>
      <c r="B2662">
        <v>47.192500000000003</v>
      </c>
      <c r="C2662">
        <v>47.19</v>
      </c>
    </row>
    <row r="2663" spans="1:3" x14ac:dyDescent="0.3">
      <c r="A2663" s="284">
        <v>42079</v>
      </c>
      <c r="B2663">
        <v>47.022500000000001</v>
      </c>
      <c r="C2663">
        <v>47.02</v>
      </c>
    </row>
    <row r="2664" spans="1:3" x14ac:dyDescent="0.3">
      <c r="A2664" s="284">
        <v>42076</v>
      </c>
      <c r="B2664">
        <v>46.645000000000003</v>
      </c>
      <c r="C2664">
        <v>46.634999999999998</v>
      </c>
    </row>
    <row r="2665" spans="1:3" x14ac:dyDescent="0.3">
      <c r="A2665" s="284">
        <v>42075</v>
      </c>
      <c r="B2665">
        <v>46.69</v>
      </c>
      <c r="C2665">
        <v>46.69</v>
      </c>
    </row>
    <row r="2666" spans="1:3" x14ac:dyDescent="0.3">
      <c r="A2666" s="284">
        <v>42074</v>
      </c>
      <c r="B2666">
        <v>45.71</v>
      </c>
      <c r="C2666">
        <v>45.704999999999998</v>
      </c>
    </row>
    <row r="2667" spans="1:3" x14ac:dyDescent="0.3">
      <c r="A2667" s="284">
        <v>42073</v>
      </c>
      <c r="B2667">
        <v>46.09</v>
      </c>
      <c r="C2667">
        <v>46.094999999999999</v>
      </c>
    </row>
    <row r="2668" spans="1:3" x14ac:dyDescent="0.3">
      <c r="A2668" s="284">
        <v>42072</v>
      </c>
      <c r="B2668">
        <v>46.52</v>
      </c>
      <c r="C2668">
        <v>46.515000000000001</v>
      </c>
    </row>
    <row r="2669" spans="1:3" x14ac:dyDescent="0.3">
      <c r="A2669" s="284">
        <v>42069</v>
      </c>
      <c r="B2669">
        <v>46.107500000000002</v>
      </c>
      <c r="C2669">
        <v>46.104999999999997</v>
      </c>
    </row>
    <row r="2670" spans="1:3" x14ac:dyDescent="0.3">
      <c r="A2670" s="284">
        <v>42068</v>
      </c>
      <c r="B2670">
        <v>46.814999999999998</v>
      </c>
      <c r="C2670">
        <v>46.8</v>
      </c>
    </row>
    <row r="2671" spans="1:3" x14ac:dyDescent="0.3">
      <c r="A2671" s="284">
        <v>42067</v>
      </c>
      <c r="B2671">
        <v>46.53</v>
      </c>
      <c r="C2671">
        <v>46.53</v>
      </c>
    </row>
    <row r="2672" spans="1:3" x14ac:dyDescent="0.3">
      <c r="A2672" s="284">
        <v>42066</v>
      </c>
      <c r="B2672">
        <v>47</v>
      </c>
      <c r="C2672">
        <v>46.994999999999997</v>
      </c>
    </row>
    <row r="2673" spans="1:3" x14ac:dyDescent="0.3">
      <c r="A2673" s="284">
        <v>42065</v>
      </c>
      <c r="B2673">
        <v>47.112499999999997</v>
      </c>
      <c r="C2673">
        <v>47.11</v>
      </c>
    </row>
    <row r="2674" spans="1:3" x14ac:dyDescent="0.3">
      <c r="A2674" s="284">
        <v>42062</v>
      </c>
      <c r="B2674">
        <v>46.7425</v>
      </c>
      <c r="C2674">
        <v>46.74</v>
      </c>
    </row>
    <row r="2675" spans="1:3" x14ac:dyDescent="0.3">
      <c r="A2675" s="284">
        <v>42061</v>
      </c>
      <c r="B2675">
        <v>47.274999999999999</v>
      </c>
      <c r="C2675">
        <v>47.27</v>
      </c>
    </row>
    <row r="2676" spans="1:3" x14ac:dyDescent="0.3">
      <c r="A2676" s="284">
        <v>42060</v>
      </c>
      <c r="B2676">
        <v>47.13</v>
      </c>
      <c r="C2676">
        <v>47.12</v>
      </c>
    </row>
    <row r="2677" spans="1:3" x14ac:dyDescent="0.3">
      <c r="A2677" s="284">
        <v>42059</v>
      </c>
      <c r="B2677">
        <v>46.725000000000001</v>
      </c>
      <c r="C2677">
        <v>46.715000000000003</v>
      </c>
    </row>
    <row r="2678" spans="1:3" x14ac:dyDescent="0.3">
      <c r="A2678" s="284">
        <v>42058</v>
      </c>
      <c r="B2678">
        <v>46.79</v>
      </c>
      <c r="C2678">
        <v>46.774999999999999</v>
      </c>
    </row>
    <row r="2679" spans="1:3" x14ac:dyDescent="0.3">
      <c r="A2679" s="284">
        <v>42055</v>
      </c>
      <c r="B2679">
        <v>46.755000000000003</v>
      </c>
      <c r="C2679">
        <v>46.75</v>
      </c>
    </row>
    <row r="2680" spans="1:3" x14ac:dyDescent="0.3">
      <c r="A2680" s="284">
        <v>42054</v>
      </c>
      <c r="B2680">
        <v>46.585000000000001</v>
      </c>
      <c r="C2680">
        <v>46.585000000000001</v>
      </c>
    </row>
    <row r="2681" spans="1:3" x14ac:dyDescent="0.3">
      <c r="A2681" s="284">
        <v>42053</v>
      </c>
      <c r="B2681">
        <v>46.5</v>
      </c>
      <c r="C2681">
        <v>46.5</v>
      </c>
    </row>
    <row r="2682" spans="1:3" x14ac:dyDescent="0.3">
      <c r="A2682" s="284">
        <v>42052</v>
      </c>
      <c r="B2682">
        <v>46.015000000000001</v>
      </c>
      <c r="C2682">
        <v>46.01</v>
      </c>
    </row>
    <row r="2683" spans="1:3" x14ac:dyDescent="0.3">
      <c r="A2683" s="284">
        <v>42048</v>
      </c>
      <c r="B2683">
        <v>45.79</v>
      </c>
      <c r="C2683">
        <v>45.784999999999997</v>
      </c>
    </row>
    <row r="2684" spans="1:3" x14ac:dyDescent="0.3">
      <c r="A2684" s="284">
        <v>42047</v>
      </c>
      <c r="B2684">
        <v>45.912500000000001</v>
      </c>
      <c r="C2684">
        <v>45.9</v>
      </c>
    </row>
    <row r="2685" spans="1:3" x14ac:dyDescent="0.3">
      <c r="A2685" s="284">
        <v>42046</v>
      </c>
      <c r="B2685">
        <v>45.395000000000003</v>
      </c>
      <c r="C2685">
        <v>45.39</v>
      </c>
    </row>
    <row r="2686" spans="1:3" x14ac:dyDescent="0.3">
      <c r="A2686" s="284">
        <v>42045</v>
      </c>
      <c r="B2686">
        <v>45.59</v>
      </c>
      <c r="C2686">
        <v>45.585000000000001</v>
      </c>
    </row>
    <row r="2687" spans="1:3" x14ac:dyDescent="0.3">
      <c r="A2687" s="284">
        <v>42044</v>
      </c>
      <c r="B2687">
        <v>44.41</v>
      </c>
      <c r="C2687">
        <v>44.41</v>
      </c>
    </row>
    <row r="2688" spans="1:3" x14ac:dyDescent="0.3">
      <c r="A2688" s="284">
        <v>42041</v>
      </c>
      <c r="B2688">
        <v>44.5</v>
      </c>
      <c r="C2688">
        <v>44.505000000000003</v>
      </c>
    </row>
    <row r="2689" spans="1:3" x14ac:dyDescent="0.3">
      <c r="A2689" s="284">
        <v>42040</v>
      </c>
      <c r="B2689">
        <v>44.82</v>
      </c>
      <c r="C2689">
        <v>44.814999999999998</v>
      </c>
    </row>
    <row r="2690" spans="1:3" x14ac:dyDescent="0.3">
      <c r="A2690" s="284">
        <v>42039</v>
      </c>
      <c r="B2690">
        <v>44.35</v>
      </c>
      <c r="C2690">
        <v>44.34</v>
      </c>
    </row>
    <row r="2691" spans="1:3" x14ac:dyDescent="0.3">
      <c r="A2691" s="284">
        <v>42038</v>
      </c>
      <c r="B2691">
        <v>44.244999999999997</v>
      </c>
      <c r="C2691">
        <v>44.24</v>
      </c>
    </row>
    <row r="2692" spans="1:3" x14ac:dyDescent="0.3">
      <c r="A2692" s="284">
        <v>42037</v>
      </c>
      <c r="B2692">
        <v>43.994999999999997</v>
      </c>
      <c r="C2692">
        <v>43.99</v>
      </c>
    </row>
    <row r="2693" spans="1:3" x14ac:dyDescent="0.3">
      <c r="A2693" s="284">
        <v>42034</v>
      </c>
      <c r="B2693">
        <v>43.765000000000001</v>
      </c>
      <c r="C2693">
        <v>43.76</v>
      </c>
    </row>
    <row r="2694" spans="1:3" x14ac:dyDescent="0.3">
      <c r="A2694" s="284">
        <v>42033</v>
      </c>
      <c r="B2694">
        <v>44.524999999999999</v>
      </c>
      <c r="C2694">
        <v>44.524999999999999</v>
      </c>
    </row>
    <row r="2695" spans="1:3" x14ac:dyDescent="0.3">
      <c r="A2695" s="284">
        <v>42032</v>
      </c>
      <c r="B2695">
        <v>43.782499999999999</v>
      </c>
      <c r="C2695">
        <v>43.78</v>
      </c>
    </row>
    <row r="2696" spans="1:3" x14ac:dyDescent="0.3">
      <c r="A2696" s="284">
        <v>42031</v>
      </c>
      <c r="B2696">
        <v>44.17</v>
      </c>
      <c r="C2696">
        <v>44.17</v>
      </c>
    </row>
    <row r="2697" spans="1:3" x14ac:dyDescent="0.3">
      <c r="A2697" s="284">
        <v>42030</v>
      </c>
      <c r="B2697">
        <v>44.06</v>
      </c>
      <c r="C2697">
        <v>44.06</v>
      </c>
    </row>
    <row r="2698" spans="1:3" x14ac:dyDescent="0.3">
      <c r="A2698" s="284">
        <v>42027</v>
      </c>
      <c r="B2698">
        <v>44.11</v>
      </c>
      <c r="C2698">
        <v>44.06</v>
      </c>
    </row>
    <row r="2699" spans="1:3" x14ac:dyDescent="0.3">
      <c r="A2699" s="284">
        <v>42026</v>
      </c>
      <c r="B2699">
        <v>41.37</v>
      </c>
      <c r="C2699">
        <v>41.354999999999997</v>
      </c>
    </row>
    <row r="2700" spans="1:3" x14ac:dyDescent="0.3">
      <c r="A2700" s="284">
        <v>42025</v>
      </c>
      <c r="B2700">
        <v>40.645000000000003</v>
      </c>
      <c r="C2700">
        <v>40.645000000000003</v>
      </c>
    </row>
    <row r="2701" spans="1:3" x14ac:dyDescent="0.3">
      <c r="A2701" s="284">
        <v>42024</v>
      </c>
      <c r="B2701">
        <v>40.612499999999997</v>
      </c>
      <c r="C2701">
        <v>40.604999999999997</v>
      </c>
    </row>
    <row r="2702" spans="1:3" x14ac:dyDescent="0.3">
      <c r="A2702" s="284">
        <v>42020</v>
      </c>
      <c r="B2702">
        <v>40.305</v>
      </c>
      <c r="C2702">
        <v>40.299999999999997</v>
      </c>
    </row>
    <row r="2703" spans="1:3" x14ac:dyDescent="0.3">
      <c r="A2703" s="284">
        <v>42019</v>
      </c>
      <c r="B2703">
        <v>39.79</v>
      </c>
      <c r="C2703">
        <v>39.795000000000002</v>
      </c>
    </row>
    <row r="2704" spans="1:3" x14ac:dyDescent="0.3">
      <c r="A2704" s="284">
        <v>42018</v>
      </c>
      <c r="B2704">
        <v>40.21</v>
      </c>
      <c r="C2704">
        <v>40.204999999999998</v>
      </c>
    </row>
    <row r="2705" spans="1:3" x14ac:dyDescent="0.3">
      <c r="A2705" s="284">
        <v>42017</v>
      </c>
      <c r="B2705">
        <v>40.435000000000002</v>
      </c>
      <c r="C2705">
        <v>40.43</v>
      </c>
    </row>
    <row r="2706" spans="1:3" x14ac:dyDescent="0.3">
      <c r="A2706" s="284">
        <v>42016</v>
      </c>
      <c r="B2706">
        <v>40.115000000000002</v>
      </c>
      <c r="C2706">
        <v>40.115000000000002</v>
      </c>
    </row>
    <row r="2707" spans="1:3" x14ac:dyDescent="0.3">
      <c r="A2707" s="284">
        <v>42013</v>
      </c>
      <c r="B2707">
        <v>39.895000000000003</v>
      </c>
      <c r="C2707">
        <v>39.895000000000003</v>
      </c>
    </row>
    <row r="2708" spans="1:3" x14ac:dyDescent="0.3">
      <c r="A2708" s="284">
        <v>42012</v>
      </c>
      <c r="B2708">
        <v>41.244999999999997</v>
      </c>
      <c r="C2708">
        <v>41.244999999999997</v>
      </c>
    </row>
    <row r="2709" spans="1:3" x14ac:dyDescent="0.3">
      <c r="A2709" s="284">
        <v>42011</v>
      </c>
      <c r="B2709">
        <v>40.590000000000003</v>
      </c>
      <c r="C2709">
        <v>40.58</v>
      </c>
    </row>
    <row r="2710" spans="1:3" x14ac:dyDescent="0.3">
      <c r="A2710" s="284">
        <v>42010</v>
      </c>
      <c r="B2710">
        <v>39.615000000000002</v>
      </c>
      <c r="C2710">
        <v>39.6</v>
      </c>
    </row>
    <row r="2711" spans="1:3" x14ac:dyDescent="0.3">
      <c r="A2711" s="284">
        <v>42009</v>
      </c>
      <c r="B2711">
        <v>39.94</v>
      </c>
      <c r="C2711">
        <v>39.94</v>
      </c>
    </row>
    <row r="2712" spans="1:3" x14ac:dyDescent="0.3">
      <c r="A2712" s="284">
        <v>42006</v>
      </c>
      <c r="B2712">
        <v>40.72</v>
      </c>
      <c r="C2712">
        <v>40.704999999999998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C8ADE-5A25-4FAE-A064-7BD263B22A4A}">
  <dimension ref="B1:K35"/>
  <sheetViews>
    <sheetView showGridLines="0" zoomScale="83" workbookViewId="0">
      <selection activeCell="J20" sqref="J20"/>
    </sheetView>
  </sheetViews>
  <sheetFormatPr defaultRowHeight="14.4" x14ac:dyDescent="0.3"/>
  <cols>
    <col min="1" max="1" width="3.109375" customWidth="1"/>
    <col min="2" max="2" width="10.44140625" bestFit="1" customWidth="1"/>
    <col min="5" max="5" width="14.77734375" bestFit="1" customWidth="1"/>
  </cols>
  <sheetData>
    <row r="1" spans="2:11" ht="14.4" customHeight="1" x14ac:dyDescent="0.3">
      <c r="B1" s="328" t="s">
        <v>743</v>
      </c>
      <c r="C1" s="328"/>
      <c r="D1" s="328"/>
      <c r="E1" s="328"/>
      <c r="F1" s="328"/>
      <c r="G1" s="328"/>
      <c r="H1" s="328"/>
      <c r="I1" s="328"/>
      <c r="J1" s="328"/>
      <c r="K1" s="328"/>
    </row>
    <row r="2" spans="2:11" ht="14.4" customHeight="1" x14ac:dyDescent="0.3">
      <c r="B2" s="328"/>
      <c r="C2" s="328"/>
      <c r="D2" s="328"/>
      <c r="E2" s="328"/>
      <c r="F2" s="328"/>
      <c r="G2" s="328"/>
      <c r="H2" s="328"/>
      <c r="I2" s="328"/>
      <c r="J2" s="328"/>
      <c r="K2" s="328"/>
    </row>
    <row r="3" spans="2:11" ht="14.4" customHeight="1" x14ac:dyDescent="0.3">
      <c r="B3" s="263"/>
      <c r="C3" s="263"/>
      <c r="D3" s="263"/>
      <c r="E3" s="263"/>
      <c r="F3" s="263"/>
      <c r="G3" s="263"/>
      <c r="H3" s="263"/>
      <c r="I3" s="263"/>
      <c r="J3" s="263"/>
      <c r="K3" s="263"/>
    </row>
    <row r="5" spans="2:11" ht="15" thickBot="1" x14ac:dyDescent="0.35">
      <c r="B5" s="266" t="s">
        <v>744</v>
      </c>
      <c r="C5" s="267" t="s">
        <v>745</v>
      </c>
      <c r="E5" s="332" t="s">
        <v>692</v>
      </c>
      <c r="F5" s="329" t="s">
        <v>649</v>
      </c>
      <c r="G5" s="330"/>
      <c r="H5" s="330"/>
      <c r="I5" s="330"/>
      <c r="J5" s="331"/>
    </row>
    <row r="6" spans="2:11" x14ac:dyDescent="0.3">
      <c r="B6" s="264" t="s">
        <v>679</v>
      </c>
      <c r="C6" s="265">
        <v>3.5000000000000003E-2</v>
      </c>
      <c r="E6" s="333"/>
      <c r="F6" s="268">
        <f>'7. Valuation'!D20</f>
        <v>86.699452788080563</v>
      </c>
      <c r="G6" s="276">
        <v>0.08</v>
      </c>
      <c r="H6" s="276">
        <v>8.5000000000000006E-2</v>
      </c>
      <c r="I6" s="276">
        <v>0.09</v>
      </c>
      <c r="J6" s="278">
        <v>9.5000000000000001E-2</v>
      </c>
    </row>
    <row r="7" spans="2:11" ht="14.4" customHeight="1" x14ac:dyDescent="0.3">
      <c r="B7" s="272" t="s">
        <v>742</v>
      </c>
      <c r="C7" s="273">
        <v>8.4900000000000003E-2</v>
      </c>
      <c r="E7" s="333"/>
      <c r="F7" s="276">
        <v>2.5000000000000001E-2</v>
      </c>
      <c r="G7" s="37">
        <f t="dataTable" ref="G7:J12" dt2D="1" dtr="1" r1="C7" r2="C6"/>
        <v>86.331349428980275</v>
      </c>
      <c r="H7" s="37">
        <v>74.730158659813654</v>
      </c>
      <c r="I7" s="37">
        <v>65.014917568752395</v>
      </c>
      <c r="J7" s="269">
        <v>56.775843302652767</v>
      </c>
    </row>
    <row r="8" spans="2:11" x14ac:dyDescent="0.3">
      <c r="B8" s="274" t="s">
        <v>740</v>
      </c>
      <c r="C8" s="275">
        <f>'7. Valuation'!D21</f>
        <v>86.72</v>
      </c>
      <c r="E8" s="333"/>
      <c r="F8" s="276">
        <v>0.03</v>
      </c>
      <c r="G8" s="37">
        <v>93.169889483340427</v>
      </c>
      <c r="H8" s="37">
        <v>80.047473899981469</v>
      </c>
      <c r="I8" s="37">
        <v>69.21434755482214</v>
      </c>
      <c r="J8" s="269">
        <v>60.136539362664166</v>
      </c>
    </row>
    <row r="9" spans="2:11" x14ac:dyDescent="0.3">
      <c r="E9" s="333"/>
      <c r="F9" s="276">
        <v>3.5000000000000003E-2</v>
      </c>
      <c r="G9" s="37">
        <v>101.52810510533615</v>
      </c>
      <c r="H9" s="37">
        <v>86.428252188182853</v>
      </c>
      <c r="I9" s="37">
        <v>74.177310265631831</v>
      </c>
      <c r="J9" s="269">
        <v>64.057351432677493</v>
      </c>
    </row>
    <row r="10" spans="2:11" x14ac:dyDescent="0.3">
      <c r="E10" s="333"/>
      <c r="F10" s="276">
        <v>0.04</v>
      </c>
      <c r="G10" s="37">
        <v>111.9758746328308</v>
      </c>
      <c r="H10" s="37">
        <v>94.226981207095648</v>
      </c>
      <c r="I10" s="37">
        <v>80.132865518603438</v>
      </c>
      <c r="J10" s="269">
        <v>68.691038424511405</v>
      </c>
    </row>
    <row r="11" spans="2:11" x14ac:dyDescent="0.3">
      <c r="E11" s="333"/>
      <c r="F11" s="276">
        <v>4.4999999999999998E-2</v>
      </c>
      <c r="G11" s="37">
        <v>125.4087211681811</v>
      </c>
      <c r="H11" s="37">
        <v>103.97539248073663</v>
      </c>
      <c r="I11" s="37">
        <v>87.411877494457656</v>
      </c>
      <c r="J11" s="269">
        <v>74.251462814712099</v>
      </c>
    </row>
    <row r="12" spans="2:11" x14ac:dyDescent="0.3">
      <c r="E12" s="334"/>
      <c r="F12" s="277">
        <v>0.05</v>
      </c>
      <c r="G12" s="270">
        <v>143.31918321531481</v>
      </c>
      <c r="H12" s="270">
        <v>116.50906411827508</v>
      </c>
      <c r="I12" s="270">
        <v>96.510642464275421</v>
      </c>
      <c r="J12" s="271">
        <v>81.047537069401855</v>
      </c>
    </row>
    <row r="29" spans="2:6" x14ac:dyDescent="0.3">
      <c r="B29" s="252" t="s">
        <v>692</v>
      </c>
      <c r="C29" s="279">
        <f t="shared" ref="C29:F35" si="0">G6</f>
        <v>0.08</v>
      </c>
      <c r="D29" s="279">
        <f t="shared" si="0"/>
        <v>8.5000000000000006E-2</v>
      </c>
      <c r="E29" s="279">
        <f t="shared" si="0"/>
        <v>0.09</v>
      </c>
      <c r="F29" s="279">
        <f t="shared" si="0"/>
        <v>9.5000000000000001E-2</v>
      </c>
    </row>
    <row r="30" spans="2:6" x14ac:dyDescent="0.3">
      <c r="B30" s="279">
        <f t="shared" ref="B30:B35" si="1">F7</f>
        <v>2.5000000000000001E-2</v>
      </c>
      <c r="C30" s="37">
        <f t="shared" si="0"/>
        <v>86.331349428980275</v>
      </c>
      <c r="D30" s="37">
        <f t="shared" si="0"/>
        <v>74.730158659813654</v>
      </c>
      <c r="E30" s="37">
        <f t="shared" si="0"/>
        <v>65.014917568752395</v>
      </c>
      <c r="F30" s="37">
        <f t="shared" si="0"/>
        <v>56.775843302652767</v>
      </c>
    </row>
    <row r="31" spans="2:6" x14ac:dyDescent="0.3">
      <c r="B31" s="279">
        <f t="shared" si="1"/>
        <v>0.03</v>
      </c>
      <c r="C31" s="37">
        <f t="shared" si="0"/>
        <v>93.169889483340427</v>
      </c>
      <c r="D31" s="37">
        <f t="shared" si="0"/>
        <v>80.047473899981469</v>
      </c>
      <c r="E31" s="37">
        <f t="shared" si="0"/>
        <v>69.21434755482214</v>
      </c>
      <c r="F31" s="37">
        <f t="shared" si="0"/>
        <v>60.136539362664166</v>
      </c>
    </row>
    <row r="32" spans="2:6" x14ac:dyDescent="0.3">
      <c r="B32" s="279">
        <f t="shared" si="1"/>
        <v>3.5000000000000003E-2</v>
      </c>
      <c r="C32" s="37">
        <f t="shared" si="0"/>
        <v>101.52810510533615</v>
      </c>
      <c r="D32" s="37">
        <f t="shared" si="0"/>
        <v>86.428252188182853</v>
      </c>
      <c r="E32" s="37">
        <f t="shared" si="0"/>
        <v>74.177310265631831</v>
      </c>
      <c r="F32" s="37">
        <f t="shared" si="0"/>
        <v>64.057351432677493</v>
      </c>
    </row>
    <row r="33" spans="2:6" x14ac:dyDescent="0.3">
      <c r="B33" s="279">
        <f t="shared" si="1"/>
        <v>0.04</v>
      </c>
      <c r="C33" s="37">
        <f t="shared" si="0"/>
        <v>111.9758746328308</v>
      </c>
      <c r="D33" s="37">
        <f t="shared" si="0"/>
        <v>94.226981207095648</v>
      </c>
      <c r="E33" s="37">
        <f t="shared" si="0"/>
        <v>80.132865518603438</v>
      </c>
      <c r="F33" s="37">
        <f t="shared" si="0"/>
        <v>68.691038424511405</v>
      </c>
    </row>
    <row r="34" spans="2:6" x14ac:dyDescent="0.3">
      <c r="B34" s="279">
        <f t="shared" si="1"/>
        <v>4.4999999999999998E-2</v>
      </c>
      <c r="C34" s="37">
        <f t="shared" si="0"/>
        <v>125.4087211681811</v>
      </c>
      <c r="D34" s="37">
        <f t="shared" si="0"/>
        <v>103.97539248073663</v>
      </c>
      <c r="E34" s="37">
        <f t="shared" si="0"/>
        <v>87.411877494457656</v>
      </c>
      <c r="F34" s="37">
        <f t="shared" si="0"/>
        <v>74.251462814712099</v>
      </c>
    </row>
    <row r="35" spans="2:6" x14ac:dyDescent="0.3">
      <c r="B35" s="279">
        <f t="shared" si="1"/>
        <v>0.05</v>
      </c>
      <c r="C35" s="37">
        <f t="shared" si="0"/>
        <v>143.31918321531481</v>
      </c>
      <c r="D35" s="37">
        <f t="shared" si="0"/>
        <v>116.50906411827508</v>
      </c>
      <c r="E35" s="37">
        <f t="shared" si="0"/>
        <v>96.510642464275421</v>
      </c>
      <c r="F35" s="37">
        <f t="shared" si="0"/>
        <v>81.047537069401855</v>
      </c>
    </row>
  </sheetData>
  <mergeCells count="3">
    <mergeCell ref="B1:K2"/>
    <mergeCell ref="F5:J5"/>
    <mergeCell ref="E5:E12"/>
  </mergeCells>
  <conditionalFormatting sqref="G7:J12">
    <cfRule type="cellIs" dxfId="2" priority="1" operator="lessThan">
      <formula>86.72</formula>
    </cfRule>
    <cfRule type="cellIs" dxfId="1" priority="2" operator="greaterThan">
      <formula>86.72</formula>
    </cfRule>
    <cfRule type="cellIs" dxfId="0" priority="3" operator="greaterThan">
      <formula>86.72</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B4BA9-B831-4FAC-A047-268C2C00CF91}">
  <dimension ref="A2:W41"/>
  <sheetViews>
    <sheetView tabSelected="1" zoomScale="91" workbookViewId="0">
      <selection activeCell="I20" sqref="I20"/>
    </sheetView>
  </sheetViews>
  <sheetFormatPr defaultRowHeight="14.4" x14ac:dyDescent="0.3"/>
  <cols>
    <col min="1" max="1" width="11.44140625" bestFit="1" customWidth="1"/>
    <col min="2" max="2" width="21.5546875" customWidth="1"/>
    <col min="3" max="3" width="13.21875" bestFit="1" customWidth="1"/>
    <col min="4" max="4" width="12.44140625" bestFit="1" customWidth="1"/>
    <col min="5" max="5" width="15.77734375" bestFit="1" customWidth="1"/>
    <col min="6" max="6" width="7.5546875" bestFit="1" customWidth="1"/>
    <col min="7" max="7" width="23.5546875" bestFit="1" customWidth="1"/>
    <col min="8" max="8" width="7.5546875" bestFit="1" customWidth="1"/>
    <col min="9" max="12" width="6.44140625" bestFit="1" customWidth="1"/>
    <col min="13" max="13" width="14.77734375" bestFit="1" customWidth="1"/>
    <col min="14" max="22" width="12.5546875" bestFit="1" customWidth="1"/>
    <col min="23" max="23" width="9" bestFit="1" customWidth="1"/>
    <col min="16375" max="16384" width="9.109375" bestFit="1" customWidth="1"/>
  </cols>
  <sheetData>
    <row r="2" spans="1:23" ht="31.2" x14ac:dyDescent="0.6">
      <c r="B2" s="340" t="s">
        <v>706</v>
      </c>
      <c r="C2" s="340"/>
      <c r="D2" s="340"/>
      <c r="E2" s="340"/>
      <c r="F2" s="340"/>
      <c r="G2" s="340"/>
      <c r="H2" s="340"/>
      <c r="I2" s="340"/>
      <c r="J2" s="340"/>
      <c r="K2" s="340"/>
      <c r="L2" s="340"/>
      <c r="M2" s="340"/>
      <c r="N2" s="340"/>
      <c r="O2" s="340"/>
      <c r="P2" s="340"/>
      <c r="Q2" s="340"/>
      <c r="R2" s="340"/>
      <c r="S2" s="340"/>
      <c r="T2" s="340"/>
      <c r="U2" s="340"/>
      <c r="V2" s="340"/>
      <c r="W2" s="340"/>
    </row>
    <row r="3" spans="1:23" ht="18" x14ac:dyDescent="0.35">
      <c r="B3" s="341" t="s">
        <v>707</v>
      </c>
      <c r="C3" s="341"/>
      <c r="D3" s="341"/>
      <c r="E3" s="341"/>
      <c r="F3" s="341"/>
      <c r="G3" s="341"/>
      <c r="H3" s="341"/>
      <c r="I3" s="341"/>
      <c r="J3" s="341"/>
      <c r="K3" s="341"/>
      <c r="L3" s="341"/>
      <c r="M3" s="341"/>
      <c r="N3" s="341"/>
      <c r="O3" s="341"/>
      <c r="P3" s="341"/>
      <c r="Q3" s="341"/>
      <c r="R3" s="341"/>
      <c r="S3" s="341"/>
      <c r="T3" s="341"/>
      <c r="U3" s="341"/>
      <c r="V3" s="341"/>
      <c r="W3" s="341"/>
    </row>
    <row r="4" spans="1:23" x14ac:dyDescent="0.3">
      <c r="B4" s="249"/>
      <c r="C4" s="342" t="s">
        <v>571</v>
      </c>
      <c r="D4" s="342"/>
      <c r="E4" s="342"/>
      <c r="F4" s="342"/>
      <c r="G4" s="342"/>
      <c r="H4" s="342"/>
      <c r="I4" s="342"/>
      <c r="J4" s="342"/>
      <c r="K4" s="342"/>
      <c r="L4" s="342"/>
      <c r="M4" s="343" t="s">
        <v>708</v>
      </c>
      <c r="N4" s="343"/>
      <c r="O4" s="343"/>
      <c r="P4" s="343"/>
      <c r="Q4" s="343"/>
      <c r="R4" s="343"/>
      <c r="S4" s="344" t="s">
        <v>709</v>
      </c>
      <c r="T4" s="344"/>
      <c r="U4" s="344"/>
      <c r="V4" s="344"/>
      <c r="W4" s="344"/>
    </row>
    <row r="5" spans="1:23" ht="15" thickBot="1" x14ac:dyDescent="0.35">
      <c r="A5" t="s">
        <v>569</v>
      </c>
      <c r="B5" s="250" t="s">
        <v>710</v>
      </c>
      <c r="C5" s="250">
        <v>2015</v>
      </c>
      <c r="D5" s="250">
        <v>2016</v>
      </c>
      <c r="E5" s="250">
        <v>2017</v>
      </c>
      <c r="F5" s="250">
        <v>2018</v>
      </c>
      <c r="G5" s="250">
        <v>2019</v>
      </c>
      <c r="H5" s="250">
        <v>2020</v>
      </c>
      <c r="I5" s="250">
        <v>2021</v>
      </c>
      <c r="J5" s="250">
        <v>2022</v>
      </c>
      <c r="K5" s="250">
        <v>2023</v>
      </c>
      <c r="L5" s="250">
        <v>2024</v>
      </c>
      <c r="M5" s="251">
        <v>2025</v>
      </c>
      <c r="N5" s="251">
        <v>2026</v>
      </c>
      <c r="O5" s="251">
        <v>2027</v>
      </c>
      <c r="P5" s="251">
        <v>2028</v>
      </c>
      <c r="Q5" s="251">
        <v>2029</v>
      </c>
      <c r="R5" s="251">
        <v>2030</v>
      </c>
      <c r="S5" s="251">
        <v>2031</v>
      </c>
      <c r="T5" s="251">
        <v>2032</v>
      </c>
      <c r="U5" s="251">
        <v>2033</v>
      </c>
      <c r="V5" s="251">
        <v>2034</v>
      </c>
      <c r="W5" s="251">
        <v>2035</v>
      </c>
    </row>
    <row r="6" spans="1:23" x14ac:dyDescent="0.3">
      <c r="B6" t="s">
        <v>711</v>
      </c>
      <c r="C6" s="50">
        <v>0.16</v>
      </c>
      <c r="D6" s="50">
        <v>0.2</v>
      </c>
      <c r="E6" s="50">
        <v>0.25</v>
      </c>
      <c r="F6" s="50">
        <v>0.3</v>
      </c>
      <c r="G6" s="50">
        <v>0.36</v>
      </c>
      <c r="H6" s="50">
        <v>0.41</v>
      </c>
      <c r="I6" s="50">
        <v>0.45</v>
      </c>
      <c r="J6" s="50">
        <v>0.49</v>
      </c>
      <c r="K6" s="50">
        <v>0.53</v>
      </c>
      <c r="L6" s="50">
        <v>0.56999999999999995</v>
      </c>
      <c r="M6" s="50">
        <v>0.61</v>
      </c>
      <c r="N6" s="50">
        <v>0.62</v>
      </c>
      <c r="O6" s="51">
        <f t="shared" ref="O6:W6" si="0">O7/4</f>
        <v>0.63549999999999995</v>
      </c>
      <c r="P6" s="51">
        <f t="shared" si="0"/>
        <v>0.6513874999999999</v>
      </c>
      <c r="Q6" s="51">
        <f t="shared" si="0"/>
        <v>0.66767218749999979</v>
      </c>
      <c r="R6" s="51">
        <f t="shared" si="0"/>
        <v>0.68436399218749977</v>
      </c>
      <c r="S6" s="51">
        <f t="shared" si="0"/>
        <v>0.70489491195312481</v>
      </c>
      <c r="T6" s="51">
        <f t="shared" si="0"/>
        <v>0.72604175931171855</v>
      </c>
      <c r="U6" s="51">
        <f t="shared" si="0"/>
        <v>0.74782301209107016</v>
      </c>
      <c r="V6" s="51">
        <f t="shared" si="0"/>
        <v>0.77025770245380232</v>
      </c>
      <c r="W6" s="51">
        <f t="shared" si="0"/>
        <v>0.80877058757649245</v>
      </c>
    </row>
    <row r="7" spans="1:23" x14ac:dyDescent="0.3">
      <c r="B7" t="s">
        <v>712</v>
      </c>
      <c r="C7" s="50">
        <f>C6*3</f>
        <v>0.48</v>
      </c>
      <c r="D7" s="50">
        <f t="shared" ref="D7:N7" si="1">D6*4</f>
        <v>0.8</v>
      </c>
      <c r="E7" s="50">
        <f t="shared" si="1"/>
        <v>1</v>
      </c>
      <c r="F7" s="50">
        <f t="shared" si="1"/>
        <v>1.2</v>
      </c>
      <c r="G7" s="50">
        <f t="shared" si="1"/>
        <v>1.44</v>
      </c>
      <c r="H7" s="50">
        <f t="shared" si="1"/>
        <v>1.64</v>
      </c>
      <c r="I7" s="50">
        <f t="shared" si="1"/>
        <v>1.8</v>
      </c>
      <c r="J7" s="50">
        <f t="shared" si="1"/>
        <v>1.96</v>
      </c>
      <c r="K7" s="50">
        <f t="shared" si="1"/>
        <v>2.12</v>
      </c>
      <c r="L7" s="50">
        <f t="shared" si="1"/>
        <v>2.2799999999999998</v>
      </c>
      <c r="M7" s="50">
        <f t="shared" si="1"/>
        <v>2.44</v>
      </c>
      <c r="N7" s="50">
        <f t="shared" si="1"/>
        <v>2.48</v>
      </c>
      <c r="O7" s="51">
        <f t="shared" ref="O7:W7" si="2">N7*(1+O8)</f>
        <v>2.5419999999999998</v>
      </c>
      <c r="P7" s="51">
        <f t="shared" si="2"/>
        <v>2.6055499999999996</v>
      </c>
      <c r="Q7" s="51">
        <f t="shared" si="2"/>
        <v>2.6706887499999992</v>
      </c>
      <c r="R7" s="51">
        <f t="shared" si="2"/>
        <v>2.7374559687499991</v>
      </c>
      <c r="S7" s="51">
        <f t="shared" si="2"/>
        <v>2.8195796478124993</v>
      </c>
      <c r="T7" s="51">
        <f t="shared" si="2"/>
        <v>2.9041670372468742</v>
      </c>
      <c r="U7" s="51">
        <f t="shared" si="2"/>
        <v>2.9912920483642806</v>
      </c>
      <c r="V7" s="51">
        <f t="shared" si="2"/>
        <v>3.0810308098152093</v>
      </c>
      <c r="W7" s="51">
        <f t="shared" si="2"/>
        <v>3.2350823503059698</v>
      </c>
    </row>
    <row r="8" spans="1:23" x14ac:dyDescent="0.3">
      <c r="B8" t="s">
        <v>713</v>
      </c>
      <c r="C8" s="50">
        <v>0</v>
      </c>
      <c r="D8" s="52">
        <f t="shared" ref="D8:N8" si="3">D7/C7-1</f>
        <v>0.66666666666666674</v>
      </c>
      <c r="E8" s="52">
        <f t="shared" si="3"/>
        <v>0.25</v>
      </c>
      <c r="F8" s="52">
        <f t="shared" si="3"/>
        <v>0.19999999999999996</v>
      </c>
      <c r="G8" s="52">
        <f t="shared" si="3"/>
        <v>0.19999999999999996</v>
      </c>
      <c r="H8" s="52">
        <f t="shared" si="3"/>
        <v>0.13888888888888884</v>
      </c>
      <c r="I8" s="52">
        <f t="shared" si="3"/>
        <v>9.7560975609756184E-2</v>
      </c>
      <c r="J8" s="52">
        <f t="shared" si="3"/>
        <v>8.8888888888888795E-2</v>
      </c>
      <c r="K8" s="52">
        <f t="shared" si="3"/>
        <v>8.163265306122458E-2</v>
      </c>
      <c r="L8" s="52">
        <f t="shared" si="3"/>
        <v>7.5471698113207308E-2</v>
      </c>
      <c r="M8" s="52">
        <f t="shared" si="3"/>
        <v>7.0175438596491224E-2</v>
      </c>
      <c r="N8" s="52">
        <f t="shared" si="3"/>
        <v>1.6393442622950838E-2</v>
      </c>
      <c r="O8" s="52">
        <v>2.5000000000000001E-2</v>
      </c>
      <c r="P8" s="52">
        <v>2.5000000000000001E-2</v>
      </c>
      <c r="Q8" s="52">
        <v>2.5000000000000001E-2</v>
      </c>
      <c r="R8" s="52">
        <v>2.5000000000000001E-2</v>
      </c>
      <c r="S8" s="53">
        <v>0.03</v>
      </c>
      <c r="T8" s="53">
        <v>0.03</v>
      </c>
      <c r="U8" s="53">
        <v>0.03</v>
      </c>
      <c r="V8" s="53">
        <v>0.03</v>
      </c>
      <c r="W8" s="53">
        <v>0.05</v>
      </c>
    </row>
    <row r="9" spans="1:23" x14ac:dyDescent="0.3">
      <c r="B9" t="s">
        <v>714</v>
      </c>
      <c r="C9" s="50"/>
      <c r="D9" s="50"/>
      <c r="E9" s="50"/>
      <c r="F9" s="50"/>
      <c r="G9" s="50"/>
      <c r="H9" s="50"/>
      <c r="I9" s="50"/>
      <c r="J9" s="50"/>
      <c r="K9" s="50"/>
      <c r="L9" s="50"/>
      <c r="M9" s="52">
        <v>1.7999999999999999E-2</v>
      </c>
      <c r="N9" s="52">
        <v>1.7999999999999999E-2</v>
      </c>
      <c r="O9" s="52">
        <v>1.7999999999999999E-2</v>
      </c>
      <c r="P9" s="52">
        <v>1.7999999999999999E-2</v>
      </c>
      <c r="Q9" s="52">
        <v>1.7999999999999999E-2</v>
      </c>
      <c r="R9" s="52">
        <v>1.7999999999999999E-2</v>
      </c>
      <c r="S9" s="52">
        <v>1.7999999999999999E-2</v>
      </c>
      <c r="T9" s="52">
        <v>1.7999999999999999E-2</v>
      </c>
      <c r="U9" s="52">
        <v>1.7999999999999999E-2</v>
      </c>
      <c r="V9" s="52">
        <v>1.7999999999999999E-2</v>
      </c>
      <c r="W9" s="52">
        <v>1.7999999999999999E-2</v>
      </c>
    </row>
    <row r="10" spans="1:23" x14ac:dyDescent="0.3">
      <c r="B10" s="252" t="s">
        <v>715</v>
      </c>
      <c r="C10" s="50"/>
      <c r="D10" s="50"/>
      <c r="E10" s="50"/>
      <c r="F10" s="50"/>
      <c r="G10" s="50"/>
      <c r="H10" s="50"/>
      <c r="I10" s="50"/>
      <c r="J10" s="50"/>
      <c r="K10" s="50"/>
      <c r="L10" s="50"/>
      <c r="M10" s="54">
        <f t="shared" ref="M10:W10" si="4">$C$32*$C$31</f>
        <v>1.5551999999999999</v>
      </c>
      <c r="N10" s="54">
        <f t="shared" si="4"/>
        <v>1.5551999999999999</v>
      </c>
      <c r="O10" s="54">
        <f t="shared" si="4"/>
        <v>1.5551999999999999</v>
      </c>
      <c r="P10" s="54">
        <f t="shared" si="4"/>
        <v>1.5551999999999999</v>
      </c>
      <c r="Q10" s="54">
        <f t="shared" si="4"/>
        <v>1.5551999999999999</v>
      </c>
      <c r="R10" s="54">
        <f t="shared" si="4"/>
        <v>1.5551999999999999</v>
      </c>
      <c r="S10" s="54">
        <f t="shared" si="4"/>
        <v>1.5551999999999999</v>
      </c>
      <c r="T10" s="54">
        <f t="shared" si="4"/>
        <v>1.5551999999999999</v>
      </c>
      <c r="U10" s="54">
        <f t="shared" si="4"/>
        <v>1.5551999999999999</v>
      </c>
      <c r="V10" s="54">
        <f t="shared" si="4"/>
        <v>1.5551999999999999</v>
      </c>
      <c r="W10" s="54">
        <f t="shared" si="4"/>
        <v>1.5551999999999999</v>
      </c>
    </row>
    <row r="11" spans="1:23" x14ac:dyDescent="0.3">
      <c r="B11" t="s">
        <v>716</v>
      </c>
      <c r="C11" s="50"/>
      <c r="D11" s="50"/>
      <c r="E11" s="50"/>
      <c r="F11" s="50"/>
      <c r="G11" s="50"/>
      <c r="H11" s="50"/>
      <c r="I11" s="50"/>
      <c r="J11" s="50"/>
      <c r="K11" s="50"/>
      <c r="L11" s="50"/>
      <c r="M11" s="51">
        <f t="shared" ref="M11:V11" si="5">M10+M7</f>
        <v>3.9951999999999996</v>
      </c>
      <c r="N11" s="51">
        <f t="shared" si="5"/>
        <v>4.0351999999999997</v>
      </c>
      <c r="O11" s="51">
        <f t="shared" si="5"/>
        <v>4.0972</v>
      </c>
      <c r="P11" s="51">
        <f t="shared" si="5"/>
        <v>4.1607499999999993</v>
      </c>
      <c r="Q11" s="51">
        <f t="shared" si="5"/>
        <v>4.2258887499999993</v>
      </c>
      <c r="R11" s="51">
        <f t="shared" si="5"/>
        <v>4.2926559687499992</v>
      </c>
      <c r="S11" s="51">
        <f t="shared" si="5"/>
        <v>4.374779647812499</v>
      </c>
      <c r="T11" s="51">
        <f t="shared" si="5"/>
        <v>4.4593670372468743</v>
      </c>
      <c r="U11" s="51">
        <f t="shared" si="5"/>
        <v>4.5464920483642803</v>
      </c>
      <c r="V11" s="51">
        <f t="shared" si="5"/>
        <v>4.636230809815209</v>
      </c>
      <c r="W11" s="51">
        <f>W7+W10</f>
        <v>4.7902823503059695</v>
      </c>
    </row>
    <row r="12" spans="1:23" x14ac:dyDescent="0.3">
      <c r="B12" t="s">
        <v>717</v>
      </c>
      <c r="C12" s="50"/>
      <c r="D12" s="50"/>
      <c r="E12" s="50"/>
      <c r="F12" s="50"/>
      <c r="G12" s="50"/>
      <c r="H12" s="50"/>
      <c r="I12" s="50"/>
      <c r="J12" s="50"/>
      <c r="K12" s="50"/>
      <c r="L12" s="50"/>
      <c r="M12" s="55">
        <f>1/(1+$C$19)^1</f>
        <v>0.93274881074526628</v>
      </c>
      <c r="N12" s="55">
        <f>1/(1+$C$19)^2</f>
        <v>0.87002034394670857</v>
      </c>
      <c r="O12" s="55">
        <f>1/(1+$C$19)^3</f>
        <v>0.81151044114047988</v>
      </c>
      <c r="P12" s="55">
        <f>1/(1+$C$19)^4</f>
        <v>0.75693539888114902</v>
      </c>
      <c r="Q12" s="55">
        <f>1/(1+$C$19)^5</f>
        <v>0.70603059311738547</v>
      </c>
      <c r="R12" s="55">
        <f>1/(1+$C$19)^6</f>
        <v>0.65854919608001627</v>
      </c>
      <c r="S12" s="55">
        <f>1/(1+$C$19)^7</f>
        <v>0.61426097946088642</v>
      </c>
      <c r="T12" s="55">
        <f>1/(1+$C$19)^8</f>
        <v>0.57295119807936423</v>
      </c>
      <c r="U12" s="55">
        <f>1/(1+$C$19)^9</f>
        <v>0.53441954862360241</v>
      </c>
      <c r="V12" s="55">
        <f>1/(1+$C$19)^10</f>
        <v>0.49847919841768717</v>
      </c>
      <c r="W12" s="55">
        <f>1/(1+$C$19)^11</f>
        <v>0.46495587950535133</v>
      </c>
    </row>
    <row r="13" spans="1:23" x14ac:dyDescent="0.3">
      <c r="B13" t="s">
        <v>718</v>
      </c>
      <c r="C13" s="55"/>
      <c r="D13" s="50"/>
      <c r="E13" s="50"/>
      <c r="F13" s="50"/>
      <c r="G13" s="50"/>
      <c r="H13" s="50"/>
      <c r="I13" s="50"/>
      <c r="J13" s="50"/>
      <c r="K13" s="50"/>
      <c r="L13" s="50"/>
      <c r="M13" s="51">
        <f>M11*M12</f>
        <v>3.7265180486894876</v>
      </c>
      <c r="N13" s="51">
        <f t="shared" ref="N13:W13" si="6">M12*N11</f>
        <v>3.7638280011192982</v>
      </c>
      <c r="O13" s="51">
        <f t="shared" si="6"/>
        <v>3.5646473532184544</v>
      </c>
      <c r="P13" s="51">
        <f t="shared" si="6"/>
        <v>3.376492067975251</v>
      </c>
      <c r="Q13" s="51">
        <f t="shared" si="6"/>
        <v>3.1987247866086097</v>
      </c>
      <c r="R13" s="51">
        <f t="shared" si="6"/>
        <v>3.0307464396654469</v>
      </c>
      <c r="S13" s="51">
        <f t="shared" si="6"/>
        <v>2.8810076200941381</v>
      </c>
      <c r="T13" s="51">
        <f t="shared" si="6"/>
        <v>2.7392151640748561</v>
      </c>
      <c r="U13" s="51">
        <f t="shared" si="6"/>
        <v>2.6049180661686173</v>
      </c>
      <c r="V13" s="51">
        <f t="shared" si="6"/>
        <v>2.4776923766962828</v>
      </c>
      <c r="W13" s="51">
        <f t="shared" si="6"/>
        <v>2.3878561061749144</v>
      </c>
    </row>
    <row r="14" spans="1:23" x14ac:dyDescent="0.3">
      <c r="C14" s="25"/>
    </row>
    <row r="15" spans="1:23" x14ac:dyDescent="0.3">
      <c r="B15" s="253" t="s">
        <v>719</v>
      </c>
      <c r="C15" s="254" t="s">
        <v>720</v>
      </c>
      <c r="E15" s="337" t="s">
        <v>721</v>
      </c>
      <c r="F15" s="338"/>
      <c r="G15" s="339"/>
    </row>
    <row r="16" spans="1:23" x14ac:dyDescent="0.3">
      <c r="B16" s="56" t="s">
        <v>722</v>
      </c>
      <c r="C16" s="57">
        <f>SUM(M13:W13)</f>
        <v>33.751646030485354</v>
      </c>
      <c r="E16" s="56" t="s">
        <v>723</v>
      </c>
      <c r="F16">
        <f>C31</f>
        <v>86.4</v>
      </c>
      <c r="G16" s="60"/>
    </row>
    <row r="17" spans="2:15" x14ac:dyDescent="0.3">
      <c r="B17" s="56" t="s">
        <v>724</v>
      </c>
      <c r="C17" s="57">
        <f>W11</f>
        <v>4.7902823503059695</v>
      </c>
      <c r="E17" s="56" t="s">
        <v>725</v>
      </c>
      <c r="F17" s="37">
        <f>C23</f>
        <v>91.294508800015564</v>
      </c>
      <c r="G17" s="255" t="s">
        <v>726</v>
      </c>
    </row>
    <row r="18" spans="2:15" x14ac:dyDescent="0.3">
      <c r="B18" s="56" t="s">
        <v>727</v>
      </c>
      <c r="C18" s="58">
        <v>4.4999999999999998E-2</v>
      </c>
      <c r="E18" s="66"/>
      <c r="F18" s="68"/>
      <c r="G18" s="256" t="s">
        <v>728</v>
      </c>
    </row>
    <row r="19" spans="2:15" x14ac:dyDescent="0.3">
      <c r="B19" s="56" t="s">
        <v>729</v>
      </c>
      <c r="C19" s="59">
        <f>C30</f>
        <v>7.2099999999999997E-2</v>
      </c>
    </row>
    <row r="20" spans="2:15" x14ac:dyDescent="0.3">
      <c r="B20" s="56" t="s">
        <v>730</v>
      </c>
      <c r="C20" s="60">
        <f>C17/(C19-C18)</f>
        <v>176.76318635815386</v>
      </c>
    </row>
    <row r="21" spans="2:15" x14ac:dyDescent="0.3">
      <c r="B21" s="56" t="s">
        <v>731</v>
      </c>
      <c r="C21" s="60">
        <f>C20/(1+C19)^10</f>
        <v>88.112771445568796</v>
      </c>
      <c r="E21" s="45"/>
    </row>
    <row r="22" spans="2:15" x14ac:dyDescent="0.3">
      <c r="B22" s="61" t="s">
        <v>732</v>
      </c>
      <c r="C22" s="60">
        <f>C32*C20</f>
        <v>3.1817373544467693</v>
      </c>
    </row>
    <row r="23" spans="2:15" x14ac:dyDescent="0.3">
      <c r="B23" s="257" t="s">
        <v>696</v>
      </c>
      <c r="C23" s="258">
        <f>C21+C22</f>
        <v>91.294508800015564</v>
      </c>
    </row>
    <row r="24" spans="2:15" x14ac:dyDescent="0.3">
      <c r="B24" s="259"/>
      <c r="C24" s="252"/>
      <c r="D24" s="252"/>
    </row>
    <row r="25" spans="2:15" x14ac:dyDescent="0.3">
      <c r="B25" s="260" t="s">
        <v>719</v>
      </c>
      <c r="C25" s="335" t="s">
        <v>720</v>
      </c>
      <c r="D25" s="336"/>
    </row>
    <row r="26" spans="2:15" x14ac:dyDescent="0.3">
      <c r="B26" s="56" t="s">
        <v>733</v>
      </c>
      <c r="C26">
        <v>0.7</v>
      </c>
      <c r="D26" s="60"/>
    </row>
    <row r="27" spans="2:15" ht="48.6" x14ac:dyDescent="0.3">
      <c r="B27" s="56" t="s">
        <v>734</v>
      </c>
      <c r="C27" s="25">
        <v>7.0000000000000001E-3</v>
      </c>
      <c r="D27" s="63" t="s">
        <v>735</v>
      </c>
      <c r="O27" s="37"/>
    </row>
    <row r="28" spans="2:15" ht="30" customHeight="1" x14ac:dyDescent="0.3">
      <c r="B28" s="56" t="s">
        <v>736</v>
      </c>
      <c r="C28" s="25">
        <v>0.1</v>
      </c>
      <c r="D28" s="64" t="s">
        <v>737</v>
      </c>
      <c r="O28" s="37"/>
    </row>
    <row r="29" spans="2:15" ht="28.8" x14ac:dyDescent="0.3">
      <c r="B29" s="56" t="s">
        <v>738</v>
      </c>
      <c r="C29" s="25">
        <f>C28-C27</f>
        <v>9.2999999999999999E-2</v>
      </c>
      <c r="D29" s="65" t="s">
        <v>739</v>
      </c>
      <c r="O29" s="37"/>
    </row>
    <row r="30" spans="2:15" x14ac:dyDescent="0.3">
      <c r="B30" s="56" t="s">
        <v>729</v>
      </c>
      <c r="C30" s="25">
        <f>C27+C26*(C29)</f>
        <v>7.2099999999999997E-2</v>
      </c>
      <c r="D30" s="60"/>
      <c r="O30" s="37"/>
    </row>
    <row r="31" spans="2:15" x14ac:dyDescent="0.3">
      <c r="B31" s="56" t="s">
        <v>740</v>
      </c>
      <c r="C31">
        <v>86.4</v>
      </c>
      <c r="D31" s="60"/>
      <c r="O31" s="37"/>
    </row>
    <row r="32" spans="2:15" x14ac:dyDescent="0.3">
      <c r="B32" s="66" t="s">
        <v>741</v>
      </c>
      <c r="C32" s="67">
        <v>1.7999999999999999E-2</v>
      </c>
      <c r="D32" s="62"/>
      <c r="O32" s="37"/>
    </row>
    <row r="33" spans="2:15" x14ac:dyDescent="0.3">
      <c r="O33" s="37"/>
    </row>
    <row r="34" spans="2:15" x14ac:dyDescent="0.3">
      <c r="B34" t="s">
        <v>746</v>
      </c>
      <c r="O34" s="37"/>
    </row>
    <row r="35" spans="2:15" x14ac:dyDescent="0.3">
      <c r="B35" s="280" t="s">
        <v>747</v>
      </c>
      <c r="O35" s="37"/>
    </row>
    <row r="36" spans="2:15" x14ac:dyDescent="0.3">
      <c r="B36" s="281" t="s">
        <v>748</v>
      </c>
      <c r="O36" s="37"/>
    </row>
    <row r="37" spans="2:15" x14ac:dyDescent="0.3">
      <c r="B37" s="282" t="s">
        <v>749</v>
      </c>
      <c r="M37" s="46"/>
      <c r="N37" s="46"/>
      <c r="O37" s="49"/>
    </row>
    <row r="38" spans="2:15" x14ac:dyDescent="0.3">
      <c r="B38" s="282" t="s">
        <v>750</v>
      </c>
    </row>
    <row r="39" spans="2:15" x14ac:dyDescent="0.3">
      <c r="B39" s="282" t="s">
        <v>751</v>
      </c>
    </row>
    <row r="40" spans="2:15" x14ac:dyDescent="0.3">
      <c r="B40" s="282" t="s">
        <v>752</v>
      </c>
    </row>
    <row r="41" spans="2:15" x14ac:dyDescent="0.3">
      <c r="B41" s="281" t="s">
        <v>753</v>
      </c>
    </row>
  </sheetData>
  <mergeCells count="7">
    <mergeCell ref="C25:D25"/>
    <mergeCell ref="E15:G15"/>
    <mergeCell ref="B2:W2"/>
    <mergeCell ref="B3:W3"/>
    <mergeCell ref="C4:L4"/>
    <mergeCell ref="M4:R4"/>
    <mergeCell ref="S4:W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1. Raw Data - Bloomberg</vt:lpstr>
      <vt:lpstr>2. Integrated Finance</vt:lpstr>
      <vt:lpstr>3. Historical &amp; Forecast Ratio </vt:lpstr>
      <vt:lpstr>4. Market Data &amp; WACC</vt:lpstr>
      <vt:lpstr>5. Re-org Fin Stmts</vt:lpstr>
      <vt:lpstr>6. ROIC &amp; FCF</vt:lpstr>
      <vt:lpstr>7. Valuation</vt:lpstr>
      <vt:lpstr>7. Valuation (2)</vt:lpstr>
      <vt:lpstr>Scenario Analysis</vt:lpstr>
      <vt:lpstr>Stock Price</vt:lpstr>
      <vt:lpstr>Sensitivity Analysis</vt:lpstr>
      <vt:lpstr>DDM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Dharen Sukesh</dc:creator>
  <cp:keywords/>
  <dc:description/>
  <cp:lastModifiedBy>Shruti Punjabi</cp:lastModifiedBy>
  <cp:revision/>
  <dcterms:created xsi:type="dcterms:W3CDTF">2025-09-26T12:53:31Z</dcterms:created>
  <dcterms:modified xsi:type="dcterms:W3CDTF">2025-10-06T14:55:44Z</dcterms:modified>
  <cp:category/>
  <cp:contentStatus/>
</cp:coreProperties>
</file>